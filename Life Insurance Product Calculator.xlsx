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REDATOR\OneDrive\Desktop\ruben\projecteering\life ins calc\"/>
    </mc:Choice>
  </mc:AlternateContent>
  <xr:revisionPtr revIDLastSave="0" documentId="13_ncr:1_{9ADC498C-48C2-4A72-A9A7-F8D076CCC099}" xr6:coauthVersionLast="47" xr6:coauthVersionMax="47" xr10:uidLastSave="{00000000-0000-0000-0000-000000000000}"/>
  <bookViews>
    <workbookView xWindow="-110" yWindow="-110" windowWidth="25820" windowHeight="15500" xr2:uid="{36FE9E36-3821-4D37-A266-1EB46EBE748B}"/>
  </bookViews>
  <sheets>
    <sheet name="User Input" sheetId="5" r:id="rId1"/>
    <sheet name="Mortality Tables" sheetId="2" r:id="rId2"/>
    <sheet name="Relationships" sheetId="8" r:id="rId3"/>
    <sheet name="Lists" sheetId="9" r:id="rId4"/>
    <sheet name="EPV Benefits Calculation" sheetId="4" r:id="rId5"/>
    <sheet name="Premium Annuity Calculation" sheetId="6" r:id="rId6"/>
    <sheet name="Benefit Annuity Calculation" sheetId="7" r:id="rId7"/>
  </sheets>
  <definedNames>
    <definedName name="benefit_frequency">'User Input'!$E$17</definedName>
    <definedName name="benefit_payment_duration">'User Input'!$E$18</definedName>
    <definedName name="current_age">'User Input'!$C$9</definedName>
    <definedName name="gender_mortality">'User Input'!$C$10</definedName>
    <definedName name="interest_rate">'User Input'!$E$9</definedName>
    <definedName name="mortality_table">'User Input'!$E$20</definedName>
    <definedName name="net_single_premium">'User Input'!$C$18</definedName>
    <definedName name="policy_type">'User Input'!$E$11</definedName>
    <definedName name="premium_frequency">'User Input'!$E$13</definedName>
    <definedName name="premium_payment_period">'User Input'!$E$14</definedName>
    <definedName name="premium_payment_term">'User Input'!$E$15</definedName>
    <definedName name="region_mortality">'User Input'!$C$11</definedName>
    <definedName name="sum_assured">'User Input'!$E$10</definedName>
    <definedName name="term_of_coverage">'User Input'!$E$12</definedName>
    <definedName name="test">_xlfn._xlws.FILTER(MortalityInfo[name],MortalityInfo[name]&lt;&gt;"")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 r="F4" i="4"/>
  <c r="C9" i="6"/>
  <c r="D9" i="6" a="1"/>
  <c r="D9" i="6" s="1"/>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K10" i="4"/>
  <c r="K11" i="4"/>
  <c r="K12" i="4"/>
  <c r="K13" i="4"/>
  <c r="K14" i="4"/>
  <c r="K15" i="4"/>
  <c r="K16" i="4"/>
  <c r="K17" i="4"/>
  <c r="K18" i="4"/>
  <c r="K19" i="4"/>
  <c r="K20" i="4"/>
  <c r="K21" i="4"/>
  <c r="K22" i="4"/>
  <c r="K23" i="4"/>
  <c r="K24" i="4"/>
  <c r="K25" i="4"/>
  <c r="K26" i="4"/>
  <c r="K27" i="4"/>
  <c r="K28" i="4"/>
  <c r="K29" i="4"/>
  <c r="K30" i="4"/>
  <c r="K31" i="4"/>
  <c r="K32" i="4"/>
  <c r="K33"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9" i="4"/>
  <c r="C5" i="4"/>
  <c r="F5" i="6"/>
  <c r="C20" i="5"/>
  <c r="H4" i="9" a="1"/>
  <c r="H4" i="9" s="1"/>
  <c r="F5" i="7"/>
  <c r="F4" i="7"/>
  <c r="C4" i="7"/>
  <c r="G4" i="9" a="1"/>
  <c r="G4" i="9" s="1"/>
  <c r="C5" i="7"/>
  <c r="I4" i="7" s="1"/>
  <c r="F4" i="9" a="1"/>
  <c r="F4" i="9" s="1"/>
  <c r="F5"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9" i="4"/>
  <c r="H9" i="6"/>
  <c r="C4" i="6"/>
  <c r="F4" i="6"/>
  <c r="C4" i="4"/>
  <c r="E4" i="9" a="1"/>
  <c r="E4" i="9" s="1"/>
  <c r="D4" i="9" a="1"/>
  <c r="D4" i="9" s="1"/>
  <c r="C4" i="9" a="1"/>
  <c r="C4" i="9" s="1"/>
  <c r="B4" i="9" a="1"/>
  <c r="B4" i="9" s="1"/>
  <c r="B9" i="4"/>
  <c r="I5" i="7" l="1"/>
  <c r="C9" i="4"/>
  <c r="D9" i="4" s="1" a="1"/>
  <c r="D9" i="4" s="1"/>
  <c r="B10" i="6"/>
  <c r="B10" i="4"/>
  <c r="H10" i="6" l="1"/>
  <c r="C10" i="6"/>
  <c r="D10" i="6" s="1" a="1"/>
  <c r="D10" i="6" s="1"/>
  <c r="I9" i="6"/>
  <c r="E9" i="6"/>
  <c r="F9" i="6" s="1"/>
  <c r="G10" i="6" s="1"/>
  <c r="I10" i="6" s="1"/>
  <c r="E9" i="4"/>
  <c r="F10" i="4" s="1"/>
  <c r="B11" i="6"/>
  <c r="B11" i="4"/>
  <c r="C10" i="4"/>
  <c r="D10" i="4" s="1" a="1"/>
  <c r="D10" i="4" s="1"/>
  <c r="H11" i="6" l="1"/>
  <c r="C11" i="6"/>
  <c r="D11" i="6" s="1" a="1"/>
  <c r="D11" i="6" s="1"/>
  <c r="E10" i="6"/>
  <c r="F10" i="6" s="1"/>
  <c r="G11" i="6" s="1"/>
  <c r="I11" i="6" s="1"/>
  <c r="G10" i="4"/>
  <c r="L10" i="4" s="1"/>
  <c r="G9" i="4"/>
  <c r="B12" i="6"/>
  <c r="B12" i="4"/>
  <c r="C11" i="4"/>
  <c r="D11" i="4" s="1" a="1"/>
  <c r="D11" i="4" s="1"/>
  <c r="H12" i="6" l="1"/>
  <c r="C12" i="6"/>
  <c r="D12" i="6" s="1" a="1"/>
  <c r="D12" i="6" s="1"/>
  <c r="J9" i="4"/>
  <c r="L9" i="4"/>
  <c r="M9" i="4" s="1"/>
  <c r="E11" i="6"/>
  <c r="F11" i="6" s="1"/>
  <c r="G12" i="6" s="1"/>
  <c r="I12" i="6" s="1"/>
  <c r="E11" i="4"/>
  <c r="E10" i="4"/>
  <c r="F11" i="4" s="1"/>
  <c r="B13" i="6"/>
  <c r="B13" i="4"/>
  <c r="C12" i="4"/>
  <c r="D12" i="4" s="1" a="1"/>
  <c r="D12" i="4" s="1"/>
  <c r="J10" i="4"/>
  <c r="M10" i="4"/>
  <c r="H13" i="6" l="1"/>
  <c r="C13" i="6"/>
  <c r="D13" i="6" s="1" a="1"/>
  <c r="D13" i="6" s="1"/>
  <c r="B14" i="6"/>
  <c r="E12" i="6"/>
  <c r="F12" i="6" s="1"/>
  <c r="G13" i="6" s="1"/>
  <c r="I13" i="6" s="1"/>
  <c r="F12" i="4"/>
  <c r="E12" i="4"/>
  <c r="G11" i="4"/>
  <c r="B14" i="4"/>
  <c r="C13" i="4"/>
  <c r="D13" i="4" s="1" a="1"/>
  <c r="D13" i="4" s="1"/>
  <c r="H14" i="6" l="1"/>
  <c r="C14" i="6"/>
  <c r="D14" i="6" s="1" a="1"/>
  <c r="D14" i="6" s="1"/>
  <c r="J11" i="4"/>
  <c r="L11" i="4"/>
  <c r="M11" i="4" s="1"/>
  <c r="B15" i="6"/>
  <c r="F13" i="4"/>
  <c r="E13" i="6"/>
  <c r="F13" i="6" s="1"/>
  <c r="G14" i="6" s="1"/>
  <c r="I14" i="6" s="1"/>
  <c r="E13" i="4"/>
  <c r="G12" i="4"/>
  <c r="B15" i="4"/>
  <c r="C14" i="4"/>
  <c r="D14" i="4" s="1" a="1"/>
  <c r="D14" i="4" s="1"/>
  <c r="H15" i="6" l="1"/>
  <c r="C15" i="6"/>
  <c r="D15" i="6" s="1" a="1"/>
  <c r="D15" i="6" s="1"/>
  <c r="J12" i="4"/>
  <c r="L12" i="4"/>
  <c r="M12" i="4" s="1"/>
  <c r="E14" i="6"/>
  <c r="F14" i="6" s="1"/>
  <c r="G15" i="6" s="1"/>
  <c r="I15" i="6" s="1"/>
  <c r="B16" i="6"/>
  <c r="F14" i="4"/>
  <c r="E14" i="4"/>
  <c r="G13" i="4"/>
  <c r="B16" i="4"/>
  <c r="C15" i="4"/>
  <c r="D15" i="4" s="1" a="1"/>
  <c r="D15" i="4" s="1"/>
  <c r="H16" i="6" l="1"/>
  <c r="C16" i="6"/>
  <c r="D16" i="6" s="1" a="1"/>
  <c r="D16" i="6" s="1"/>
  <c r="J13" i="4"/>
  <c r="L13" i="4"/>
  <c r="M13" i="4" s="1"/>
  <c r="B17" i="6"/>
  <c r="E15" i="6"/>
  <c r="F15" i="6" s="1"/>
  <c r="G16" i="6" s="1"/>
  <c r="I16" i="6" s="1"/>
  <c r="F15" i="4"/>
  <c r="E15" i="4"/>
  <c r="G14" i="4"/>
  <c r="B17" i="4"/>
  <c r="C16" i="4"/>
  <c r="D16" i="4" s="1" a="1"/>
  <c r="D16" i="4" s="1"/>
  <c r="H17" i="6" l="1"/>
  <c r="C17" i="6"/>
  <c r="D17" i="6" s="1" a="1"/>
  <c r="D17" i="6" s="1"/>
  <c r="J14" i="4"/>
  <c r="L14" i="4"/>
  <c r="M14" i="4" s="1"/>
  <c r="B18" i="6"/>
  <c r="E16" i="6"/>
  <c r="F16" i="6" s="1"/>
  <c r="G17" i="6" s="1"/>
  <c r="I17" i="6" s="1"/>
  <c r="F16" i="4"/>
  <c r="E16" i="4"/>
  <c r="G15" i="4"/>
  <c r="B18" i="4"/>
  <c r="C17" i="4"/>
  <c r="D17" i="4" s="1" a="1"/>
  <c r="D17" i="4" s="1"/>
  <c r="H18" i="6" l="1"/>
  <c r="C18" i="6"/>
  <c r="D18" i="6" s="1" a="1"/>
  <c r="D18" i="6" s="1"/>
  <c r="J15" i="4"/>
  <c r="L15" i="4"/>
  <c r="M15" i="4" s="1"/>
  <c r="E17" i="6"/>
  <c r="F17" i="6" s="1"/>
  <c r="G18" i="6" s="1"/>
  <c r="I18" i="6" s="1"/>
  <c r="B19" i="6"/>
  <c r="F17" i="4"/>
  <c r="E17" i="4"/>
  <c r="G16" i="4"/>
  <c r="B19" i="4"/>
  <c r="C18" i="4"/>
  <c r="D18" i="4" s="1" a="1"/>
  <c r="D18" i="4" s="1"/>
  <c r="H19" i="6" l="1"/>
  <c r="C19" i="6"/>
  <c r="D19" i="6" s="1" a="1"/>
  <c r="D19" i="6" s="1"/>
  <c r="L16" i="4"/>
  <c r="M16" i="4" s="1"/>
  <c r="B20" i="6"/>
  <c r="E18" i="6"/>
  <c r="F18" i="6" s="1"/>
  <c r="G19" i="6" s="1"/>
  <c r="I19" i="6" s="1"/>
  <c r="F18" i="4"/>
  <c r="J16" i="4"/>
  <c r="G17" i="4"/>
  <c r="E18" i="4"/>
  <c r="B20" i="4"/>
  <c r="C19" i="4"/>
  <c r="D19" i="4" s="1" a="1"/>
  <c r="D19" i="4" s="1"/>
  <c r="H20" i="6" l="1"/>
  <c r="C20" i="6"/>
  <c r="D20" i="6" s="1" a="1"/>
  <c r="D20" i="6" s="1"/>
  <c r="J17" i="4"/>
  <c r="L17" i="4"/>
  <c r="M17" i="4" s="1"/>
  <c r="E19" i="6"/>
  <c r="F19" i="6" s="1"/>
  <c r="G20" i="6" s="1"/>
  <c r="I20" i="6" s="1"/>
  <c r="B21" i="6"/>
  <c r="F19" i="4"/>
  <c r="G18" i="4"/>
  <c r="E19" i="4"/>
  <c r="B21" i="4"/>
  <c r="C20" i="4"/>
  <c r="D20" i="4" s="1" a="1"/>
  <c r="D20" i="4" s="1"/>
  <c r="H21" i="6" l="1"/>
  <c r="C21" i="6"/>
  <c r="D21" i="6" s="1" a="1"/>
  <c r="D21" i="6" s="1"/>
  <c r="J18" i="4"/>
  <c r="L18" i="4"/>
  <c r="M18" i="4" s="1"/>
  <c r="E20" i="6"/>
  <c r="F20" i="6" s="1"/>
  <c r="G21" i="6" s="1"/>
  <c r="I21" i="6" s="1"/>
  <c r="B22" i="6"/>
  <c r="F20" i="4"/>
  <c r="G19" i="4"/>
  <c r="E20" i="4"/>
  <c r="B22" i="4"/>
  <c r="C21" i="4"/>
  <c r="D21" i="4" s="1" a="1"/>
  <c r="D21" i="4" s="1"/>
  <c r="H22" i="6" l="1"/>
  <c r="C22" i="6"/>
  <c r="D22" i="6" s="1" a="1"/>
  <c r="D22" i="6" s="1"/>
  <c r="J19" i="4"/>
  <c r="L19" i="4"/>
  <c r="M19" i="4" s="1"/>
  <c r="B23" i="6"/>
  <c r="E21" i="6"/>
  <c r="F21" i="6" s="1"/>
  <c r="G22" i="6" s="1"/>
  <c r="I22" i="6" s="1"/>
  <c r="F21" i="4"/>
  <c r="G20" i="4"/>
  <c r="E21" i="4"/>
  <c r="B23" i="4"/>
  <c r="C22" i="4"/>
  <c r="D22" i="4" s="1" a="1"/>
  <c r="D22" i="4" s="1"/>
  <c r="H23" i="6" l="1"/>
  <c r="C23" i="6"/>
  <c r="D23" i="6" s="1" a="1"/>
  <c r="D23" i="6" s="1"/>
  <c r="L20" i="4"/>
  <c r="M20" i="4" s="1"/>
  <c r="B24" i="6"/>
  <c r="E22" i="6"/>
  <c r="F22" i="6" s="1"/>
  <c r="G23" i="6" s="1"/>
  <c r="I23" i="6" s="1"/>
  <c r="F22" i="4"/>
  <c r="G21" i="4"/>
  <c r="J20" i="4"/>
  <c r="E22" i="4"/>
  <c r="B24" i="4"/>
  <c r="C23" i="4"/>
  <c r="D23" i="4" s="1" a="1"/>
  <c r="D23" i="4" s="1"/>
  <c r="H24" i="6" l="1"/>
  <c r="C24" i="6"/>
  <c r="D24" i="6" s="1" a="1"/>
  <c r="D24" i="6" s="1"/>
  <c r="J21" i="4"/>
  <c r="L21" i="4"/>
  <c r="M21" i="4" s="1"/>
  <c r="B25" i="6"/>
  <c r="E23" i="6"/>
  <c r="F23" i="6" s="1"/>
  <c r="G24" i="6" s="1"/>
  <c r="I24" i="6" s="1"/>
  <c r="F23" i="4"/>
  <c r="G22" i="4"/>
  <c r="E23" i="4"/>
  <c r="B25" i="4"/>
  <c r="C24" i="4"/>
  <c r="D24" i="4" s="1" a="1"/>
  <c r="D24" i="4" s="1"/>
  <c r="H25" i="6" l="1"/>
  <c r="C25" i="6"/>
  <c r="D25" i="6" s="1" a="1"/>
  <c r="D25" i="6" s="1"/>
  <c r="J22" i="4"/>
  <c r="L22" i="4"/>
  <c r="M22" i="4" s="1"/>
  <c r="B26" i="6"/>
  <c r="E24" i="6"/>
  <c r="F24" i="6" s="1"/>
  <c r="G25" i="6" s="1"/>
  <c r="I25" i="6" s="1"/>
  <c r="F24" i="4"/>
  <c r="G23" i="4"/>
  <c r="E24" i="4"/>
  <c r="B26" i="4"/>
  <c r="C25" i="4"/>
  <c r="D25" i="4" s="1" a="1"/>
  <c r="D25" i="4" s="1"/>
  <c r="H26" i="6" l="1"/>
  <c r="C26" i="6"/>
  <c r="D26" i="6" s="1" a="1"/>
  <c r="D26" i="6" s="1"/>
  <c r="J23" i="4"/>
  <c r="L23" i="4"/>
  <c r="M23" i="4" s="1"/>
  <c r="B27" i="6"/>
  <c r="E25" i="6"/>
  <c r="F25" i="6" s="1"/>
  <c r="G26" i="6" s="1"/>
  <c r="I26" i="6" s="1"/>
  <c r="F25" i="4"/>
  <c r="G24" i="4"/>
  <c r="E25" i="4"/>
  <c r="B28" i="6"/>
  <c r="B27" i="4"/>
  <c r="C26" i="4"/>
  <c r="D26" i="4" s="1" a="1"/>
  <c r="D26" i="4" s="1"/>
  <c r="H28" i="6" l="1"/>
  <c r="C28" i="6"/>
  <c r="D28" i="6" s="1" a="1"/>
  <c r="D28" i="6" s="1"/>
  <c r="H27" i="6"/>
  <c r="C27" i="6"/>
  <c r="D27" i="6" s="1" a="1"/>
  <c r="D27" i="6" s="1"/>
  <c r="J24" i="4"/>
  <c r="L24" i="4"/>
  <c r="M24" i="4" s="1"/>
  <c r="E26" i="6"/>
  <c r="F26" i="6" s="1"/>
  <c r="G27" i="6" s="1"/>
  <c r="I27" i="6" s="1"/>
  <c r="F26" i="4"/>
  <c r="E27" i="6"/>
  <c r="F27" i="6" s="1"/>
  <c r="G25" i="4"/>
  <c r="E26" i="4"/>
  <c r="B29" i="6"/>
  <c r="B28" i="4"/>
  <c r="C27" i="4"/>
  <c r="D27" i="4" s="1" a="1"/>
  <c r="D27" i="4" s="1"/>
  <c r="H29" i="6" l="1"/>
  <c r="C29" i="6"/>
  <c r="D29" i="6" s="1" a="1"/>
  <c r="D29" i="6" s="1"/>
  <c r="L25" i="4"/>
  <c r="M25" i="4" s="1"/>
  <c r="F27" i="4"/>
  <c r="G28" i="6"/>
  <c r="I28" i="6" s="1"/>
  <c r="J25" i="4"/>
  <c r="E28" i="6"/>
  <c r="F28" i="6" s="1"/>
  <c r="G26" i="4"/>
  <c r="E27" i="4"/>
  <c r="B30" i="6"/>
  <c r="B29" i="4"/>
  <c r="C28" i="4"/>
  <c r="D28" i="4" s="1" a="1"/>
  <c r="D28" i="4" s="1"/>
  <c r="H30" i="6" l="1"/>
  <c r="C30" i="6"/>
  <c r="D30" i="6" s="1" a="1"/>
  <c r="D30" i="6" s="1"/>
  <c r="L26" i="4"/>
  <c r="M26" i="4" s="1"/>
  <c r="F28" i="4"/>
  <c r="G29" i="6"/>
  <c r="I29" i="6" s="1"/>
  <c r="J26" i="4"/>
  <c r="G27" i="4"/>
  <c r="E29" i="6"/>
  <c r="F29" i="6" s="1"/>
  <c r="E28" i="4"/>
  <c r="B31" i="6"/>
  <c r="B30" i="4"/>
  <c r="C29" i="4"/>
  <c r="D29" i="4" s="1" a="1"/>
  <c r="D29" i="4" s="1"/>
  <c r="H31" i="6" l="1"/>
  <c r="C31" i="6"/>
  <c r="D31" i="6" s="1" a="1"/>
  <c r="D31" i="6" s="1"/>
  <c r="J27" i="4"/>
  <c r="L27" i="4"/>
  <c r="M27" i="4" s="1"/>
  <c r="E29" i="4"/>
  <c r="F29" i="4"/>
  <c r="G30" i="6"/>
  <c r="I30" i="6" s="1"/>
  <c r="E30" i="6"/>
  <c r="F30" i="6" s="1"/>
  <c r="G28" i="4"/>
  <c r="B32" i="6"/>
  <c r="B31" i="4"/>
  <c r="C30" i="4"/>
  <c r="D30" i="4" s="1" a="1"/>
  <c r="D30" i="4" s="1"/>
  <c r="H32" i="6" l="1"/>
  <c r="C32" i="6"/>
  <c r="D32" i="6" s="1" a="1"/>
  <c r="D32" i="6" s="1"/>
  <c r="L28" i="4"/>
  <c r="M28" i="4" s="1"/>
  <c r="F30" i="4"/>
  <c r="G29" i="4"/>
  <c r="G31" i="6"/>
  <c r="I31" i="6" s="1"/>
  <c r="E31" i="6"/>
  <c r="F31" i="6" s="1"/>
  <c r="J28" i="4"/>
  <c r="E30" i="4"/>
  <c r="B33" i="6"/>
  <c r="B32" i="4"/>
  <c r="C31" i="4"/>
  <c r="D31" i="4" s="1" a="1"/>
  <c r="D31" i="4" s="1"/>
  <c r="H33" i="6" l="1"/>
  <c r="C33" i="6"/>
  <c r="D33" i="6" s="1" a="1"/>
  <c r="D33" i="6" s="1"/>
  <c r="L29" i="4"/>
  <c r="M29" i="4" s="1"/>
  <c r="J29" i="4"/>
  <c r="G30" i="4"/>
  <c r="F31" i="4"/>
  <c r="G32" i="6"/>
  <c r="I32" i="6" s="1"/>
  <c r="E32" i="6"/>
  <c r="F32" i="6" s="1"/>
  <c r="E31" i="4"/>
  <c r="B34" i="6"/>
  <c r="B33" i="4"/>
  <c r="C32" i="4"/>
  <c r="D32" i="4" s="1" a="1"/>
  <c r="D32" i="4" s="1"/>
  <c r="H34" i="6" l="1"/>
  <c r="C34" i="6"/>
  <c r="D34" i="6" s="1" a="1"/>
  <c r="D34" i="6" s="1"/>
  <c r="J30" i="4"/>
  <c r="L30" i="4"/>
  <c r="M30" i="4" s="1"/>
  <c r="F32" i="4"/>
  <c r="G33" i="6"/>
  <c r="I33" i="6" s="1"/>
  <c r="G31" i="4"/>
  <c r="E33" i="6"/>
  <c r="F33" i="6" s="1"/>
  <c r="E32" i="4"/>
  <c r="B35" i="6"/>
  <c r="B34" i="4"/>
  <c r="C33" i="4"/>
  <c r="D33" i="4" s="1" a="1"/>
  <c r="D33" i="4" s="1"/>
  <c r="H35" i="6" l="1"/>
  <c r="C35" i="6"/>
  <c r="D35" i="6" s="1" a="1"/>
  <c r="D35" i="6" s="1"/>
  <c r="J31" i="4"/>
  <c r="L31" i="4"/>
  <c r="M31" i="4" s="1"/>
  <c r="F33" i="4"/>
  <c r="G34" i="6"/>
  <c r="I34" i="6" s="1"/>
  <c r="E34" i="6"/>
  <c r="F34" i="6" s="1"/>
  <c r="G32" i="4"/>
  <c r="E33" i="4"/>
  <c r="B36" i="6"/>
  <c r="B35" i="4"/>
  <c r="C34" i="4"/>
  <c r="D34" i="4" s="1" a="1"/>
  <c r="D34" i="4" s="1"/>
  <c r="H36" i="6" l="1"/>
  <c r="C36" i="6"/>
  <c r="D36" i="6" s="1" a="1"/>
  <c r="D36" i="6" s="1"/>
  <c r="J32" i="4"/>
  <c r="L32" i="4"/>
  <c r="M32" i="4" s="1"/>
  <c r="F34" i="4"/>
  <c r="K34" i="4" s="1"/>
  <c r="G35" i="6"/>
  <c r="I35" i="6" s="1"/>
  <c r="G33" i="4"/>
  <c r="E35" i="6"/>
  <c r="F35" i="6" s="1"/>
  <c r="B37" i="6"/>
  <c r="B36" i="4"/>
  <c r="C35" i="4"/>
  <c r="D35" i="4" s="1" a="1"/>
  <c r="D35" i="4" s="1"/>
  <c r="H37" i="6" l="1"/>
  <c r="C37" i="6"/>
  <c r="D37" i="6" s="1" a="1"/>
  <c r="D37" i="6" s="1"/>
  <c r="J33" i="4"/>
  <c r="L33" i="4"/>
  <c r="E35" i="4"/>
  <c r="G34" i="4"/>
  <c r="E34" i="4"/>
  <c r="F35" i="4" s="1"/>
  <c r="G36" i="6"/>
  <c r="I36" i="6" s="1"/>
  <c r="M33" i="4"/>
  <c r="E36" i="6"/>
  <c r="F36" i="6" s="1"/>
  <c r="B38" i="6"/>
  <c r="B37" i="4"/>
  <c r="C36" i="4"/>
  <c r="D36" i="4" s="1" a="1"/>
  <c r="D36" i="4" s="1"/>
  <c r="H38" i="6" l="1"/>
  <c r="C38" i="6"/>
  <c r="D38" i="6" s="1" a="1"/>
  <c r="D38" i="6" s="1"/>
  <c r="J34" i="4"/>
  <c r="M34" i="4"/>
  <c r="F36" i="4"/>
  <c r="G37" i="6"/>
  <c r="I37" i="6" s="1"/>
  <c r="G35" i="4"/>
  <c r="E37" i="6"/>
  <c r="F37" i="6" s="1"/>
  <c r="E36" i="4"/>
  <c r="B39" i="6"/>
  <c r="B38" i="4"/>
  <c r="C37" i="4"/>
  <c r="D37" i="4" s="1" a="1"/>
  <c r="D37" i="4" s="1"/>
  <c r="H39" i="6" l="1"/>
  <c r="C39" i="6"/>
  <c r="D39" i="6" s="1" a="1"/>
  <c r="D39" i="6" s="1"/>
  <c r="J35" i="4"/>
  <c r="M35" i="4"/>
  <c r="F37" i="4"/>
  <c r="G38" i="6"/>
  <c r="I38" i="6" s="1"/>
  <c r="G36" i="4"/>
  <c r="E38" i="6"/>
  <c r="F38" i="6" s="1"/>
  <c r="E37" i="4"/>
  <c r="B40" i="6"/>
  <c r="B39" i="4"/>
  <c r="C38" i="4"/>
  <c r="D38" i="4" s="1" a="1"/>
  <c r="D38" i="4" s="1"/>
  <c r="H40" i="6" l="1"/>
  <c r="C40" i="6"/>
  <c r="D40" i="6" s="1" a="1"/>
  <c r="D40" i="6" s="1"/>
  <c r="J36" i="4"/>
  <c r="M36" i="4"/>
  <c r="F38" i="4"/>
  <c r="G39" i="6"/>
  <c r="I39" i="6" s="1"/>
  <c r="E39" i="6"/>
  <c r="F39" i="6" s="1"/>
  <c r="G37" i="4"/>
  <c r="E38" i="4"/>
  <c r="B41" i="6"/>
  <c r="B40" i="4"/>
  <c r="C39" i="4"/>
  <c r="D39" i="4" s="1" a="1"/>
  <c r="D39" i="4" s="1"/>
  <c r="H41" i="6" l="1"/>
  <c r="C41" i="6"/>
  <c r="D41" i="6" s="1" a="1"/>
  <c r="D41" i="6" s="1"/>
  <c r="J37" i="4"/>
  <c r="M37" i="4"/>
  <c r="F39" i="4"/>
  <c r="G40" i="6"/>
  <c r="I40" i="6" s="1"/>
  <c r="G38" i="4"/>
  <c r="E40" i="6"/>
  <c r="F40" i="6" s="1"/>
  <c r="E39" i="4"/>
  <c r="B42" i="6"/>
  <c r="B41" i="4"/>
  <c r="C40" i="4"/>
  <c r="D40" i="4" s="1" a="1"/>
  <c r="D40" i="4" s="1"/>
  <c r="H42" i="6" l="1"/>
  <c r="C42" i="6"/>
  <c r="D42" i="6" s="1" a="1"/>
  <c r="D42" i="6" s="1"/>
  <c r="J38" i="4"/>
  <c r="M38" i="4"/>
  <c r="F40" i="4"/>
  <c r="G41" i="6"/>
  <c r="I41" i="6" s="1"/>
  <c r="E41" i="6"/>
  <c r="F41" i="6" s="1"/>
  <c r="G39" i="4"/>
  <c r="E40" i="4"/>
  <c r="B43" i="6"/>
  <c r="B42" i="4"/>
  <c r="C41" i="4"/>
  <c r="D41" i="4" s="1" a="1"/>
  <c r="D41" i="4" s="1"/>
  <c r="H43" i="6" l="1"/>
  <c r="C43" i="6"/>
  <c r="D43" i="6" s="1" a="1"/>
  <c r="D43" i="6" s="1"/>
  <c r="J39" i="4"/>
  <c r="M39" i="4"/>
  <c r="F41" i="4"/>
  <c r="G42" i="6"/>
  <c r="I42" i="6" s="1"/>
  <c r="G40" i="4"/>
  <c r="E42" i="6"/>
  <c r="F42" i="6" s="1"/>
  <c r="E41" i="4"/>
  <c r="B44" i="6"/>
  <c r="B43" i="4"/>
  <c r="C42" i="4"/>
  <c r="D42" i="4" s="1" a="1"/>
  <c r="D42" i="4" s="1"/>
  <c r="H44" i="6" l="1"/>
  <c r="C44" i="6"/>
  <c r="D44" i="6" s="1" a="1"/>
  <c r="D44" i="6" s="1"/>
  <c r="J40" i="4"/>
  <c r="M40" i="4"/>
  <c r="F42" i="4"/>
  <c r="G43" i="6"/>
  <c r="I43" i="6" s="1"/>
  <c r="G41" i="4"/>
  <c r="E43" i="6"/>
  <c r="F43" i="6" s="1"/>
  <c r="E42" i="4"/>
  <c r="B45" i="6"/>
  <c r="B44" i="4"/>
  <c r="C43" i="4"/>
  <c r="D43" i="4" s="1" a="1"/>
  <c r="D43" i="4" s="1"/>
  <c r="H45" i="6" l="1"/>
  <c r="C45" i="6"/>
  <c r="D45" i="6" s="1" a="1"/>
  <c r="D45" i="6" s="1"/>
  <c r="J41" i="4"/>
  <c r="M41" i="4"/>
  <c r="F43" i="4"/>
  <c r="G44" i="6"/>
  <c r="I44" i="6" s="1"/>
  <c r="G42" i="4"/>
  <c r="E44" i="6"/>
  <c r="F44" i="6" s="1"/>
  <c r="B46" i="6"/>
  <c r="B45" i="4"/>
  <c r="C44" i="4"/>
  <c r="D44" i="4" s="1" a="1"/>
  <c r="D44" i="4" s="1"/>
  <c r="H46" i="6" l="1"/>
  <c r="C46" i="6"/>
  <c r="D46" i="6" s="1" a="1"/>
  <c r="D46" i="6" s="1"/>
  <c r="J42" i="4"/>
  <c r="M42" i="4"/>
  <c r="G43" i="4"/>
  <c r="G45" i="6"/>
  <c r="I45" i="6" s="1"/>
  <c r="E43" i="4"/>
  <c r="F44" i="4" s="1"/>
  <c r="E45" i="6"/>
  <c r="F45" i="6" s="1"/>
  <c r="E44" i="4"/>
  <c r="B47" i="6"/>
  <c r="B46" i="4"/>
  <c r="C45" i="4"/>
  <c r="D45" i="4" s="1" a="1"/>
  <c r="D45" i="4" s="1"/>
  <c r="H47" i="6" l="1"/>
  <c r="C47" i="6"/>
  <c r="D47" i="6" s="1" a="1"/>
  <c r="D47" i="6" s="1"/>
  <c r="J43" i="4"/>
  <c r="M43" i="4"/>
  <c r="G46" i="6"/>
  <c r="I46" i="6" s="1"/>
  <c r="F45" i="4"/>
  <c r="E46" i="6"/>
  <c r="F46" i="6" s="1"/>
  <c r="G44" i="4"/>
  <c r="E45" i="4"/>
  <c r="B48" i="6"/>
  <c r="B47" i="4"/>
  <c r="C46" i="4"/>
  <c r="D46" i="4" s="1" a="1"/>
  <c r="D46" i="4" s="1"/>
  <c r="H48" i="6" l="1"/>
  <c r="C48" i="6"/>
  <c r="D48" i="6" s="1" a="1"/>
  <c r="D48" i="6" s="1"/>
  <c r="J44" i="4"/>
  <c r="M44" i="4"/>
  <c r="G47" i="6"/>
  <c r="I47" i="6" s="1"/>
  <c r="G45" i="4"/>
  <c r="F46" i="4"/>
  <c r="E47" i="6"/>
  <c r="F47" i="6" s="1"/>
  <c r="E46" i="4"/>
  <c r="B49" i="6"/>
  <c r="B48" i="4"/>
  <c r="C47" i="4"/>
  <c r="D47" i="4" s="1" a="1"/>
  <c r="D47" i="4" s="1"/>
  <c r="H49" i="6" l="1"/>
  <c r="C49" i="6"/>
  <c r="D49" i="6" s="1" a="1"/>
  <c r="D49" i="6" s="1"/>
  <c r="E47" i="4"/>
  <c r="J45" i="4"/>
  <c r="M45" i="4"/>
  <c r="G48" i="6"/>
  <c r="I48" i="6" s="1"/>
  <c r="G46" i="4"/>
  <c r="F47" i="4"/>
  <c r="E48" i="6"/>
  <c r="F48" i="6" s="1"/>
  <c r="B50" i="6"/>
  <c r="B49" i="4"/>
  <c r="C48" i="4"/>
  <c r="D48" i="4" s="1" a="1"/>
  <c r="D48" i="4" s="1"/>
  <c r="H50" i="6" l="1"/>
  <c r="C50" i="6"/>
  <c r="D50" i="6" s="1" a="1"/>
  <c r="D50" i="6" s="1"/>
  <c r="J46" i="4"/>
  <c r="M46" i="4"/>
  <c r="G49" i="6"/>
  <c r="I49" i="6" s="1"/>
  <c r="F48" i="4"/>
  <c r="G47" i="4"/>
  <c r="E49" i="6"/>
  <c r="F49" i="6" s="1"/>
  <c r="E48" i="4"/>
  <c r="B51" i="6"/>
  <c r="B50" i="4"/>
  <c r="C49" i="4"/>
  <c r="D49" i="4" s="1" a="1"/>
  <c r="D49" i="4" s="1"/>
  <c r="H51" i="6" l="1"/>
  <c r="C51" i="6"/>
  <c r="D51" i="6" s="1" a="1"/>
  <c r="D51" i="6" s="1"/>
  <c r="J47" i="4"/>
  <c r="M47" i="4"/>
  <c r="F49" i="4"/>
  <c r="G50" i="6"/>
  <c r="I50" i="6" s="1"/>
  <c r="G48" i="4"/>
  <c r="E50" i="6"/>
  <c r="F50" i="6" s="1"/>
  <c r="B52" i="6"/>
  <c r="B51" i="4"/>
  <c r="C50" i="4"/>
  <c r="D50" i="4" s="1" a="1"/>
  <c r="D50" i="4" s="1"/>
  <c r="H52" i="6" l="1"/>
  <c r="C52" i="6"/>
  <c r="D52" i="6" s="1" a="1"/>
  <c r="D52" i="6" s="1"/>
  <c r="J48" i="4"/>
  <c r="M48" i="4"/>
  <c r="G49" i="4"/>
  <c r="G51" i="6"/>
  <c r="I51" i="6" s="1"/>
  <c r="E49" i="4"/>
  <c r="F50" i="4" s="1"/>
  <c r="E51" i="6"/>
  <c r="F51" i="6" s="1"/>
  <c r="E50" i="4"/>
  <c r="B53" i="6"/>
  <c r="B52" i="4"/>
  <c r="C51" i="4"/>
  <c r="D51" i="4" s="1" a="1"/>
  <c r="D51" i="4" s="1"/>
  <c r="H53" i="6" l="1"/>
  <c r="C53" i="6"/>
  <c r="D53" i="6" s="1" a="1"/>
  <c r="D53" i="6" s="1"/>
  <c r="J49" i="4"/>
  <c r="M49" i="4"/>
  <c r="G52" i="6"/>
  <c r="I52" i="6" s="1"/>
  <c r="F51" i="4"/>
  <c r="G50" i="4"/>
  <c r="E52" i="6"/>
  <c r="F52" i="6" s="1"/>
  <c r="E51" i="4"/>
  <c r="B54" i="6"/>
  <c r="B53" i="4"/>
  <c r="C52" i="4"/>
  <c r="D52" i="4" s="1" a="1"/>
  <c r="D52" i="4" s="1"/>
  <c r="H54" i="6" l="1"/>
  <c r="C54" i="6"/>
  <c r="D54" i="6" s="1" a="1"/>
  <c r="D54" i="6" s="1"/>
  <c r="J50" i="4"/>
  <c r="M50" i="4"/>
  <c r="G53" i="6"/>
  <c r="I53" i="6" s="1"/>
  <c r="F52" i="4"/>
  <c r="G51" i="4"/>
  <c r="E53" i="6"/>
  <c r="F53" i="6" s="1"/>
  <c r="E52" i="4"/>
  <c r="B55" i="6"/>
  <c r="B54" i="4"/>
  <c r="C53" i="4"/>
  <c r="D53" i="4" s="1" a="1"/>
  <c r="D53" i="4" s="1"/>
  <c r="H55" i="6" l="1"/>
  <c r="C55" i="6"/>
  <c r="D55" i="6" s="1" a="1"/>
  <c r="D55" i="6" s="1"/>
  <c r="J51" i="4"/>
  <c r="M51" i="4"/>
  <c r="G54" i="6"/>
  <c r="I54" i="6" s="1"/>
  <c r="F53" i="4"/>
  <c r="G52" i="4"/>
  <c r="E54" i="6"/>
  <c r="F54" i="6" s="1"/>
  <c r="E53" i="4"/>
  <c r="B56" i="6"/>
  <c r="B55" i="4"/>
  <c r="C54" i="4"/>
  <c r="D54" i="4" s="1" a="1"/>
  <c r="D54" i="4" s="1"/>
  <c r="H56" i="6" l="1"/>
  <c r="C56" i="6"/>
  <c r="D56" i="6" s="1" a="1"/>
  <c r="D56" i="6" s="1"/>
  <c r="J52" i="4"/>
  <c r="M52" i="4"/>
  <c r="G55" i="6"/>
  <c r="I55" i="6" s="1"/>
  <c r="F54" i="4"/>
  <c r="G53" i="4"/>
  <c r="E55" i="6"/>
  <c r="F55" i="6" s="1"/>
  <c r="E54" i="4"/>
  <c r="B57" i="6"/>
  <c r="B56" i="4"/>
  <c r="C55" i="4"/>
  <c r="D55" i="4" s="1" a="1"/>
  <c r="D55" i="4" s="1"/>
  <c r="H57" i="6" l="1"/>
  <c r="C57" i="6"/>
  <c r="D57" i="6" s="1" a="1"/>
  <c r="D57" i="6" s="1"/>
  <c r="J53" i="4"/>
  <c r="M53" i="4"/>
  <c r="G56" i="6"/>
  <c r="I56" i="6" s="1"/>
  <c r="F55" i="4"/>
  <c r="G54" i="4"/>
  <c r="E56" i="6"/>
  <c r="F56" i="6" s="1"/>
  <c r="E55" i="4"/>
  <c r="B58" i="6"/>
  <c r="B57" i="4"/>
  <c r="C56" i="4"/>
  <c r="D56" i="4" s="1" a="1"/>
  <c r="D56" i="4" s="1"/>
  <c r="H58" i="6" l="1"/>
  <c r="C58" i="6"/>
  <c r="D58" i="6" s="1" a="1"/>
  <c r="D58" i="6" s="1"/>
  <c r="J54" i="4"/>
  <c r="M54" i="4"/>
  <c r="G57" i="6"/>
  <c r="I57" i="6" s="1"/>
  <c r="F56" i="4"/>
  <c r="G55" i="4"/>
  <c r="E57" i="6"/>
  <c r="F57" i="6" s="1"/>
  <c r="E56" i="4"/>
  <c r="B59" i="6"/>
  <c r="B58" i="4"/>
  <c r="C57" i="4"/>
  <c r="D57" i="4" s="1" a="1"/>
  <c r="D57" i="4" s="1"/>
  <c r="H59" i="6" l="1"/>
  <c r="C59" i="6"/>
  <c r="D59" i="6" s="1" a="1"/>
  <c r="D59" i="6" s="1"/>
  <c r="J55" i="4"/>
  <c r="M55" i="4"/>
  <c r="G58" i="6"/>
  <c r="I58" i="6" s="1"/>
  <c r="F57" i="4"/>
  <c r="G56" i="4"/>
  <c r="E58" i="6"/>
  <c r="F58" i="6" s="1"/>
  <c r="E57" i="4"/>
  <c r="B60" i="6"/>
  <c r="B59" i="4"/>
  <c r="C58" i="4"/>
  <c r="D58" i="4" s="1" a="1"/>
  <c r="D58" i="4" s="1"/>
  <c r="H60" i="6" l="1"/>
  <c r="C60" i="6"/>
  <c r="D60" i="6" s="1" a="1"/>
  <c r="D60" i="6" s="1"/>
  <c r="J56" i="4"/>
  <c r="M56" i="4"/>
  <c r="G59" i="6"/>
  <c r="I59" i="6" s="1"/>
  <c r="F58" i="4"/>
  <c r="G57" i="4"/>
  <c r="E59" i="6"/>
  <c r="F59" i="6" s="1"/>
  <c r="E58" i="4"/>
  <c r="B61" i="6"/>
  <c r="B60" i="4"/>
  <c r="C59" i="4"/>
  <c r="D59" i="4" s="1" a="1"/>
  <c r="D59" i="4" s="1"/>
  <c r="H61" i="6" l="1"/>
  <c r="C61" i="6"/>
  <c r="D61" i="6" s="1" a="1"/>
  <c r="D61" i="6" s="1"/>
  <c r="J57" i="4"/>
  <c r="M57" i="4"/>
  <c r="G60" i="6"/>
  <c r="I60" i="6" s="1"/>
  <c r="F59" i="4"/>
  <c r="G58" i="4"/>
  <c r="E60" i="6"/>
  <c r="F60" i="6" s="1"/>
  <c r="E59" i="4"/>
  <c r="B62" i="6"/>
  <c r="B61" i="4"/>
  <c r="C60" i="4"/>
  <c r="D60" i="4" s="1" a="1"/>
  <c r="D60" i="4" s="1"/>
  <c r="H62" i="6" l="1"/>
  <c r="C62" i="6"/>
  <c r="D62" i="6" s="1" a="1"/>
  <c r="D62" i="6" s="1"/>
  <c r="J58" i="4"/>
  <c r="M58" i="4"/>
  <c r="G61" i="6"/>
  <c r="I61" i="6" s="1"/>
  <c r="F60" i="4"/>
  <c r="G59" i="4"/>
  <c r="E61" i="6"/>
  <c r="F61" i="6" s="1"/>
  <c r="E60" i="4"/>
  <c r="B63" i="6"/>
  <c r="B62" i="4"/>
  <c r="C61" i="4"/>
  <c r="D61" i="4" s="1" a="1"/>
  <c r="D61" i="4" s="1"/>
  <c r="H63" i="6" l="1"/>
  <c r="C63" i="6"/>
  <c r="D63" i="6" s="1" a="1"/>
  <c r="D63" i="6" s="1"/>
  <c r="J59" i="4"/>
  <c r="M59" i="4"/>
  <c r="G62" i="6"/>
  <c r="I62" i="6" s="1"/>
  <c r="F61" i="4"/>
  <c r="G60" i="4"/>
  <c r="E62" i="6"/>
  <c r="F62" i="6" s="1"/>
  <c r="E61" i="4"/>
  <c r="B64" i="6"/>
  <c r="C62" i="4"/>
  <c r="D62" i="4" s="1" a="1"/>
  <c r="D62" i="4" s="1"/>
  <c r="B63" i="4"/>
  <c r="H64" i="6" l="1"/>
  <c r="C64" i="6"/>
  <c r="D64" i="6" s="1" a="1"/>
  <c r="D64" i="6" s="1"/>
  <c r="J60" i="4"/>
  <c r="M60" i="4"/>
  <c r="G63" i="6"/>
  <c r="I63" i="6" s="1"/>
  <c r="F62" i="4"/>
  <c r="G61" i="4"/>
  <c r="E63" i="6"/>
  <c r="F63" i="6" s="1"/>
  <c r="E62" i="4"/>
  <c r="B65" i="6"/>
  <c r="B64" i="4"/>
  <c r="C63" i="4"/>
  <c r="D63" i="4" s="1" a="1"/>
  <c r="D63" i="4" s="1"/>
  <c r="H65" i="6" l="1"/>
  <c r="C65" i="6"/>
  <c r="D65" i="6" s="1" a="1"/>
  <c r="D65" i="6" s="1"/>
  <c r="J61" i="4"/>
  <c r="M61" i="4"/>
  <c r="G64" i="6"/>
  <c r="I64" i="6" s="1"/>
  <c r="F63" i="4"/>
  <c r="G62" i="4"/>
  <c r="E64" i="6"/>
  <c r="F64" i="6" s="1"/>
  <c r="E63" i="4"/>
  <c r="B66" i="6"/>
  <c r="B65" i="4"/>
  <c r="C64" i="4"/>
  <c r="D64" i="4" s="1" a="1"/>
  <c r="D64" i="4" s="1"/>
  <c r="H66" i="6" l="1"/>
  <c r="C66" i="6"/>
  <c r="D66" i="6" s="1" a="1"/>
  <c r="D66" i="6" s="1"/>
  <c r="J62" i="4"/>
  <c r="M62" i="4"/>
  <c r="G65" i="6"/>
  <c r="I65" i="6" s="1"/>
  <c r="F64" i="4"/>
  <c r="G63" i="4"/>
  <c r="E65" i="6"/>
  <c r="F65" i="6" s="1"/>
  <c r="E64" i="4"/>
  <c r="B67" i="6"/>
  <c r="B66" i="4"/>
  <c r="C65" i="4"/>
  <c r="D65" i="4" s="1" a="1"/>
  <c r="D65" i="4" s="1"/>
  <c r="H67" i="6" l="1"/>
  <c r="C67" i="6"/>
  <c r="D67" i="6" s="1" a="1"/>
  <c r="D67" i="6" s="1"/>
  <c r="J63" i="4"/>
  <c r="M63" i="4"/>
  <c r="G66" i="6"/>
  <c r="I66" i="6" s="1"/>
  <c r="F65" i="4"/>
  <c r="G64" i="4"/>
  <c r="E66" i="6"/>
  <c r="F66" i="6" s="1"/>
  <c r="E65" i="4"/>
  <c r="B68" i="6"/>
  <c r="B67" i="4"/>
  <c r="C66" i="4"/>
  <c r="D66" i="4" s="1" a="1"/>
  <c r="D66" i="4" s="1"/>
  <c r="H68" i="6" l="1"/>
  <c r="C68" i="6"/>
  <c r="D68" i="6" s="1" a="1"/>
  <c r="D68" i="6" s="1"/>
  <c r="J64" i="4"/>
  <c r="M64" i="4"/>
  <c r="G67" i="6"/>
  <c r="I67" i="6" s="1"/>
  <c r="F66" i="4"/>
  <c r="G65" i="4"/>
  <c r="E67" i="6"/>
  <c r="F67" i="6" s="1"/>
  <c r="E66" i="4"/>
  <c r="B69" i="6"/>
  <c r="B68" i="4"/>
  <c r="C67" i="4"/>
  <c r="D67" i="4" s="1" a="1"/>
  <c r="D67" i="4" s="1"/>
  <c r="H69" i="6" l="1"/>
  <c r="C69" i="6"/>
  <c r="D69" i="6" s="1" a="1"/>
  <c r="D69" i="6" s="1"/>
  <c r="J65" i="4"/>
  <c r="M65" i="4"/>
  <c r="G68" i="6"/>
  <c r="I68" i="6" s="1"/>
  <c r="F67" i="4"/>
  <c r="G66" i="4"/>
  <c r="E68" i="6"/>
  <c r="F68" i="6" s="1"/>
  <c r="E67" i="4"/>
  <c r="B70" i="6"/>
  <c r="B69" i="4"/>
  <c r="C68" i="4"/>
  <c r="D68" i="4" s="1" a="1"/>
  <c r="D68" i="4" s="1"/>
  <c r="H70" i="6" l="1"/>
  <c r="C70" i="6"/>
  <c r="D70" i="6" s="1" a="1"/>
  <c r="D70" i="6" s="1"/>
  <c r="J66" i="4"/>
  <c r="M66" i="4"/>
  <c r="G69" i="6"/>
  <c r="I69" i="6" s="1"/>
  <c r="F68" i="4"/>
  <c r="G67" i="4"/>
  <c r="E69" i="6"/>
  <c r="F69" i="6" s="1"/>
  <c r="E68" i="4"/>
  <c r="B71" i="6"/>
  <c r="B70" i="4"/>
  <c r="C69" i="4"/>
  <c r="D69" i="4" s="1" a="1"/>
  <c r="D69" i="4" s="1"/>
  <c r="H71" i="6" l="1"/>
  <c r="C71" i="6"/>
  <c r="D71" i="6" s="1" a="1"/>
  <c r="D71" i="6" s="1"/>
  <c r="J67" i="4"/>
  <c r="M67" i="4"/>
  <c r="G70" i="6"/>
  <c r="I70" i="6" s="1"/>
  <c r="F69" i="4"/>
  <c r="G68" i="4"/>
  <c r="E70" i="6"/>
  <c r="F70" i="6" s="1"/>
  <c r="E69" i="4"/>
  <c r="B72" i="6"/>
  <c r="B71" i="4"/>
  <c r="C70" i="4"/>
  <c r="D70" i="4" s="1" a="1"/>
  <c r="D70" i="4" s="1"/>
  <c r="H72" i="6" l="1"/>
  <c r="C72" i="6"/>
  <c r="D72" i="6" s="1" a="1"/>
  <c r="D72" i="6" s="1"/>
  <c r="J68" i="4"/>
  <c r="M68" i="4"/>
  <c r="G71" i="6"/>
  <c r="I71" i="6" s="1"/>
  <c r="F70" i="4"/>
  <c r="G69" i="4"/>
  <c r="E71" i="6"/>
  <c r="F71" i="6" s="1"/>
  <c r="E70" i="4"/>
  <c r="B73" i="6"/>
  <c r="B72" i="4"/>
  <c r="C71" i="4"/>
  <c r="D71" i="4" s="1" a="1"/>
  <c r="D71" i="4" s="1"/>
  <c r="H73" i="6" l="1"/>
  <c r="C73" i="6"/>
  <c r="D73" i="6" s="1" a="1"/>
  <c r="D73" i="6" s="1"/>
  <c r="J69" i="4"/>
  <c r="M69" i="4"/>
  <c r="G72" i="6"/>
  <c r="I72" i="6" s="1"/>
  <c r="F71" i="4"/>
  <c r="G70" i="4"/>
  <c r="E72" i="6"/>
  <c r="F72" i="6" s="1"/>
  <c r="E71" i="4"/>
  <c r="B74" i="6"/>
  <c r="B73" i="4"/>
  <c r="C72" i="4"/>
  <c r="D72" i="4" s="1" a="1"/>
  <c r="D72" i="4" s="1"/>
  <c r="H74" i="6" l="1"/>
  <c r="C74" i="6"/>
  <c r="D74" i="6" s="1" a="1"/>
  <c r="D74" i="6" s="1"/>
  <c r="J70" i="4"/>
  <c r="M70" i="4"/>
  <c r="G73" i="6"/>
  <c r="I73" i="6" s="1"/>
  <c r="F72" i="4"/>
  <c r="G71" i="4"/>
  <c r="E73" i="6"/>
  <c r="F73" i="6" s="1"/>
  <c r="E72" i="4"/>
  <c r="B75" i="6"/>
  <c r="B74" i="4"/>
  <c r="C73" i="4"/>
  <c r="D73" i="4" s="1" a="1"/>
  <c r="D73" i="4" s="1"/>
  <c r="H75" i="6" l="1"/>
  <c r="C75" i="6"/>
  <c r="D75" i="6" s="1" a="1"/>
  <c r="D75" i="6" s="1"/>
  <c r="G74" i="6"/>
  <c r="I74" i="6" s="1"/>
  <c r="J71" i="4"/>
  <c r="M71" i="4"/>
  <c r="F73" i="4"/>
  <c r="G72" i="4"/>
  <c r="E74" i="6"/>
  <c r="F74" i="6" s="1"/>
  <c r="E73" i="4"/>
  <c r="B76" i="6"/>
  <c r="B75" i="4"/>
  <c r="C74" i="4"/>
  <c r="D74" i="4" s="1" a="1"/>
  <c r="D74" i="4" s="1"/>
  <c r="H76" i="6" l="1"/>
  <c r="C76" i="6"/>
  <c r="D76" i="6" s="1" a="1"/>
  <c r="D76" i="6" s="1"/>
  <c r="G75" i="6"/>
  <c r="I75" i="6" s="1"/>
  <c r="J72" i="4"/>
  <c r="M72" i="4"/>
  <c r="F74" i="4"/>
  <c r="G73" i="4"/>
  <c r="E75" i="6"/>
  <c r="F75" i="6" s="1"/>
  <c r="E74" i="4"/>
  <c r="B77" i="6"/>
  <c r="B76" i="4"/>
  <c r="C75" i="4"/>
  <c r="D75" i="4" s="1" a="1"/>
  <c r="D75" i="4" s="1"/>
  <c r="H77" i="6" l="1"/>
  <c r="C77" i="6"/>
  <c r="D77" i="6" s="1" a="1"/>
  <c r="D77" i="6" s="1"/>
  <c r="G76" i="6"/>
  <c r="I76" i="6" s="1"/>
  <c r="J73" i="4"/>
  <c r="M73" i="4"/>
  <c r="F75" i="4"/>
  <c r="G74" i="4"/>
  <c r="E76" i="6"/>
  <c r="F76" i="6" s="1"/>
  <c r="E75" i="4"/>
  <c r="B78" i="6"/>
  <c r="B77" i="4"/>
  <c r="C76" i="4"/>
  <c r="D76" i="4" s="1" a="1"/>
  <c r="D76" i="4" s="1"/>
  <c r="H78" i="6" l="1"/>
  <c r="C78" i="6"/>
  <c r="D78" i="6" s="1" a="1"/>
  <c r="D78" i="6" s="1"/>
  <c r="G77" i="6"/>
  <c r="I77" i="6" s="1"/>
  <c r="J74" i="4"/>
  <c r="M74" i="4"/>
  <c r="F76" i="4"/>
  <c r="G75" i="4"/>
  <c r="E77" i="6"/>
  <c r="F77" i="6" s="1"/>
  <c r="E76" i="4"/>
  <c r="B79" i="6"/>
  <c r="B78" i="4"/>
  <c r="C77" i="4"/>
  <c r="D77" i="4" s="1" a="1"/>
  <c r="D77" i="4" s="1"/>
  <c r="H79" i="6" l="1"/>
  <c r="C79" i="6"/>
  <c r="D79" i="6" s="1" a="1"/>
  <c r="D79" i="6" s="1"/>
  <c r="G78" i="6"/>
  <c r="I78" i="6" s="1"/>
  <c r="J75" i="4"/>
  <c r="M75" i="4"/>
  <c r="F77" i="4"/>
  <c r="G76" i="4"/>
  <c r="E78" i="6"/>
  <c r="F78" i="6" s="1"/>
  <c r="E77" i="4"/>
  <c r="B80" i="6"/>
  <c r="B79" i="4"/>
  <c r="C78" i="4"/>
  <c r="D78" i="4" s="1" a="1"/>
  <c r="D78" i="4" s="1"/>
  <c r="H80" i="6" l="1"/>
  <c r="C80" i="6"/>
  <c r="D80" i="6" s="1" a="1"/>
  <c r="D80" i="6" s="1"/>
  <c r="G79" i="6"/>
  <c r="I79" i="6" s="1"/>
  <c r="J76" i="4"/>
  <c r="M76" i="4"/>
  <c r="F78" i="4"/>
  <c r="G77" i="4"/>
  <c r="E79" i="6"/>
  <c r="F79" i="6" s="1"/>
  <c r="E78" i="4"/>
  <c r="B81" i="6"/>
  <c r="B80" i="4"/>
  <c r="C79" i="4"/>
  <c r="D79" i="4" s="1" a="1"/>
  <c r="D79" i="4" s="1"/>
  <c r="H81" i="6" l="1"/>
  <c r="C81" i="6"/>
  <c r="D81" i="6" s="1" a="1"/>
  <c r="D81" i="6" s="1"/>
  <c r="G80" i="6"/>
  <c r="I80" i="6" s="1"/>
  <c r="J77" i="4"/>
  <c r="M77" i="4"/>
  <c r="F79" i="4"/>
  <c r="G78" i="4"/>
  <c r="E80" i="6"/>
  <c r="F80" i="6" s="1"/>
  <c r="E79" i="4"/>
  <c r="B82" i="6"/>
  <c r="B81" i="4"/>
  <c r="C80" i="4"/>
  <c r="D80" i="4" s="1" a="1"/>
  <c r="D80" i="4" s="1"/>
  <c r="H82" i="6" l="1"/>
  <c r="C82" i="6"/>
  <c r="D82" i="6" s="1" a="1"/>
  <c r="D82" i="6" s="1"/>
  <c r="G81" i="6"/>
  <c r="I81" i="6" s="1"/>
  <c r="J78" i="4"/>
  <c r="M78" i="4"/>
  <c r="F80" i="4"/>
  <c r="G79" i="4"/>
  <c r="E81" i="6"/>
  <c r="F81" i="6" s="1"/>
  <c r="E80" i="4"/>
  <c r="B83" i="6"/>
  <c r="B82" i="4"/>
  <c r="C81" i="4"/>
  <c r="D81" i="4" s="1" a="1"/>
  <c r="D81" i="4" s="1"/>
  <c r="H83" i="6" l="1"/>
  <c r="C83" i="6"/>
  <c r="D83" i="6" s="1" a="1"/>
  <c r="D83" i="6" s="1"/>
  <c r="G82" i="6"/>
  <c r="I82" i="6" s="1"/>
  <c r="J79" i="4"/>
  <c r="M79" i="4"/>
  <c r="F81" i="4"/>
  <c r="G80" i="4"/>
  <c r="E82" i="6"/>
  <c r="F82" i="6" s="1"/>
  <c r="E81" i="4"/>
  <c r="B84" i="6"/>
  <c r="B83" i="4"/>
  <c r="C82" i="4"/>
  <c r="D82" i="4" s="1" a="1"/>
  <c r="D82" i="4" s="1"/>
  <c r="H84" i="6" l="1"/>
  <c r="C84" i="6"/>
  <c r="D84" i="6" s="1" a="1"/>
  <c r="D84" i="6" s="1"/>
  <c r="G83" i="6"/>
  <c r="I83" i="6" s="1"/>
  <c r="J80" i="4"/>
  <c r="M80" i="4"/>
  <c r="F82" i="4"/>
  <c r="G81" i="4"/>
  <c r="E83" i="6"/>
  <c r="F83" i="6" s="1"/>
  <c r="E82" i="4"/>
  <c r="B85" i="6"/>
  <c r="B84" i="4"/>
  <c r="C83" i="4"/>
  <c r="D83" i="4" s="1" a="1"/>
  <c r="D83" i="4" s="1"/>
  <c r="H85" i="6" l="1"/>
  <c r="C85" i="6"/>
  <c r="D85" i="6" s="1" a="1"/>
  <c r="D85" i="6" s="1"/>
  <c r="G84" i="6"/>
  <c r="I84" i="6" s="1"/>
  <c r="J81" i="4"/>
  <c r="M81" i="4"/>
  <c r="F83" i="4"/>
  <c r="G82" i="4"/>
  <c r="E84" i="6"/>
  <c r="F84" i="6" s="1"/>
  <c r="E83" i="4"/>
  <c r="B86" i="6"/>
  <c r="B85" i="4"/>
  <c r="C84" i="4"/>
  <c r="D84" i="4" s="1" a="1"/>
  <c r="D84" i="4" s="1"/>
  <c r="H86" i="6" l="1"/>
  <c r="C86" i="6"/>
  <c r="D86" i="6" s="1" a="1"/>
  <c r="D86" i="6" s="1"/>
  <c r="G85" i="6"/>
  <c r="I85" i="6" s="1"/>
  <c r="J82" i="4"/>
  <c r="M82" i="4"/>
  <c r="F84" i="4"/>
  <c r="G83" i="4"/>
  <c r="E85" i="6"/>
  <c r="F85" i="6" s="1"/>
  <c r="E84" i="4"/>
  <c r="B87" i="6"/>
  <c r="B86" i="4"/>
  <c r="C85" i="4"/>
  <c r="D85" i="4" s="1" a="1"/>
  <c r="D85" i="4" s="1"/>
  <c r="H87" i="6" l="1"/>
  <c r="C87" i="6"/>
  <c r="D87" i="6" s="1" a="1"/>
  <c r="D87" i="6" s="1"/>
  <c r="G86" i="6"/>
  <c r="I86" i="6" s="1"/>
  <c r="J83" i="4"/>
  <c r="M83" i="4"/>
  <c r="F85" i="4"/>
  <c r="G84" i="4"/>
  <c r="E86" i="6"/>
  <c r="F86" i="6" s="1"/>
  <c r="E85" i="4"/>
  <c r="B88" i="6"/>
  <c r="B87" i="4"/>
  <c r="C86" i="4"/>
  <c r="D86" i="4" s="1" a="1"/>
  <c r="D86" i="4" s="1"/>
  <c r="H88" i="6" l="1"/>
  <c r="C88" i="6"/>
  <c r="D88" i="6" s="1" a="1"/>
  <c r="D88" i="6" s="1"/>
  <c r="G87" i="6"/>
  <c r="I87" i="6" s="1"/>
  <c r="J84" i="4"/>
  <c r="M84" i="4"/>
  <c r="F86" i="4"/>
  <c r="G85" i="4"/>
  <c r="E87" i="6"/>
  <c r="F87" i="6" s="1"/>
  <c r="E86" i="4"/>
  <c r="B89" i="6"/>
  <c r="B88" i="4"/>
  <c r="C87" i="4"/>
  <c r="D87" i="4" s="1" a="1"/>
  <c r="D87" i="4" s="1"/>
  <c r="H89" i="6" l="1"/>
  <c r="C89" i="6"/>
  <c r="D89" i="6" s="1" a="1"/>
  <c r="D89" i="6" s="1"/>
  <c r="G88" i="6"/>
  <c r="I88" i="6" s="1"/>
  <c r="J85" i="4"/>
  <c r="M85" i="4"/>
  <c r="F87" i="4"/>
  <c r="G86" i="4"/>
  <c r="E88" i="6"/>
  <c r="F88" i="6" s="1"/>
  <c r="E87" i="4"/>
  <c r="B90" i="6"/>
  <c r="B89" i="4"/>
  <c r="C88" i="4"/>
  <c r="D88" i="4" s="1" a="1"/>
  <c r="D88" i="4" s="1"/>
  <c r="H90" i="6" l="1"/>
  <c r="C90" i="6"/>
  <c r="D90" i="6" s="1" a="1"/>
  <c r="D90" i="6" s="1"/>
  <c r="G89" i="6"/>
  <c r="I89" i="6" s="1"/>
  <c r="J86" i="4"/>
  <c r="M86" i="4"/>
  <c r="F88" i="4"/>
  <c r="G87" i="4"/>
  <c r="E89" i="6"/>
  <c r="F89" i="6" s="1"/>
  <c r="E88" i="4"/>
  <c r="B91" i="6"/>
  <c r="B90" i="4"/>
  <c r="C89" i="4"/>
  <c r="D89" i="4" s="1" a="1"/>
  <c r="D89" i="4" s="1"/>
  <c r="H91" i="6" l="1"/>
  <c r="C91" i="6"/>
  <c r="D91" i="6" s="1" a="1"/>
  <c r="D91" i="6" s="1"/>
  <c r="G90" i="6"/>
  <c r="I90" i="6" s="1"/>
  <c r="J87" i="4"/>
  <c r="M87" i="4"/>
  <c r="F89" i="4"/>
  <c r="G88" i="4"/>
  <c r="E90" i="6"/>
  <c r="F90" i="6" s="1"/>
  <c r="E89" i="4"/>
  <c r="B92" i="6"/>
  <c r="B91" i="4"/>
  <c r="C90" i="4"/>
  <c r="D90" i="4" s="1" a="1"/>
  <c r="D90" i="4" s="1"/>
  <c r="H92" i="6" l="1"/>
  <c r="C92" i="6"/>
  <c r="D92" i="6" s="1" a="1"/>
  <c r="D92" i="6" s="1"/>
  <c r="G91" i="6"/>
  <c r="I91" i="6" s="1"/>
  <c r="J88" i="4"/>
  <c r="M88" i="4"/>
  <c r="F90" i="4"/>
  <c r="G89" i="4"/>
  <c r="E91" i="6"/>
  <c r="F91" i="6" s="1"/>
  <c r="E90" i="4"/>
  <c r="B93" i="6"/>
  <c r="B92" i="4"/>
  <c r="C91" i="4"/>
  <c r="D91" i="4" s="1" a="1"/>
  <c r="D91" i="4" s="1"/>
  <c r="H93" i="6" l="1"/>
  <c r="C93" i="6"/>
  <c r="D93" i="6" s="1" a="1"/>
  <c r="D93" i="6" s="1"/>
  <c r="G92" i="6"/>
  <c r="I92" i="6" s="1"/>
  <c r="J89" i="4"/>
  <c r="M89" i="4"/>
  <c r="F91" i="4"/>
  <c r="G90" i="4"/>
  <c r="E92" i="6"/>
  <c r="F92" i="6" s="1"/>
  <c r="B94" i="6"/>
  <c r="B93" i="4"/>
  <c r="C92" i="4"/>
  <c r="D92" i="4" s="1" a="1"/>
  <c r="D92" i="4" s="1"/>
  <c r="H94" i="6" l="1"/>
  <c r="C94" i="6"/>
  <c r="D94" i="6" s="1" a="1"/>
  <c r="D94" i="6" s="1"/>
  <c r="G93" i="6"/>
  <c r="I93" i="6" s="1"/>
  <c r="J90" i="4"/>
  <c r="M90" i="4"/>
  <c r="G91" i="4"/>
  <c r="E91" i="4"/>
  <c r="F92" i="4" s="1"/>
  <c r="E93" i="6"/>
  <c r="F93" i="6" s="1"/>
  <c r="E92" i="4"/>
  <c r="B95" i="6"/>
  <c r="B94" i="4"/>
  <c r="C93" i="4"/>
  <c r="D93" i="4" s="1" a="1"/>
  <c r="D93" i="4" s="1"/>
  <c r="H95" i="6" l="1"/>
  <c r="C95" i="6"/>
  <c r="D95" i="6" s="1" a="1"/>
  <c r="D95" i="6" s="1"/>
  <c r="G94" i="6"/>
  <c r="I94" i="6" s="1"/>
  <c r="J91" i="4"/>
  <c r="M91" i="4"/>
  <c r="F93" i="4"/>
  <c r="G92" i="4"/>
  <c r="E94" i="6"/>
  <c r="F94" i="6" s="1"/>
  <c r="E93" i="4"/>
  <c r="B96" i="6"/>
  <c r="B95" i="4"/>
  <c r="C94" i="4"/>
  <c r="D94" i="4" s="1" a="1"/>
  <c r="D94" i="4" s="1"/>
  <c r="H96" i="6" l="1"/>
  <c r="C96" i="6"/>
  <c r="D96" i="6" s="1" a="1"/>
  <c r="D96" i="6" s="1"/>
  <c r="G95" i="6"/>
  <c r="I95" i="6" s="1"/>
  <c r="J92" i="4"/>
  <c r="M92" i="4"/>
  <c r="F94" i="4"/>
  <c r="G93" i="4"/>
  <c r="E95" i="6"/>
  <c r="F95" i="6" s="1"/>
  <c r="E94" i="4"/>
  <c r="B97" i="6"/>
  <c r="B96" i="4"/>
  <c r="C95" i="4"/>
  <c r="D95" i="4" s="1" a="1"/>
  <c r="D95" i="4" s="1"/>
  <c r="H97" i="6" l="1"/>
  <c r="C97" i="6"/>
  <c r="D97" i="6" s="1" a="1"/>
  <c r="D97" i="6" s="1"/>
  <c r="G96" i="6"/>
  <c r="I96" i="6" s="1"/>
  <c r="J93" i="4"/>
  <c r="M93" i="4"/>
  <c r="F95" i="4"/>
  <c r="G94" i="4"/>
  <c r="E96" i="6"/>
  <c r="F96" i="6" s="1"/>
  <c r="E95" i="4"/>
  <c r="B98" i="6"/>
  <c r="B97" i="4"/>
  <c r="C96" i="4"/>
  <c r="D96" i="4" s="1" a="1"/>
  <c r="D96" i="4" s="1"/>
  <c r="H98" i="6" l="1"/>
  <c r="C98" i="6"/>
  <c r="D98" i="6" s="1" a="1"/>
  <c r="D98" i="6" s="1"/>
  <c r="G97" i="6"/>
  <c r="I97" i="6" s="1"/>
  <c r="J94" i="4"/>
  <c r="M94" i="4"/>
  <c r="F96" i="4"/>
  <c r="G95" i="4"/>
  <c r="E97" i="6"/>
  <c r="F97" i="6" s="1"/>
  <c r="E96" i="4"/>
  <c r="B99" i="6"/>
  <c r="B98" i="4"/>
  <c r="C97" i="4"/>
  <c r="D97" i="4" s="1" a="1"/>
  <c r="D97" i="4" s="1"/>
  <c r="H99" i="6" l="1"/>
  <c r="C99" i="6"/>
  <c r="D99" i="6" s="1" a="1"/>
  <c r="D99" i="6" s="1"/>
  <c r="G98" i="6"/>
  <c r="I98" i="6" s="1"/>
  <c r="J95" i="4"/>
  <c r="M95" i="4"/>
  <c r="F97" i="4"/>
  <c r="G96" i="4"/>
  <c r="E98" i="6"/>
  <c r="F98" i="6" s="1"/>
  <c r="E97" i="4"/>
  <c r="B100" i="6"/>
  <c r="B99" i="4"/>
  <c r="C98" i="4"/>
  <c r="D98" i="4" s="1" a="1"/>
  <c r="D98" i="4" s="1"/>
  <c r="H100" i="6" l="1"/>
  <c r="C100" i="6"/>
  <c r="D100" i="6" s="1" a="1"/>
  <c r="D100" i="6" s="1"/>
  <c r="G99" i="6"/>
  <c r="I99" i="6" s="1"/>
  <c r="J96" i="4"/>
  <c r="M96" i="4"/>
  <c r="F98" i="4"/>
  <c r="G97" i="4"/>
  <c r="E99" i="6"/>
  <c r="F99" i="6" s="1"/>
  <c r="E98" i="4"/>
  <c r="B101" i="6"/>
  <c r="B100" i="4"/>
  <c r="C99" i="4"/>
  <c r="D99" i="4" s="1" a="1"/>
  <c r="D99" i="4" s="1"/>
  <c r="H101" i="6" l="1"/>
  <c r="C101" i="6"/>
  <c r="D101" i="6" s="1" a="1"/>
  <c r="D101" i="6" s="1"/>
  <c r="G100" i="6"/>
  <c r="I100" i="6" s="1"/>
  <c r="J97" i="4"/>
  <c r="M97" i="4"/>
  <c r="F99" i="4"/>
  <c r="G98" i="4"/>
  <c r="E100" i="6"/>
  <c r="F100" i="6" s="1"/>
  <c r="E99" i="4"/>
  <c r="B102" i="6"/>
  <c r="B101" i="4"/>
  <c r="C100" i="4"/>
  <c r="D100" i="4" s="1" a="1"/>
  <c r="D100" i="4" s="1"/>
  <c r="H102" i="6" l="1"/>
  <c r="C102" i="6"/>
  <c r="D102" i="6" s="1" a="1"/>
  <c r="D102" i="6" s="1"/>
  <c r="G101" i="6"/>
  <c r="I101" i="6" s="1"/>
  <c r="J98" i="4"/>
  <c r="M98" i="4"/>
  <c r="F100" i="4"/>
  <c r="G99" i="4"/>
  <c r="E101" i="6"/>
  <c r="F101" i="6" s="1"/>
  <c r="E100" i="4"/>
  <c r="B103" i="6"/>
  <c r="B102" i="4"/>
  <c r="C101" i="4"/>
  <c r="D101" i="4" s="1" a="1"/>
  <c r="D101" i="4" s="1"/>
  <c r="H103" i="6" l="1"/>
  <c r="C103" i="6"/>
  <c r="D103" i="6" s="1" a="1"/>
  <c r="D103" i="6" s="1"/>
  <c r="G102" i="6"/>
  <c r="I102" i="6" s="1"/>
  <c r="J99" i="4"/>
  <c r="M99" i="4"/>
  <c r="F101" i="4"/>
  <c r="G100" i="4"/>
  <c r="E102" i="6"/>
  <c r="F102" i="6" s="1"/>
  <c r="B104" i="6"/>
  <c r="B103" i="4"/>
  <c r="C102" i="4"/>
  <c r="D102" i="4" s="1" a="1"/>
  <c r="D102" i="4" s="1"/>
  <c r="H104" i="6" l="1"/>
  <c r="C104" i="6"/>
  <c r="D104" i="6" s="1" a="1"/>
  <c r="D104" i="6" s="1"/>
  <c r="G103" i="6"/>
  <c r="I103" i="6" s="1"/>
  <c r="J100" i="4"/>
  <c r="M100" i="4"/>
  <c r="G101" i="4"/>
  <c r="E101" i="4"/>
  <c r="F102" i="4" s="1"/>
  <c r="E103" i="6"/>
  <c r="F103" i="6" s="1"/>
  <c r="E102" i="4"/>
  <c r="B105" i="6"/>
  <c r="B104" i="4"/>
  <c r="C103" i="4"/>
  <c r="D103" i="4" s="1" a="1"/>
  <c r="D103" i="4" s="1"/>
  <c r="H105" i="6" l="1"/>
  <c r="C105" i="6"/>
  <c r="D105" i="6" s="1" a="1"/>
  <c r="D105" i="6" s="1"/>
  <c r="G104" i="6"/>
  <c r="I104" i="6" s="1"/>
  <c r="J101" i="4"/>
  <c r="M101" i="4"/>
  <c r="F103" i="4"/>
  <c r="G102" i="4"/>
  <c r="E104" i="6"/>
  <c r="F104" i="6" s="1"/>
  <c r="E103" i="4"/>
  <c r="B106" i="6"/>
  <c r="B105" i="4"/>
  <c r="C104" i="4"/>
  <c r="D104" i="4" s="1" a="1"/>
  <c r="D104" i="4" s="1"/>
  <c r="H106" i="6" l="1"/>
  <c r="C106" i="6"/>
  <c r="D106" i="6" s="1" a="1"/>
  <c r="D106" i="6" s="1"/>
  <c r="G105" i="6"/>
  <c r="I105" i="6" s="1"/>
  <c r="F104" i="4"/>
  <c r="J102" i="4"/>
  <c r="M102" i="4"/>
  <c r="G103" i="4"/>
  <c r="E105" i="6"/>
  <c r="F105" i="6" s="1"/>
  <c r="E104" i="4"/>
  <c r="B107" i="6"/>
  <c r="B106" i="4"/>
  <c r="C105" i="4"/>
  <c r="D105" i="4" s="1" a="1"/>
  <c r="D105" i="4" s="1"/>
  <c r="H107" i="6" l="1"/>
  <c r="C107" i="6"/>
  <c r="D107" i="6" s="1" a="1"/>
  <c r="D107" i="6" s="1"/>
  <c r="G106" i="6"/>
  <c r="I106" i="6" s="1"/>
  <c r="F105" i="4"/>
  <c r="J103" i="4"/>
  <c r="M103" i="4"/>
  <c r="G104" i="4"/>
  <c r="E106" i="6"/>
  <c r="F106" i="6" s="1"/>
  <c r="B108" i="6"/>
  <c r="B107" i="4"/>
  <c r="C106" i="4"/>
  <c r="D106" i="4" s="1" a="1"/>
  <c r="D106" i="4" s="1"/>
  <c r="H108" i="6" l="1"/>
  <c r="C108" i="6"/>
  <c r="D108" i="6" s="1" a="1"/>
  <c r="D108" i="6" s="1"/>
  <c r="G107" i="6"/>
  <c r="I107" i="6" s="1"/>
  <c r="G105" i="4"/>
  <c r="J105" i="4" s="1"/>
  <c r="M105" i="4"/>
  <c r="J104" i="4"/>
  <c r="M104" i="4"/>
  <c r="E105" i="4"/>
  <c r="F106" i="4" s="1"/>
  <c r="E107" i="6"/>
  <c r="F107" i="6" s="1"/>
  <c r="E106" i="4"/>
  <c r="B109" i="6"/>
  <c r="B108" i="4"/>
  <c r="C107" i="4"/>
  <c r="D107" i="4" s="1" a="1"/>
  <c r="D107" i="4" s="1"/>
  <c r="H109" i="6" l="1"/>
  <c r="C109" i="6"/>
  <c r="D109" i="6" s="1" a="1"/>
  <c r="D109" i="6" s="1"/>
  <c r="G108" i="6"/>
  <c r="I108" i="6" s="1"/>
  <c r="G106" i="4"/>
  <c r="F107" i="4"/>
  <c r="E108" i="6"/>
  <c r="F108" i="6" s="1"/>
  <c r="B110" i="6"/>
  <c r="B109" i="4"/>
  <c r="C108" i="4"/>
  <c r="D108" i="4" s="1" a="1"/>
  <c r="D108" i="4" s="1"/>
  <c r="H110" i="6" l="1"/>
  <c r="C110" i="6"/>
  <c r="D110" i="6" s="1" a="1"/>
  <c r="D110" i="6" s="1"/>
  <c r="G109" i="6"/>
  <c r="I109" i="6" s="1"/>
  <c r="J106" i="4"/>
  <c r="M106" i="4"/>
  <c r="G107" i="4"/>
  <c r="E107" i="4"/>
  <c r="F108" i="4" s="1"/>
  <c r="E109" i="6"/>
  <c r="F109" i="6" s="1"/>
  <c r="B111" i="6"/>
  <c r="C109" i="4"/>
  <c r="D109" i="4" s="1" a="1"/>
  <c r="D109" i="4" s="1"/>
  <c r="B110" i="4"/>
  <c r="H111" i="6" l="1"/>
  <c r="C111" i="6"/>
  <c r="D111" i="6" s="1" a="1"/>
  <c r="D111" i="6" s="1"/>
  <c r="G110" i="6"/>
  <c r="I110" i="6" s="1"/>
  <c r="J107" i="4"/>
  <c r="M107" i="4"/>
  <c r="G108" i="4"/>
  <c r="E108" i="4"/>
  <c r="F109" i="4" s="1"/>
  <c r="E110" i="6"/>
  <c r="F110" i="6" s="1"/>
  <c r="B112" i="6"/>
  <c r="B111" i="4"/>
  <c r="C110" i="4"/>
  <c r="D110" i="4" s="1" a="1"/>
  <c r="D110" i="4" s="1"/>
  <c r="H112" i="6" l="1"/>
  <c r="C112" i="6"/>
  <c r="D112" i="6" s="1" a="1"/>
  <c r="D112" i="6" s="1"/>
  <c r="G111" i="6"/>
  <c r="I111" i="6" s="1"/>
  <c r="J108" i="4"/>
  <c r="M108" i="4"/>
  <c r="G109" i="4"/>
  <c r="E109" i="4"/>
  <c r="F110" i="4" s="1"/>
  <c r="E111" i="6"/>
  <c r="F111" i="6" s="1"/>
  <c r="E110" i="4"/>
  <c r="B113" i="6"/>
  <c r="C111" i="4"/>
  <c r="D111" i="4" s="1" a="1"/>
  <c r="D111" i="4" s="1"/>
  <c r="B112" i="4"/>
  <c r="H113" i="6" l="1"/>
  <c r="C113" i="6"/>
  <c r="D113" i="6" s="1" a="1"/>
  <c r="D113" i="6" s="1"/>
  <c r="G112" i="6"/>
  <c r="I112" i="6" s="1"/>
  <c r="J109" i="4"/>
  <c r="M109" i="4"/>
  <c r="F111" i="4"/>
  <c r="G110" i="4"/>
  <c r="E112" i="6"/>
  <c r="F112" i="6" s="1"/>
  <c r="B114" i="6"/>
  <c r="B113" i="4"/>
  <c r="C112" i="4"/>
  <c r="D112" i="4" s="1" a="1"/>
  <c r="D112" i="4" s="1"/>
  <c r="H114" i="6" l="1"/>
  <c r="C114" i="6"/>
  <c r="D114" i="6" s="1" a="1"/>
  <c r="D114" i="6" s="1"/>
  <c r="G113" i="6"/>
  <c r="I113" i="6" s="1"/>
  <c r="J110" i="4"/>
  <c r="M110" i="4"/>
  <c r="G111" i="4"/>
  <c r="E111" i="4"/>
  <c r="F112" i="4" s="1"/>
  <c r="E113" i="6"/>
  <c r="F113" i="6" s="1"/>
  <c r="E112" i="4"/>
  <c r="B115" i="6"/>
  <c r="B114" i="4"/>
  <c r="C113" i="4"/>
  <c r="D113" i="4" s="1" a="1"/>
  <c r="D113" i="4" s="1"/>
  <c r="H115" i="6" l="1"/>
  <c r="C115" i="6"/>
  <c r="D115" i="6" s="1" a="1"/>
  <c r="D115" i="6" s="1"/>
  <c r="G114" i="6"/>
  <c r="I114" i="6" s="1"/>
  <c r="J111" i="4"/>
  <c r="M111" i="4"/>
  <c r="F113" i="4"/>
  <c r="G112" i="4"/>
  <c r="E114" i="6"/>
  <c r="F114" i="6" s="1"/>
  <c r="B116" i="6"/>
  <c r="C114" i="4"/>
  <c r="D114" i="4" s="1" a="1"/>
  <c r="D114" i="4" s="1"/>
  <c r="B115" i="4"/>
  <c r="H116" i="6" l="1"/>
  <c r="C116" i="6"/>
  <c r="D116" i="6" s="1" a="1"/>
  <c r="D116" i="6" s="1"/>
  <c r="G115" i="6"/>
  <c r="I115" i="6" s="1"/>
  <c r="J112" i="4"/>
  <c r="M112" i="4"/>
  <c r="G113" i="4"/>
  <c r="E113" i="4"/>
  <c r="F114" i="4" s="1"/>
  <c r="E115" i="6"/>
  <c r="F115" i="6" s="1"/>
  <c r="E114" i="4"/>
  <c r="B117" i="6"/>
  <c r="B116" i="4"/>
  <c r="C115" i="4"/>
  <c r="D115" i="4" s="1" a="1"/>
  <c r="D115" i="4" s="1"/>
  <c r="H117" i="6" l="1"/>
  <c r="C117" i="6"/>
  <c r="D117" i="6" s="1" a="1"/>
  <c r="D117" i="6" s="1"/>
  <c r="G116" i="6"/>
  <c r="I116" i="6" s="1"/>
  <c r="J113" i="4"/>
  <c r="M113" i="4"/>
  <c r="G114" i="4"/>
  <c r="F115" i="4"/>
  <c r="E116" i="6"/>
  <c r="F116" i="6" s="1"/>
  <c r="G117" i="6" s="1"/>
  <c r="I117" i="6" s="1"/>
  <c r="B118" i="6"/>
  <c r="B117" i="4"/>
  <c r="C116" i="4"/>
  <c r="D116" i="4" s="1" a="1"/>
  <c r="D116" i="4" s="1"/>
  <c r="H118" i="6" l="1"/>
  <c r="C118" i="6"/>
  <c r="D118" i="6" s="1" a="1"/>
  <c r="D118" i="6" s="1"/>
  <c r="J114" i="4"/>
  <c r="M114" i="4"/>
  <c r="G115" i="4"/>
  <c r="E115" i="4"/>
  <c r="F116" i="4" s="1"/>
  <c r="E117" i="6"/>
  <c r="F117" i="6" s="1"/>
  <c r="G118" i="6" s="1"/>
  <c r="I118" i="6" s="1"/>
  <c r="E116" i="4"/>
  <c r="B119" i="6"/>
  <c r="B118" i="4"/>
  <c r="C117" i="4"/>
  <c r="D117" i="4" s="1" a="1"/>
  <c r="D117" i="4" s="1"/>
  <c r="H119" i="6" l="1"/>
  <c r="C119" i="6"/>
  <c r="D119" i="6" s="1" a="1"/>
  <c r="D119" i="6" s="1"/>
  <c r="J115" i="4"/>
  <c r="M115" i="4"/>
  <c r="G116" i="4"/>
  <c r="F117" i="4"/>
  <c r="E118" i="6"/>
  <c r="F118" i="6" s="1"/>
  <c r="G119" i="6" s="1"/>
  <c r="I119" i="6" s="1"/>
  <c r="B120" i="6"/>
  <c r="B119" i="4"/>
  <c r="C118" i="4"/>
  <c r="D118" i="4" s="1" a="1"/>
  <c r="D118" i="4" s="1"/>
  <c r="H120" i="6" l="1"/>
  <c r="C120" i="6"/>
  <c r="D120" i="6" s="1" a="1"/>
  <c r="D120" i="6" s="1"/>
  <c r="J116" i="4"/>
  <c r="M116" i="4"/>
  <c r="G117" i="4"/>
  <c r="E117" i="4"/>
  <c r="F118" i="4" s="1"/>
  <c r="E119" i="6"/>
  <c r="F119" i="6" s="1"/>
  <c r="G120" i="6" s="1"/>
  <c r="I120" i="6" s="1"/>
  <c r="E118" i="4"/>
  <c r="B121" i="6"/>
  <c r="B120" i="4"/>
  <c r="C119" i="4"/>
  <c r="D119" i="4" s="1" a="1"/>
  <c r="D119" i="4" s="1"/>
  <c r="H121" i="6" l="1"/>
  <c r="C121" i="6"/>
  <c r="D121" i="6" s="1" a="1"/>
  <c r="D121" i="6" s="1"/>
  <c r="J117" i="4"/>
  <c r="M117" i="4"/>
  <c r="G118" i="4"/>
  <c r="F119" i="4"/>
  <c r="E120" i="6"/>
  <c r="F120" i="6" s="1"/>
  <c r="G121" i="6" s="1"/>
  <c r="I121" i="6" s="1"/>
  <c r="B122" i="6"/>
  <c r="B121" i="4"/>
  <c r="C120" i="4"/>
  <c r="D120" i="4" s="1" a="1"/>
  <c r="D120" i="4" s="1"/>
  <c r="H122" i="6" l="1"/>
  <c r="C122" i="6"/>
  <c r="D122" i="6" s="1" a="1"/>
  <c r="D122" i="6" s="1"/>
  <c r="J118" i="4"/>
  <c r="M118" i="4"/>
  <c r="G119" i="4"/>
  <c r="E119" i="4"/>
  <c r="F120" i="4" s="1"/>
  <c r="E121" i="6"/>
  <c r="F121" i="6" s="1"/>
  <c r="G122" i="6" s="1"/>
  <c r="I122" i="6" s="1"/>
  <c r="B123" i="6"/>
  <c r="B122" i="4"/>
  <c r="C121" i="4"/>
  <c r="D121" i="4" s="1" a="1"/>
  <c r="D121" i="4" s="1"/>
  <c r="H123" i="6" l="1"/>
  <c r="C123" i="6"/>
  <c r="D123" i="6" s="1" a="1"/>
  <c r="D123" i="6" s="1"/>
  <c r="J119" i="4"/>
  <c r="M119" i="4"/>
  <c r="G120" i="4"/>
  <c r="E120" i="4"/>
  <c r="F121" i="4" s="1"/>
  <c r="E122" i="6"/>
  <c r="F122" i="6" s="1"/>
  <c r="G123" i="6" s="1"/>
  <c r="I123" i="6" s="1"/>
  <c r="E121" i="4"/>
  <c r="B124" i="6"/>
  <c r="B123" i="4"/>
  <c r="C122" i="4"/>
  <c r="D122" i="4" s="1" a="1"/>
  <c r="D122" i="4" s="1"/>
  <c r="H124" i="6" l="1"/>
  <c r="C124" i="6"/>
  <c r="D124" i="6" s="1" a="1"/>
  <c r="D124" i="6" s="1"/>
  <c r="J120" i="4"/>
  <c r="M120" i="4"/>
  <c r="F122" i="4"/>
  <c r="G121" i="4"/>
  <c r="E123" i="6"/>
  <c r="F123" i="6" s="1"/>
  <c r="G124" i="6" s="1"/>
  <c r="I124" i="6" s="1"/>
  <c r="E122" i="4"/>
  <c r="B125" i="6"/>
  <c r="B124" i="4"/>
  <c r="C123" i="4"/>
  <c r="D123" i="4" s="1" a="1"/>
  <c r="D123" i="4" s="1"/>
  <c r="H125" i="6" l="1"/>
  <c r="C125" i="6"/>
  <c r="D125" i="6" s="1" a="1"/>
  <c r="D125" i="6" s="1"/>
  <c r="J121" i="4"/>
  <c r="M121" i="4"/>
  <c r="F123" i="4"/>
  <c r="G122" i="4"/>
  <c r="E124" i="6"/>
  <c r="F124" i="6" s="1"/>
  <c r="G125" i="6" s="1"/>
  <c r="I125" i="6" s="1"/>
  <c r="B126" i="6"/>
  <c r="C124" i="4"/>
  <c r="D124" i="4" s="1" a="1"/>
  <c r="D124" i="4" s="1"/>
  <c r="B125" i="4"/>
  <c r="H126" i="6" l="1"/>
  <c r="C126" i="6"/>
  <c r="D126" i="6" s="1" a="1"/>
  <c r="D126" i="6" s="1"/>
  <c r="J122" i="4"/>
  <c r="M122" i="4"/>
  <c r="G123" i="4"/>
  <c r="E123" i="4"/>
  <c r="F124" i="4" s="1"/>
  <c r="E125" i="6"/>
  <c r="F125" i="6" s="1"/>
  <c r="G126" i="6" s="1"/>
  <c r="I126" i="6" s="1"/>
  <c r="B127" i="6"/>
  <c r="B126" i="4"/>
  <c r="C125" i="4"/>
  <c r="D125" i="4" s="1" a="1"/>
  <c r="D125" i="4" s="1"/>
  <c r="H127" i="6" l="1"/>
  <c r="C127" i="6"/>
  <c r="D127" i="6" s="1" a="1"/>
  <c r="D127" i="6" s="1"/>
  <c r="J123" i="4"/>
  <c r="M123" i="4"/>
  <c r="G124" i="4"/>
  <c r="E124" i="4"/>
  <c r="F125" i="4" s="1"/>
  <c r="E126" i="6"/>
  <c r="F126" i="6" s="1"/>
  <c r="G127" i="6" s="1"/>
  <c r="I127" i="6" s="1"/>
  <c r="B128" i="6"/>
  <c r="B127" i="4"/>
  <c r="C126" i="4"/>
  <c r="D126" i="4" s="1" a="1"/>
  <c r="D126" i="4" s="1"/>
  <c r="H128" i="6" l="1"/>
  <c r="C128" i="6"/>
  <c r="D128" i="6" s="1" a="1"/>
  <c r="D128" i="6" s="1"/>
  <c r="J124" i="4"/>
  <c r="M124" i="4"/>
  <c r="G125" i="4"/>
  <c r="E125" i="4"/>
  <c r="F126" i="4" s="1"/>
  <c r="E127" i="6"/>
  <c r="F127" i="6" s="1"/>
  <c r="G128" i="6" s="1"/>
  <c r="I128" i="6" s="1"/>
  <c r="B129" i="6"/>
  <c r="B128" i="4"/>
  <c r="C127" i="4"/>
  <c r="D127" i="4" s="1" a="1"/>
  <c r="D127" i="4" s="1"/>
  <c r="H129" i="6" l="1"/>
  <c r="C129" i="6"/>
  <c r="D129" i="6" s="1" a="1"/>
  <c r="D129" i="6" s="1"/>
  <c r="J125" i="4"/>
  <c r="M125" i="4"/>
  <c r="G126" i="4"/>
  <c r="E126" i="4"/>
  <c r="F127" i="4" s="1"/>
  <c r="E128" i="6"/>
  <c r="F128" i="6" s="1"/>
  <c r="G129" i="6" s="1"/>
  <c r="I129" i="6" s="1"/>
  <c r="B130" i="6"/>
  <c r="C128" i="4"/>
  <c r="D128" i="4" s="1" a="1"/>
  <c r="D128" i="4" s="1"/>
  <c r="B129" i="4"/>
  <c r="H130" i="6" l="1"/>
  <c r="C130" i="6"/>
  <c r="D130" i="6" s="1" a="1"/>
  <c r="D130" i="6" s="1"/>
  <c r="J126" i="4"/>
  <c r="M126" i="4"/>
  <c r="G127" i="4"/>
  <c r="E127" i="4"/>
  <c r="F128" i="4" s="1"/>
  <c r="E129" i="6"/>
  <c r="F129" i="6" s="1"/>
  <c r="G130" i="6" s="1"/>
  <c r="I130" i="6" s="1"/>
  <c r="E128" i="4"/>
  <c r="B131" i="6"/>
  <c r="C129" i="4"/>
  <c r="D129" i="4" s="1" a="1"/>
  <c r="D129" i="4" s="1"/>
  <c r="H131" i="6" l="1"/>
  <c r="C131" i="6"/>
  <c r="D131" i="6" s="1" a="1"/>
  <c r="D131" i="6" s="1"/>
  <c r="J127" i="4"/>
  <c r="M127" i="4"/>
  <c r="F129" i="4"/>
  <c r="G128" i="4"/>
  <c r="E130" i="6"/>
  <c r="F130" i="6" s="1"/>
  <c r="G131" i="6" s="1"/>
  <c r="I131" i="6" s="1"/>
  <c r="E129" i="4"/>
  <c r="B132" i="6"/>
  <c r="K130" i="4"/>
  <c r="H132" i="6" l="1"/>
  <c r="C132" i="6"/>
  <c r="D132" i="6" s="1" a="1"/>
  <c r="D132" i="6" s="1"/>
  <c r="J128" i="4"/>
  <c r="M128" i="4"/>
  <c r="G129" i="4"/>
  <c r="E131" i="6"/>
  <c r="F131" i="6" s="1"/>
  <c r="G132" i="6" s="1"/>
  <c r="I132" i="6" s="1"/>
  <c r="B133" i="6"/>
  <c r="H133" i="6" l="1"/>
  <c r="C133" i="6"/>
  <c r="D133" i="6" s="1" a="1"/>
  <c r="D133" i="6" s="1"/>
  <c r="J129" i="4"/>
  <c r="J130" i="4" s="1"/>
  <c r="C18" i="5" s="1"/>
  <c r="E132" i="6"/>
  <c r="F132" i="6" s="1"/>
  <c r="G133" i="6" s="1"/>
  <c r="I133" i="6" s="1"/>
  <c r="B134" i="6"/>
  <c r="H134" i="6" l="1"/>
  <c r="C134" i="6"/>
  <c r="D134" i="6" s="1" a="1"/>
  <c r="D134" i="6" s="1"/>
  <c r="L130" i="4"/>
  <c r="M129" i="4"/>
  <c r="M130" i="4" s="1"/>
  <c r="E133" i="6"/>
  <c r="F133" i="6" s="1"/>
  <c r="G134" i="6" s="1"/>
  <c r="I134" i="6" s="1"/>
  <c r="B135" i="6"/>
  <c r="H135" i="6" l="1"/>
  <c r="C135" i="6"/>
  <c r="D135" i="6" s="1" a="1"/>
  <c r="D135" i="6" s="1"/>
  <c r="E134" i="6"/>
  <c r="F134" i="6" s="1"/>
  <c r="G135" i="6" s="1"/>
  <c r="I135" i="6" s="1"/>
  <c r="B136" i="6"/>
  <c r="H136" i="6" l="1"/>
  <c r="C136" i="6"/>
  <c r="D136" i="6" s="1" a="1"/>
  <c r="D136" i="6" s="1"/>
  <c r="E135" i="6"/>
  <c r="F135" i="6" s="1"/>
  <c r="G136" i="6" s="1"/>
  <c r="I136" i="6" s="1"/>
  <c r="B137" i="6"/>
  <c r="H137" i="6" l="1"/>
  <c r="C137" i="6"/>
  <c r="D137" i="6" s="1" a="1"/>
  <c r="D137" i="6" s="1"/>
  <c r="E136" i="6"/>
  <c r="F136" i="6" s="1"/>
  <c r="G137" i="6" s="1"/>
  <c r="I137" i="6" s="1"/>
  <c r="B138" i="6"/>
  <c r="H138" i="6" l="1"/>
  <c r="C138" i="6"/>
  <c r="D138" i="6" s="1" a="1"/>
  <c r="D138" i="6" s="1"/>
  <c r="E137" i="6"/>
  <c r="F137" i="6" s="1"/>
  <c r="G138" i="6" s="1"/>
  <c r="I138" i="6" s="1"/>
  <c r="B139" i="6"/>
  <c r="H139" i="6" l="1"/>
  <c r="C139" i="6"/>
  <c r="D139" i="6" s="1" a="1"/>
  <c r="D139" i="6" s="1"/>
  <c r="E138" i="6"/>
  <c r="F138" i="6" s="1"/>
  <c r="G139" i="6" s="1"/>
  <c r="I139" i="6" s="1"/>
  <c r="B140" i="6"/>
  <c r="H140" i="6" l="1"/>
  <c r="C140" i="6"/>
  <c r="D140" i="6" s="1" a="1"/>
  <c r="D140" i="6" s="1"/>
  <c r="E139" i="6"/>
  <c r="F139" i="6" s="1"/>
  <c r="G140" i="6" s="1"/>
  <c r="I140" i="6" s="1"/>
  <c r="B141" i="6"/>
  <c r="H141" i="6" l="1"/>
  <c r="C141" i="6"/>
  <c r="D141" i="6" s="1" a="1"/>
  <c r="D141" i="6" s="1"/>
  <c r="E140" i="6"/>
  <c r="F140" i="6" s="1"/>
  <c r="G141" i="6" s="1"/>
  <c r="I141" i="6" s="1"/>
  <c r="B142" i="6"/>
  <c r="H142" i="6" l="1"/>
  <c r="C142" i="6"/>
  <c r="D142" i="6" s="1" a="1"/>
  <c r="D142" i="6" s="1"/>
  <c r="E141" i="6"/>
  <c r="F141" i="6" s="1"/>
  <c r="G142" i="6" s="1"/>
  <c r="I142" i="6" s="1"/>
  <c r="B143" i="6"/>
  <c r="H143" i="6" l="1"/>
  <c r="C143" i="6"/>
  <c r="D143" i="6" s="1" a="1"/>
  <c r="D143" i="6" s="1"/>
  <c r="E142" i="6"/>
  <c r="F142" i="6" s="1"/>
  <c r="G143" i="6" s="1"/>
  <c r="I143" i="6" s="1"/>
  <c r="B144" i="6"/>
  <c r="H144" i="6" l="1"/>
  <c r="C144" i="6"/>
  <c r="D144" i="6" s="1" a="1"/>
  <c r="D144" i="6" s="1"/>
  <c r="E143" i="6"/>
  <c r="F143" i="6" s="1"/>
  <c r="G144" i="6" s="1"/>
  <c r="I144" i="6" s="1"/>
  <c r="B145" i="6"/>
  <c r="H145" i="6" l="1"/>
  <c r="C145" i="6"/>
  <c r="D145" i="6" s="1" a="1"/>
  <c r="D145" i="6" s="1"/>
  <c r="E144" i="6"/>
  <c r="F144" i="6" s="1"/>
  <c r="G145" i="6" s="1"/>
  <c r="I145" i="6" s="1"/>
  <c r="B146" i="6"/>
  <c r="H146" i="6" l="1"/>
  <c r="C146" i="6"/>
  <c r="D146" i="6" s="1" a="1"/>
  <c r="D146" i="6" s="1"/>
  <c r="E145" i="6"/>
  <c r="F145" i="6" s="1"/>
  <c r="G146" i="6" s="1"/>
  <c r="I146" i="6" s="1"/>
  <c r="B147" i="6"/>
  <c r="H147" i="6" l="1"/>
  <c r="C147" i="6"/>
  <c r="D147" i="6" s="1" a="1"/>
  <c r="D147" i="6" s="1"/>
  <c r="E146" i="6"/>
  <c r="F146" i="6" s="1"/>
  <c r="G147" i="6" s="1"/>
  <c r="I147" i="6" s="1"/>
  <c r="B148" i="6"/>
  <c r="H148" i="6" l="1"/>
  <c r="C148" i="6"/>
  <c r="D148" i="6" s="1" a="1"/>
  <c r="D148" i="6" s="1"/>
  <c r="E147" i="6"/>
  <c r="F147" i="6" s="1"/>
  <c r="G148" i="6" s="1"/>
  <c r="I148" i="6" s="1"/>
  <c r="B149" i="6"/>
  <c r="H149" i="6" l="1"/>
  <c r="C149" i="6"/>
  <c r="D149" i="6" s="1" a="1"/>
  <c r="D149" i="6" s="1"/>
  <c r="E148" i="6"/>
  <c r="F148" i="6" s="1"/>
  <c r="G149" i="6" s="1"/>
  <c r="I149" i="6" s="1"/>
  <c r="B150" i="6"/>
  <c r="H150" i="6" l="1"/>
  <c r="C150" i="6"/>
  <c r="D150" i="6" s="1" a="1"/>
  <c r="D150" i="6" s="1"/>
  <c r="E149" i="6"/>
  <c r="F149" i="6" s="1"/>
  <c r="G150" i="6" s="1"/>
  <c r="I150" i="6" s="1"/>
  <c r="B151" i="6"/>
  <c r="H151" i="6" l="1"/>
  <c r="C151" i="6"/>
  <c r="D151" i="6" s="1" a="1"/>
  <c r="D151" i="6" s="1"/>
  <c r="E150" i="6"/>
  <c r="F150" i="6" s="1"/>
  <c r="G151" i="6" s="1"/>
  <c r="I151" i="6" s="1"/>
  <c r="B152" i="6"/>
  <c r="H152" i="6" l="1"/>
  <c r="C152" i="6"/>
  <c r="D152" i="6" s="1" a="1"/>
  <c r="D152" i="6" s="1"/>
  <c r="E151" i="6"/>
  <c r="F151" i="6" s="1"/>
  <c r="G152" i="6" s="1"/>
  <c r="I152" i="6" s="1"/>
  <c r="B153" i="6"/>
  <c r="H153" i="6" l="1"/>
  <c r="C153" i="6"/>
  <c r="D153" i="6" s="1" a="1"/>
  <c r="D153" i="6" s="1"/>
  <c r="E152" i="6"/>
  <c r="F152" i="6" s="1"/>
  <c r="G153" i="6" s="1"/>
  <c r="I153" i="6" s="1"/>
  <c r="B154" i="6"/>
  <c r="H154" i="6" l="1"/>
  <c r="C154" i="6"/>
  <c r="D154" i="6" s="1" a="1"/>
  <c r="D154" i="6" s="1"/>
  <c r="E153" i="6"/>
  <c r="F153" i="6" s="1"/>
  <c r="G154" i="6" s="1"/>
  <c r="I154" i="6" s="1"/>
  <c r="B155" i="6"/>
  <c r="H155" i="6" l="1"/>
  <c r="C155" i="6"/>
  <c r="D155" i="6" s="1" a="1"/>
  <c r="D155" i="6" s="1"/>
  <c r="E154" i="6"/>
  <c r="F154" i="6" s="1"/>
  <c r="G155" i="6" s="1"/>
  <c r="I155" i="6" s="1"/>
  <c r="B156" i="6"/>
  <c r="H156" i="6" l="1"/>
  <c r="C156" i="6"/>
  <c r="D156" i="6" s="1" a="1"/>
  <c r="D156" i="6" s="1"/>
  <c r="E155" i="6"/>
  <c r="F155" i="6" s="1"/>
  <c r="G156" i="6" s="1"/>
  <c r="I156" i="6" s="1"/>
  <c r="B157" i="6"/>
  <c r="H157" i="6" l="1"/>
  <c r="C157" i="6"/>
  <c r="D157" i="6" s="1" a="1"/>
  <c r="D157" i="6" s="1"/>
  <c r="E156" i="6"/>
  <c r="F156" i="6" s="1"/>
  <c r="G157" i="6" s="1"/>
  <c r="I157" i="6" s="1"/>
  <c r="B158" i="6"/>
  <c r="H158" i="6" l="1"/>
  <c r="C158" i="6"/>
  <c r="D158" i="6" s="1" a="1"/>
  <c r="D158" i="6" s="1"/>
  <c r="E157" i="6"/>
  <c r="F157" i="6" s="1"/>
  <c r="G158" i="6" s="1"/>
  <c r="I158" i="6" s="1"/>
  <c r="B159" i="6"/>
  <c r="H159" i="6" l="1"/>
  <c r="C159" i="6"/>
  <c r="D159" i="6" s="1" a="1"/>
  <c r="D159" i="6" s="1"/>
  <c r="E158" i="6"/>
  <c r="F158" i="6" s="1"/>
  <c r="G159" i="6" s="1"/>
  <c r="I159" i="6" s="1"/>
  <c r="B160" i="6"/>
  <c r="H160" i="6" l="1"/>
  <c r="C160" i="6"/>
  <c r="D160" i="6" s="1" a="1"/>
  <c r="D160" i="6" s="1"/>
  <c r="E159" i="6"/>
  <c r="F159" i="6" s="1"/>
  <c r="G160" i="6" s="1"/>
  <c r="I160" i="6" s="1"/>
  <c r="B161" i="6"/>
  <c r="H161" i="6" l="1"/>
  <c r="C161" i="6"/>
  <c r="D161" i="6" s="1" a="1"/>
  <c r="D161" i="6" s="1"/>
  <c r="E160" i="6"/>
  <c r="F160" i="6" s="1"/>
  <c r="G161" i="6" s="1"/>
  <c r="I161" i="6" s="1"/>
  <c r="B162" i="6"/>
  <c r="H162" i="6" l="1"/>
  <c r="C162" i="6"/>
  <c r="D162" i="6" s="1" a="1"/>
  <c r="D162" i="6" s="1"/>
  <c r="E161" i="6"/>
  <c r="F161" i="6" s="1"/>
  <c r="G162" i="6" s="1"/>
  <c r="I162" i="6" s="1"/>
  <c r="B163" i="6"/>
  <c r="H163" i="6" l="1"/>
  <c r="C163" i="6"/>
  <c r="D163" i="6" s="1" a="1"/>
  <c r="D163" i="6" s="1"/>
  <c r="E162" i="6"/>
  <c r="F162" i="6" s="1"/>
  <c r="G163" i="6" s="1"/>
  <c r="I163" i="6" s="1"/>
  <c r="B164" i="6"/>
  <c r="H164" i="6" l="1"/>
  <c r="C164" i="6"/>
  <c r="D164" i="6" s="1" a="1"/>
  <c r="D164" i="6" s="1"/>
  <c r="E163" i="6"/>
  <c r="F163" i="6" s="1"/>
  <c r="G164" i="6" s="1"/>
  <c r="I164" i="6" s="1"/>
  <c r="B165" i="6"/>
  <c r="H165" i="6" l="1"/>
  <c r="C165" i="6"/>
  <c r="D165" i="6" s="1" a="1"/>
  <c r="D165" i="6" s="1"/>
  <c r="E164" i="6"/>
  <c r="F164" i="6" s="1"/>
  <c r="G165" i="6" s="1"/>
  <c r="I165" i="6" s="1"/>
  <c r="B166" i="6"/>
  <c r="H166" i="6" l="1"/>
  <c r="C166" i="6"/>
  <c r="D166" i="6" s="1" a="1"/>
  <c r="D166" i="6" s="1"/>
  <c r="E165" i="6"/>
  <c r="F165" i="6" s="1"/>
  <c r="G166" i="6" s="1"/>
  <c r="I166" i="6" s="1"/>
  <c r="B167" i="6"/>
  <c r="H167" i="6" l="1"/>
  <c r="C167" i="6"/>
  <c r="D167" i="6" s="1" a="1"/>
  <c r="D167" i="6" s="1"/>
  <c r="E166" i="6"/>
  <c r="F166" i="6" s="1"/>
  <c r="G167" i="6" s="1"/>
  <c r="I167" i="6" s="1"/>
  <c r="B168" i="6"/>
  <c r="H168" i="6" l="1"/>
  <c r="C168" i="6"/>
  <c r="D168" i="6" s="1" a="1"/>
  <c r="D168" i="6" s="1"/>
  <c r="E167" i="6"/>
  <c r="F167" i="6" s="1"/>
  <c r="G168" i="6" s="1"/>
  <c r="I168" i="6" s="1"/>
  <c r="B169" i="6"/>
  <c r="H169" i="6" l="1"/>
  <c r="C169" i="6"/>
  <c r="D169" i="6" s="1" a="1"/>
  <c r="D169" i="6" s="1"/>
  <c r="E168" i="6"/>
  <c r="F168" i="6" s="1"/>
  <c r="G169" i="6" s="1"/>
  <c r="I169" i="6" s="1"/>
  <c r="B170" i="6"/>
  <c r="H170" i="6" l="1"/>
  <c r="C170" i="6"/>
  <c r="D170" i="6" s="1" a="1"/>
  <c r="D170" i="6" s="1"/>
  <c r="E169" i="6"/>
  <c r="F169" i="6" s="1"/>
  <c r="G170" i="6" s="1"/>
  <c r="I170" i="6" s="1"/>
  <c r="B171" i="6"/>
  <c r="H171" i="6" l="1"/>
  <c r="C171" i="6"/>
  <c r="D171" i="6" s="1" a="1"/>
  <c r="D171" i="6" s="1"/>
  <c r="E170" i="6"/>
  <c r="F170" i="6" s="1"/>
  <c r="G171" i="6" s="1"/>
  <c r="I171" i="6" s="1"/>
  <c r="B172" i="6"/>
  <c r="H172" i="6" l="1"/>
  <c r="C172" i="6"/>
  <c r="D172" i="6" s="1" a="1"/>
  <c r="D172" i="6" s="1"/>
  <c r="E171" i="6"/>
  <c r="F171" i="6" s="1"/>
  <c r="G172" i="6" s="1"/>
  <c r="I172" i="6" s="1"/>
  <c r="B173" i="6"/>
  <c r="H173" i="6" l="1"/>
  <c r="C173" i="6"/>
  <c r="D173" i="6" s="1" a="1"/>
  <c r="D173" i="6" s="1"/>
  <c r="E172" i="6"/>
  <c r="F172" i="6" s="1"/>
  <c r="G173" i="6" s="1"/>
  <c r="I173" i="6" s="1"/>
  <c r="B174" i="6"/>
  <c r="H174" i="6" l="1"/>
  <c r="C174" i="6"/>
  <c r="D174" i="6" s="1" a="1"/>
  <c r="D174" i="6" s="1"/>
  <c r="E173" i="6"/>
  <c r="F173" i="6" s="1"/>
  <c r="G174" i="6" s="1"/>
  <c r="I174" i="6" s="1"/>
  <c r="B175" i="6"/>
  <c r="H175" i="6" l="1"/>
  <c r="C175" i="6"/>
  <c r="D175" i="6" s="1" a="1"/>
  <c r="D175" i="6" s="1"/>
  <c r="E174" i="6"/>
  <c r="F174" i="6" s="1"/>
  <c r="G175" i="6" s="1"/>
  <c r="I175" i="6" s="1"/>
  <c r="B176" i="6"/>
  <c r="H176" i="6" l="1"/>
  <c r="C176" i="6"/>
  <c r="D176" i="6" s="1" a="1"/>
  <c r="D176" i="6" s="1"/>
  <c r="E175" i="6"/>
  <c r="F175" i="6" s="1"/>
  <c r="G176" i="6" s="1"/>
  <c r="I176" i="6" s="1"/>
  <c r="B177" i="6"/>
  <c r="H177" i="6" l="1"/>
  <c r="C177" i="6"/>
  <c r="D177" i="6" s="1" a="1"/>
  <c r="D177" i="6" s="1"/>
  <c r="E176" i="6"/>
  <c r="F176" i="6" s="1"/>
  <c r="G177" i="6" s="1"/>
  <c r="I177" i="6" s="1"/>
  <c r="B178" i="6"/>
  <c r="H178" i="6" l="1"/>
  <c r="C178" i="6"/>
  <c r="D178" i="6" s="1" a="1"/>
  <c r="D178" i="6" s="1"/>
  <c r="E177" i="6"/>
  <c r="F177" i="6" s="1"/>
  <c r="G178" i="6" s="1"/>
  <c r="I178" i="6" s="1"/>
  <c r="B179" i="6"/>
  <c r="H179" i="6" l="1"/>
  <c r="C179" i="6"/>
  <c r="D179" i="6" s="1" a="1"/>
  <c r="D179" i="6" s="1"/>
  <c r="E178" i="6"/>
  <c r="F178" i="6" s="1"/>
  <c r="G179" i="6" s="1"/>
  <c r="I179" i="6" s="1"/>
  <c r="B180" i="6"/>
  <c r="H180" i="6" l="1"/>
  <c r="C180" i="6"/>
  <c r="D180" i="6" s="1" a="1"/>
  <c r="D180" i="6" s="1"/>
  <c r="E179" i="6"/>
  <c r="F179" i="6" s="1"/>
  <c r="G180" i="6" s="1"/>
  <c r="I180" i="6" s="1"/>
  <c r="B181" i="6"/>
  <c r="H181" i="6" l="1"/>
  <c r="C181" i="6"/>
  <c r="D181" i="6" s="1" a="1"/>
  <c r="D181" i="6" s="1"/>
  <c r="E180" i="6"/>
  <c r="F180" i="6" s="1"/>
  <c r="G181" i="6" s="1"/>
  <c r="I181" i="6" s="1"/>
  <c r="B182" i="6"/>
  <c r="H182" i="6" l="1"/>
  <c r="C182" i="6"/>
  <c r="D182" i="6" s="1" a="1"/>
  <c r="D182" i="6" s="1"/>
  <c r="E181" i="6"/>
  <c r="F181" i="6" s="1"/>
  <c r="G182" i="6" s="1"/>
  <c r="I182" i="6" s="1"/>
  <c r="B183" i="6"/>
  <c r="H183" i="6" l="1"/>
  <c r="C183" i="6"/>
  <c r="D183" i="6" s="1" a="1"/>
  <c r="D183" i="6" s="1"/>
  <c r="E182" i="6"/>
  <c r="F182" i="6" s="1"/>
  <c r="G183" i="6" s="1"/>
  <c r="I183" i="6" s="1"/>
  <c r="B184" i="6"/>
  <c r="H184" i="6" l="1"/>
  <c r="C184" i="6"/>
  <c r="D184" i="6" s="1" a="1"/>
  <c r="D184" i="6" s="1"/>
  <c r="E183" i="6"/>
  <c r="F183" i="6" s="1"/>
  <c r="G184" i="6" s="1"/>
  <c r="I184" i="6" s="1"/>
  <c r="B185" i="6"/>
  <c r="H185" i="6" l="1"/>
  <c r="C185" i="6"/>
  <c r="D185" i="6" s="1" a="1"/>
  <c r="D185" i="6" s="1"/>
  <c r="E184" i="6"/>
  <c r="F184" i="6" s="1"/>
  <c r="G185" i="6" s="1"/>
  <c r="I185" i="6" s="1"/>
  <c r="B186" i="6"/>
  <c r="H186" i="6" l="1"/>
  <c r="C186" i="6"/>
  <c r="D186" i="6" s="1" a="1"/>
  <c r="D186" i="6" s="1"/>
  <c r="E185" i="6"/>
  <c r="F185" i="6" s="1"/>
  <c r="G186" i="6" s="1"/>
  <c r="I186" i="6" s="1"/>
  <c r="B187" i="6"/>
  <c r="H187" i="6" l="1"/>
  <c r="C187" i="6"/>
  <c r="D187" i="6" s="1" a="1"/>
  <c r="D187" i="6" s="1"/>
  <c r="E186" i="6"/>
  <c r="F186" i="6" s="1"/>
  <c r="G187" i="6" s="1"/>
  <c r="I187" i="6" s="1"/>
  <c r="B188" i="6"/>
  <c r="H188" i="6" l="1"/>
  <c r="C188" i="6"/>
  <c r="D188" i="6" s="1" a="1"/>
  <c r="D188" i="6" s="1"/>
  <c r="E187" i="6"/>
  <c r="F187" i="6" s="1"/>
  <c r="G188" i="6" s="1"/>
  <c r="I188" i="6" s="1"/>
  <c r="B189" i="6"/>
  <c r="H189" i="6" l="1"/>
  <c r="C189" i="6"/>
  <c r="D189" i="6" s="1" a="1"/>
  <c r="D189" i="6" s="1"/>
  <c r="E188" i="6"/>
  <c r="F188" i="6" s="1"/>
  <c r="G189" i="6" s="1"/>
  <c r="I189" i="6" s="1"/>
  <c r="B190" i="6"/>
  <c r="H190" i="6" l="1"/>
  <c r="C190" i="6"/>
  <c r="D190" i="6" s="1" a="1"/>
  <c r="D190" i="6" s="1"/>
  <c r="E189" i="6"/>
  <c r="F189" i="6" s="1"/>
  <c r="G190" i="6" s="1"/>
  <c r="I190" i="6" s="1"/>
  <c r="B191" i="6"/>
  <c r="H191" i="6" l="1"/>
  <c r="C191" i="6"/>
  <c r="D191" i="6" s="1" a="1"/>
  <c r="D191" i="6" s="1"/>
  <c r="E190" i="6"/>
  <c r="F190" i="6" s="1"/>
  <c r="G191" i="6" s="1"/>
  <c r="I191" i="6" s="1"/>
  <c r="B192" i="6"/>
  <c r="H192" i="6" l="1"/>
  <c r="C192" i="6"/>
  <c r="D192" i="6" s="1" a="1"/>
  <c r="D192" i="6" s="1"/>
  <c r="E191" i="6"/>
  <c r="F191" i="6" s="1"/>
  <c r="G192" i="6" s="1"/>
  <c r="I192" i="6" s="1"/>
  <c r="B193" i="6"/>
  <c r="H193" i="6" l="1"/>
  <c r="C193" i="6"/>
  <c r="D193" i="6" s="1" a="1"/>
  <c r="D193" i="6" s="1"/>
  <c r="E192" i="6"/>
  <c r="F192" i="6" s="1"/>
  <c r="G193" i="6" s="1"/>
  <c r="I193" i="6" s="1"/>
  <c r="B194" i="6"/>
  <c r="H194" i="6" l="1"/>
  <c r="C194" i="6"/>
  <c r="D194" i="6" s="1" a="1"/>
  <c r="D194" i="6" s="1"/>
  <c r="E193" i="6"/>
  <c r="F193" i="6" s="1"/>
  <c r="G194" i="6" s="1"/>
  <c r="I194" i="6" s="1"/>
  <c r="B195" i="6"/>
  <c r="H195" i="6" l="1"/>
  <c r="C195" i="6"/>
  <c r="D195" i="6" s="1" a="1"/>
  <c r="D195" i="6" s="1"/>
  <c r="E194" i="6"/>
  <c r="F194" i="6" s="1"/>
  <c r="G195" i="6" s="1"/>
  <c r="I195" i="6" s="1"/>
  <c r="B196" i="6"/>
  <c r="H196" i="6" l="1"/>
  <c r="C196" i="6"/>
  <c r="D196" i="6" s="1" a="1"/>
  <c r="D196" i="6" s="1"/>
  <c r="E195" i="6"/>
  <c r="F195" i="6" s="1"/>
  <c r="G196" i="6" s="1"/>
  <c r="I196" i="6" s="1"/>
  <c r="B197" i="6"/>
  <c r="H197" i="6" l="1"/>
  <c r="C197" i="6"/>
  <c r="D197" i="6" s="1" a="1"/>
  <c r="D197" i="6" s="1"/>
  <c r="E196" i="6"/>
  <c r="F196" i="6" s="1"/>
  <c r="G197" i="6" s="1"/>
  <c r="I197" i="6" s="1"/>
  <c r="B198" i="6"/>
  <c r="H198" i="6" l="1"/>
  <c r="C198" i="6"/>
  <c r="D198" i="6" s="1" a="1"/>
  <c r="D198" i="6" s="1"/>
  <c r="E197" i="6"/>
  <c r="F197" i="6" s="1"/>
  <c r="G198" i="6" s="1"/>
  <c r="I198" i="6" s="1"/>
  <c r="B199" i="6"/>
  <c r="H199" i="6" l="1"/>
  <c r="C199" i="6"/>
  <c r="D199" i="6" s="1" a="1"/>
  <c r="D199" i="6" s="1"/>
  <c r="E198" i="6"/>
  <c r="F198" i="6" s="1"/>
  <c r="G199" i="6" s="1"/>
  <c r="I199" i="6" s="1"/>
  <c r="B200" i="6"/>
  <c r="H200" i="6" l="1"/>
  <c r="C200" i="6"/>
  <c r="D200" i="6" s="1" a="1"/>
  <c r="D200" i="6" s="1"/>
  <c r="E199" i="6"/>
  <c r="F199" i="6" s="1"/>
  <c r="G200" i="6" s="1"/>
  <c r="I200" i="6" s="1"/>
  <c r="B201" i="6"/>
  <c r="H201" i="6" l="1"/>
  <c r="C201" i="6"/>
  <c r="D201" i="6" s="1" a="1"/>
  <c r="D201" i="6" s="1"/>
  <c r="E200" i="6"/>
  <c r="F200" i="6" s="1"/>
  <c r="G201" i="6" s="1"/>
  <c r="I201" i="6" s="1"/>
  <c r="B202" i="6"/>
  <c r="H202" i="6" l="1"/>
  <c r="C202" i="6"/>
  <c r="D202" i="6" s="1" a="1"/>
  <c r="D202" i="6" s="1"/>
  <c r="E201" i="6"/>
  <c r="F201" i="6" s="1"/>
  <c r="G202" i="6" s="1"/>
  <c r="I202" i="6" s="1"/>
  <c r="B203" i="6"/>
  <c r="H203" i="6" l="1"/>
  <c r="C203" i="6"/>
  <c r="D203" i="6" s="1" a="1"/>
  <c r="D203" i="6" s="1"/>
  <c r="E202" i="6"/>
  <c r="F202" i="6" s="1"/>
  <c r="G203" i="6" s="1"/>
  <c r="B204" i="6"/>
  <c r="I203" i="6" l="1"/>
  <c r="H204" i="6"/>
  <c r="C204" i="6"/>
  <c r="D204" i="6" s="1" a="1"/>
  <c r="D204" i="6" s="1"/>
  <c r="E203" i="6"/>
  <c r="F203" i="6" s="1"/>
  <c r="G204" i="6" s="1"/>
  <c r="I204" i="6" s="1"/>
  <c r="B205" i="6"/>
  <c r="H205" i="6" l="1"/>
  <c r="C205" i="6"/>
  <c r="D205" i="6" s="1" a="1"/>
  <c r="D205" i="6" s="1"/>
  <c r="E204" i="6"/>
  <c r="F204" i="6" s="1"/>
  <c r="G205" i="6" s="1"/>
  <c r="I205" i="6" s="1"/>
  <c r="B206" i="6"/>
  <c r="H206" i="6" l="1"/>
  <c r="C206" i="6"/>
  <c r="D206" i="6" s="1" a="1"/>
  <c r="D206" i="6" s="1"/>
  <c r="E205" i="6"/>
  <c r="F205" i="6" s="1"/>
  <c r="G206" i="6" s="1"/>
  <c r="I206" i="6" s="1"/>
  <c r="B207" i="6"/>
  <c r="H207" i="6" l="1"/>
  <c r="C207" i="6"/>
  <c r="D207" i="6" s="1" a="1"/>
  <c r="D207" i="6" s="1"/>
  <c r="E206" i="6"/>
  <c r="F206" i="6" s="1"/>
  <c r="G207" i="6" s="1"/>
  <c r="I207" i="6" s="1"/>
  <c r="B208" i="6"/>
  <c r="H208" i="6" l="1"/>
  <c r="C208" i="6"/>
  <c r="D208" i="6" s="1" a="1"/>
  <c r="D208" i="6" s="1"/>
  <c r="E207" i="6"/>
  <c r="F207" i="6" s="1"/>
  <c r="G208" i="6" s="1"/>
  <c r="I208" i="6" s="1"/>
  <c r="B209" i="6"/>
  <c r="H209" i="6" l="1"/>
  <c r="C209" i="6"/>
  <c r="D209" i="6" s="1" a="1"/>
  <c r="D209" i="6" s="1"/>
  <c r="E208" i="6"/>
  <c r="F208" i="6" s="1"/>
  <c r="G209" i="6" s="1"/>
  <c r="I209" i="6" s="1"/>
  <c r="B210" i="6"/>
  <c r="H210" i="6" l="1"/>
  <c r="C210" i="6"/>
  <c r="D210" i="6" s="1" a="1"/>
  <c r="D210" i="6" s="1"/>
  <c r="E209" i="6"/>
  <c r="F209" i="6" s="1"/>
  <c r="G210" i="6" s="1"/>
  <c r="I210" i="6" s="1"/>
  <c r="B211" i="6"/>
  <c r="H211" i="6" l="1"/>
  <c r="C211" i="6"/>
  <c r="D211" i="6" s="1" a="1"/>
  <c r="D211" i="6" s="1"/>
  <c r="E210" i="6"/>
  <c r="F210" i="6" s="1"/>
  <c r="G211" i="6" s="1"/>
  <c r="I211" i="6" s="1"/>
  <c r="B212" i="6"/>
  <c r="H212" i="6" l="1"/>
  <c r="C212" i="6"/>
  <c r="D212" i="6" s="1" a="1"/>
  <c r="D212" i="6" s="1"/>
  <c r="E211" i="6"/>
  <c r="F211" i="6" s="1"/>
  <c r="G212" i="6" s="1"/>
  <c r="I212" i="6" s="1"/>
  <c r="B213" i="6"/>
  <c r="H213" i="6" l="1"/>
  <c r="C213" i="6"/>
  <c r="D213" i="6" s="1" a="1"/>
  <c r="D213" i="6" s="1"/>
  <c r="E212" i="6"/>
  <c r="F212" i="6" s="1"/>
  <c r="G213" i="6" s="1"/>
  <c r="I213" i="6" s="1"/>
  <c r="B214" i="6"/>
  <c r="H214" i="6" l="1"/>
  <c r="C214" i="6"/>
  <c r="D214" i="6" s="1" a="1"/>
  <c r="D214" i="6" s="1"/>
  <c r="E213" i="6"/>
  <c r="F213" i="6" s="1"/>
  <c r="G214" i="6" s="1"/>
  <c r="I214" i="6" s="1"/>
  <c r="B215" i="6"/>
  <c r="H215" i="6" l="1"/>
  <c r="C215" i="6"/>
  <c r="D215" i="6" s="1" a="1"/>
  <c r="D215" i="6" s="1"/>
  <c r="E214" i="6"/>
  <c r="F214" i="6" s="1"/>
  <c r="G215" i="6" s="1"/>
  <c r="I215" i="6" s="1"/>
  <c r="B216" i="6"/>
  <c r="H216" i="6" l="1"/>
  <c r="C216" i="6"/>
  <c r="D216" i="6" s="1" a="1"/>
  <c r="D216" i="6" s="1"/>
  <c r="E215" i="6"/>
  <c r="F215" i="6" s="1"/>
  <c r="G216" i="6" s="1"/>
  <c r="I216" i="6" s="1"/>
  <c r="B217" i="6"/>
  <c r="H217" i="6" l="1"/>
  <c r="C217" i="6"/>
  <c r="D217" i="6" s="1" a="1"/>
  <c r="D217" i="6" s="1"/>
  <c r="E216" i="6"/>
  <c r="F216" i="6" s="1"/>
  <c r="G217" i="6" s="1"/>
  <c r="I217" i="6" s="1"/>
  <c r="B218" i="6"/>
  <c r="H218" i="6" l="1"/>
  <c r="C218" i="6"/>
  <c r="D218" i="6" s="1" a="1"/>
  <c r="D218" i="6" s="1"/>
  <c r="E217" i="6"/>
  <c r="F217" i="6" s="1"/>
  <c r="G218" i="6" s="1"/>
  <c r="I218" i="6" s="1"/>
  <c r="B219" i="6"/>
  <c r="H219" i="6" l="1"/>
  <c r="C219" i="6"/>
  <c r="D219" i="6" s="1" a="1"/>
  <c r="D219" i="6" s="1"/>
  <c r="E218" i="6"/>
  <c r="F218" i="6" s="1"/>
  <c r="G219" i="6" s="1"/>
  <c r="I219" i="6" s="1"/>
  <c r="B220" i="6"/>
  <c r="H220" i="6" l="1"/>
  <c r="C220" i="6"/>
  <c r="D220" i="6" s="1" a="1"/>
  <c r="D220" i="6" s="1"/>
  <c r="E219" i="6"/>
  <c r="F219" i="6" s="1"/>
  <c r="G220" i="6" s="1"/>
  <c r="I220" i="6" s="1"/>
  <c r="B221" i="6"/>
  <c r="H221" i="6" l="1"/>
  <c r="C221" i="6"/>
  <c r="D221" i="6" s="1" a="1"/>
  <c r="D221" i="6" s="1"/>
  <c r="E220" i="6"/>
  <c r="F220" i="6" s="1"/>
  <c r="G221" i="6" s="1"/>
  <c r="I221" i="6" s="1"/>
  <c r="B222" i="6"/>
  <c r="H222" i="6" l="1"/>
  <c r="C222" i="6"/>
  <c r="D222" i="6" s="1" a="1"/>
  <c r="D222" i="6" s="1"/>
  <c r="E221" i="6"/>
  <c r="F221" i="6" s="1"/>
  <c r="G222" i="6" s="1"/>
  <c r="I222" i="6" s="1"/>
  <c r="B223" i="6"/>
  <c r="H223" i="6" l="1"/>
  <c r="C223" i="6"/>
  <c r="D223" i="6" s="1" a="1"/>
  <c r="D223" i="6" s="1"/>
  <c r="E222" i="6"/>
  <c r="F222" i="6" s="1"/>
  <c r="G223" i="6" s="1"/>
  <c r="I223" i="6" s="1"/>
  <c r="B224" i="6"/>
  <c r="H224" i="6" l="1"/>
  <c r="C224" i="6"/>
  <c r="D224" i="6" s="1" a="1"/>
  <c r="D224" i="6" s="1"/>
  <c r="E223" i="6"/>
  <c r="F223" i="6" s="1"/>
  <c r="G224" i="6" s="1"/>
  <c r="I224" i="6" s="1"/>
  <c r="B225" i="6"/>
  <c r="H225" i="6" l="1"/>
  <c r="C225" i="6"/>
  <c r="D225" i="6" s="1" a="1"/>
  <c r="D225" i="6" s="1"/>
  <c r="E224" i="6"/>
  <c r="F224" i="6" s="1"/>
  <c r="G225" i="6" s="1"/>
  <c r="I225" i="6" s="1"/>
  <c r="B226" i="6"/>
  <c r="H226" i="6" l="1"/>
  <c r="C226" i="6"/>
  <c r="D226" i="6" s="1" a="1"/>
  <c r="D226" i="6" s="1"/>
  <c r="E225" i="6"/>
  <c r="F225" i="6" s="1"/>
  <c r="G226" i="6" s="1"/>
  <c r="I226" i="6" s="1"/>
  <c r="B227" i="6"/>
  <c r="H227" i="6" l="1"/>
  <c r="C227" i="6"/>
  <c r="D227" i="6" s="1" a="1"/>
  <c r="D227" i="6" s="1"/>
  <c r="E226" i="6"/>
  <c r="F226" i="6" s="1"/>
  <c r="G227" i="6" s="1"/>
  <c r="I227" i="6" s="1"/>
  <c r="B228" i="6"/>
  <c r="H228" i="6" l="1"/>
  <c r="C228" i="6"/>
  <c r="D228" i="6" s="1" a="1"/>
  <c r="D228" i="6" s="1"/>
  <c r="E227" i="6"/>
  <c r="F227" i="6" s="1"/>
  <c r="G228" i="6" s="1"/>
  <c r="I228" i="6" s="1"/>
  <c r="B229" i="6"/>
  <c r="H229" i="6" l="1"/>
  <c r="C229" i="6"/>
  <c r="D229" i="6" s="1" a="1"/>
  <c r="D229" i="6" s="1"/>
  <c r="E228" i="6"/>
  <c r="F228" i="6" s="1"/>
  <c r="G229" i="6" s="1"/>
  <c r="I229" i="6" s="1"/>
  <c r="B230" i="6"/>
  <c r="H230" i="6" l="1"/>
  <c r="C230" i="6"/>
  <c r="D230" i="6" s="1" a="1"/>
  <c r="D230" i="6" s="1"/>
  <c r="E229" i="6"/>
  <c r="F229" i="6" s="1"/>
  <c r="G230" i="6" s="1"/>
  <c r="I230" i="6" s="1"/>
  <c r="B231" i="6"/>
  <c r="H231" i="6" l="1"/>
  <c r="C231" i="6"/>
  <c r="D231" i="6" s="1" a="1"/>
  <c r="D231" i="6" s="1"/>
  <c r="E230" i="6"/>
  <c r="F230" i="6" s="1"/>
  <c r="G231" i="6" s="1"/>
  <c r="I231" i="6" s="1"/>
  <c r="B232" i="6"/>
  <c r="H232" i="6" l="1"/>
  <c r="C232" i="6"/>
  <c r="D232" i="6" s="1" a="1"/>
  <c r="D232" i="6" s="1"/>
  <c r="E231" i="6"/>
  <c r="F231" i="6" s="1"/>
  <c r="G232" i="6" s="1"/>
  <c r="I232" i="6" s="1"/>
  <c r="B233" i="6"/>
  <c r="H233" i="6" l="1"/>
  <c r="C233" i="6"/>
  <c r="D233" i="6" s="1" a="1"/>
  <c r="D233" i="6" s="1"/>
  <c r="E232" i="6"/>
  <c r="F232" i="6" s="1"/>
  <c r="G233" i="6" s="1"/>
  <c r="I233" i="6" s="1"/>
  <c r="B234" i="6"/>
  <c r="H234" i="6" l="1"/>
  <c r="C234" i="6"/>
  <c r="D234" i="6" s="1" a="1"/>
  <c r="D234" i="6" s="1"/>
  <c r="E233" i="6"/>
  <c r="F233" i="6" s="1"/>
  <c r="G234" i="6" s="1"/>
  <c r="I234" i="6" s="1"/>
  <c r="B235" i="6"/>
  <c r="H235" i="6" l="1"/>
  <c r="C235" i="6"/>
  <c r="D235" i="6" s="1" a="1"/>
  <c r="D235" i="6" s="1"/>
  <c r="E234" i="6"/>
  <c r="F234" i="6" s="1"/>
  <c r="G235" i="6" s="1"/>
  <c r="I235" i="6" s="1"/>
  <c r="B236" i="6"/>
  <c r="H236" i="6" l="1"/>
  <c r="C236" i="6"/>
  <c r="D236" i="6" s="1" a="1"/>
  <c r="D236" i="6" s="1"/>
  <c r="E235" i="6"/>
  <c r="F235" i="6" s="1"/>
  <c r="G236" i="6" s="1"/>
  <c r="I236" i="6" s="1"/>
  <c r="B237" i="6"/>
  <c r="H237" i="6" l="1"/>
  <c r="C237" i="6"/>
  <c r="D237" i="6" s="1" a="1"/>
  <c r="D237" i="6" s="1"/>
  <c r="E236" i="6"/>
  <c r="F236" i="6" s="1"/>
  <c r="G237" i="6" s="1"/>
  <c r="I237" i="6" s="1"/>
  <c r="B238" i="6"/>
  <c r="H238" i="6" l="1"/>
  <c r="C238" i="6"/>
  <c r="D238" i="6" s="1" a="1"/>
  <c r="D238" i="6" s="1"/>
  <c r="E237" i="6"/>
  <c r="F237" i="6" s="1"/>
  <c r="G238" i="6" s="1"/>
  <c r="I238" i="6" s="1"/>
  <c r="B239" i="6"/>
  <c r="H239" i="6" l="1"/>
  <c r="C239" i="6"/>
  <c r="D239" i="6" s="1" a="1"/>
  <c r="D239" i="6" s="1"/>
  <c r="E238" i="6"/>
  <c r="F238" i="6" s="1"/>
  <c r="G239" i="6" s="1"/>
  <c r="I239" i="6" s="1"/>
  <c r="B240" i="6"/>
  <c r="H240" i="6" l="1"/>
  <c r="C240" i="6"/>
  <c r="D240" i="6" s="1" a="1"/>
  <c r="D240" i="6" s="1"/>
  <c r="E239" i="6"/>
  <c r="F239" i="6" s="1"/>
  <c r="G240" i="6" s="1"/>
  <c r="I240" i="6" s="1"/>
  <c r="B241" i="6"/>
  <c r="H241" i="6" l="1"/>
  <c r="C241" i="6"/>
  <c r="D241" i="6" s="1" a="1"/>
  <c r="D241" i="6" s="1"/>
  <c r="E240" i="6"/>
  <c r="F240" i="6" s="1"/>
  <c r="G241" i="6" s="1"/>
  <c r="I241" i="6" s="1"/>
  <c r="B242" i="6"/>
  <c r="H242" i="6" l="1"/>
  <c r="C242" i="6"/>
  <c r="D242" i="6" s="1" a="1"/>
  <c r="D242" i="6" s="1"/>
  <c r="E241" i="6"/>
  <c r="F241" i="6" s="1"/>
  <c r="G242" i="6" s="1"/>
  <c r="I242" i="6" s="1"/>
  <c r="B243" i="6"/>
  <c r="H243" i="6" l="1"/>
  <c r="C243" i="6"/>
  <c r="D243" i="6" s="1" a="1"/>
  <c r="D243" i="6" s="1"/>
  <c r="E242" i="6"/>
  <c r="F242" i="6" s="1"/>
  <c r="G243" i="6" s="1"/>
  <c r="I243" i="6" s="1"/>
  <c r="B244" i="6"/>
  <c r="H244" i="6" l="1"/>
  <c r="C244" i="6"/>
  <c r="D244" i="6" s="1" a="1"/>
  <c r="D244" i="6" s="1"/>
  <c r="E243" i="6"/>
  <c r="F243" i="6" s="1"/>
  <c r="G244" i="6" s="1"/>
  <c r="I244" i="6" s="1"/>
  <c r="B245" i="6"/>
  <c r="H245" i="6" l="1"/>
  <c r="C245" i="6"/>
  <c r="D245" i="6" s="1" a="1"/>
  <c r="D245" i="6" s="1"/>
  <c r="E244" i="6"/>
  <c r="F244" i="6" s="1"/>
  <c r="G245" i="6" s="1"/>
  <c r="I245" i="6" s="1"/>
  <c r="B246" i="6"/>
  <c r="H246" i="6" l="1"/>
  <c r="C246" i="6"/>
  <c r="D246" i="6" s="1" a="1"/>
  <c r="D246" i="6" s="1"/>
  <c r="E245" i="6"/>
  <c r="F245" i="6" s="1"/>
  <c r="G246" i="6" s="1"/>
  <c r="I246" i="6" s="1"/>
  <c r="B247" i="6"/>
  <c r="H247" i="6" l="1"/>
  <c r="C247" i="6"/>
  <c r="D247" i="6" s="1" a="1"/>
  <c r="D247" i="6" s="1"/>
  <c r="E246" i="6"/>
  <c r="F246" i="6" s="1"/>
  <c r="G247" i="6" s="1"/>
  <c r="I247" i="6" s="1"/>
  <c r="B248" i="6"/>
  <c r="H248" i="6" l="1"/>
  <c r="C248" i="6"/>
  <c r="D248" i="6" s="1" a="1"/>
  <c r="D248" i="6" s="1"/>
  <c r="E247" i="6"/>
  <c r="F247" i="6" s="1"/>
  <c r="G248" i="6" s="1"/>
  <c r="I248" i="6" s="1"/>
  <c r="B249" i="6"/>
  <c r="H249" i="6" l="1"/>
  <c r="C249" i="6"/>
  <c r="D249" i="6" s="1" a="1"/>
  <c r="D249" i="6" s="1"/>
  <c r="E248" i="6"/>
  <c r="F248" i="6" s="1"/>
  <c r="G249" i="6" s="1"/>
  <c r="I249" i="6" s="1"/>
  <c r="B250" i="6"/>
  <c r="H250" i="6" l="1"/>
  <c r="C250" i="6"/>
  <c r="D250" i="6" s="1" a="1"/>
  <c r="D250" i="6" s="1"/>
  <c r="E249" i="6"/>
  <c r="F249" i="6" s="1"/>
  <c r="G250" i="6" s="1"/>
  <c r="I250" i="6" s="1"/>
  <c r="B251" i="6"/>
  <c r="H251" i="6" l="1"/>
  <c r="C251" i="6"/>
  <c r="D251" i="6" s="1" a="1"/>
  <c r="D251" i="6" s="1"/>
  <c r="E250" i="6"/>
  <c r="F250" i="6" s="1"/>
  <c r="G251" i="6" s="1"/>
  <c r="I251" i="6" s="1"/>
  <c r="B252" i="6"/>
  <c r="H252" i="6" l="1"/>
  <c r="C252" i="6"/>
  <c r="D252" i="6" s="1" a="1"/>
  <c r="D252" i="6" s="1"/>
  <c r="E251" i="6"/>
  <c r="F251" i="6" s="1"/>
  <c r="G252" i="6" s="1"/>
  <c r="I252" i="6" s="1"/>
  <c r="B253" i="6"/>
  <c r="H253" i="6" l="1"/>
  <c r="C253" i="6"/>
  <c r="D253" i="6" s="1" a="1"/>
  <c r="D253" i="6" s="1"/>
  <c r="E252" i="6"/>
  <c r="F252" i="6" s="1"/>
  <c r="G253" i="6" s="1"/>
  <c r="I253" i="6" s="1"/>
  <c r="B254" i="6"/>
  <c r="H254" i="6" l="1"/>
  <c r="C254" i="6"/>
  <c r="D254" i="6" s="1" a="1"/>
  <c r="D254" i="6" s="1"/>
  <c r="E253" i="6"/>
  <c r="F253" i="6" s="1"/>
  <c r="G254" i="6" s="1"/>
  <c r="I254" i="6" s="1"/>
  <c r="B255" i="6"/>
  <c r="H255" i="6" l="1"/>
  <c r="C255" i="6"/>
  <c r="D255" i="6" s="1" a="1"/>
  <c r="D255" i="6" s="1"/>
  <c r="E254" i="6"/>
  <c r="F254" i="6" s="1"/>
  <c r="G255" i="6" s="1"/>
  <c r="I255" i="6" s="1"/>
  <c r="B256" i="6"/>
  <c r="H256" i="6" l="1"/>
  <c r="C256" i="6"/>
  <c r="D256" i="6" s="1" a="1"/>
  <c r="D256" i="6" s="1"/>
  <c r="E255" i="6"/>
  <c r="F255" i="6" s="1"/>
  <c r="G256" i="6" s="1"/>
  <c r="I256" i="6" s="1"/>
  <c r="B257" i="6"/>
  <c r="H257" i="6" l="1"/>
  <c r="C257" i="6"/>
  <c r="D257" i="6" s="1" a="1"/>
  <c r="D257" i="6" s="1"/>
  <c r="E256" i="6"/>
  <c r="F256" i="6" s="1"/>
  <c r="G257" i="6" s="1"/>
  <c r="I257" i="6" s="1"/>
  <c r="B258" i="6"/>
  <c r="H258" i="6" l="1"/>
  <c r="C258" i="6"/>
  <c r="D258" i="6" s="1" a="1"/>
  <c r="D258" i="6" s="1"/>
  <c r="E257" i="6"/>
  <c r="F257" i="6" s="1"/>
  <c r="G258" i="6" s="1"/>
  <c r="I258" i="6" s="1"/>
  <c r="B259" i="6"/>
  <c r="H259" i="6" l="1"/>
  <c r="C259" i="6"/>
  <c r="D259" i="6" s="1" a="1"/>
  <c r="D259" i="6" s="1"/>
  <c r="E258" i="6"/>
  <c r="F258" i="6" s="1"/>
  <c r="G259" i="6" s="1"/>
  <c r="I259" i="6" s="1"/>
  <c r="B260" i="6"/>
  <c r="H260" i="6" l="1"/>
  <c r="C260" i="6"/>
  <c r="D260" i="6" s="1" a="1"/>
  <c r="D260" i="6" s="1"/>
  <c r="E259" i="6"/>
  <c r="F259" i="6" s="1"/>
  <c r="G260" i="6" s="1"/>
  <c r="I260" i="6" s="1"/>
  <c r="B261" i="6"/>
  <c r="H261" i="6" l="1"/>
  <c r="C261" i="6"/>
  <c r="D261" i="6" s="1" a="1"/>
  <c r="D261" i="6" s="1"/>
  <c r="E260" i="6"/>
  <c r="F260" i="6" s="1"/>
  <c r="G261" i="6" s="1"/>
  <c r="I261" i="6" s="1"/>
  <c r="B262" i="6"/>
  <c r="H262" i="6" l="1"/>
  <c r="C262" i="6"/>
  <c r="D262" i="6" s="1" a="1"/>
  <c r="D262" i="6" s="1"/>
  <c r="E261" i="6"/>
  <c r="F261" i="6" s="1"/>
  <c r="G262" i="6" s="1"/>
  <c r="I262" i="6" s="1"/>
  <c r="B263" i="6"/>
  <c r="H263" i="6" l="1"/>
  <c r="C263" i="6"/>
  <c r="D263" i="6" s="1" a="1"/>
  <c r="D263" i="6" s="1"/>
  <c r="E262" i="6"/>
  <c r="F262" i="6" s="1"/>
  <c r="G263" i="6" s="1"/>
  <c r="I263" i="6" s="1"/>
  <c r="B264" i="6"/>
  <c r="H264" i="6" l="1"/>
  <c r="C264" i="6"/>
  <c r="D264" i="6" s="1" a="1"/>
  <c r="D264" i="6" s="1"/>
  <c r="E263" i="6"/>
  <c r="F263" i="6" s="1"/>
  <c r="G264" i="6" s="1"/>
  <c r="I264" i="6" s="1"/>
  <c r="B265" i="6"/>
  <c r="H265" i="6" l="1"/>
  <c r="C265" i="6"/>
  <c r="D265" i="6" s="1" a="1"/>
  <c r="D265" i="6" s="1"/>
  <c r="E264" i="6"/>
  <c r="F264" i="6" s="1"/>
  <c r="G265" i="6" s="1"/>
  <c r="I265" i="6" s="1"/>
  <c r="B266" i="6"/>
  <c r="H266" i="6" l="1"/>
  <c r="C266" i="6"/>
  <c r="D266" i="6" s="1" a="1"/>
  <c r="D266" i="6" s="1"/>
  <c r="E265" i="6"/>
  <c r="F265" i="6" s="1"/>
  <c r="G266" i="6" s="1"/>
  <c r="I266" i="6" s="1"/>
  <c r="B267" i="6"/>
  <c r="H267" i="6" l="1"/>
  <c r="C267" i="6"/>
  <c r="D267" i="6" s="1" a="1"/>
  <c r="D267" i="6" s="1"/>
  <c r="E266" i="6"/>
  <c r="F266" i="6" s="1"/>
  <c r="G267" i="6" s="1"/>
  <c r="I267" i="6" s="1"/>
  <c r="B268" i="6"/>
  <c r="H268" i="6" l="1"/>
  <c r="C268" i="6"/>
  <c r="D268" i="6" s="1" a="1"/>
  <c r="D268" i="6" s="1"/>
  <c r="E267" i="6"/>
  <c r="F267" i="6" s="1"/>
  <c r="G268" i="6" s="1"/>
  <c r="I268" i="6" s="1"/>
  <c r="B269" i="6"/>
  <c r="H269" i="6" l="1"/>
  <c r="C269" i="6"/>
  <c r="D269" i="6" s="1" a="1"/>
  <c r="D269" i="6" s="1"/>
  <c r="E268" i="6"/>
  <c r="F268" i="6" s="1"/>
  <c r="G269" i="6" s="1"/>
  <c r="I269" i="6" s="1"/>
  <c r="B270" i="6"/>
  <c r="H270" i="6" l="1"/>
  <c r="C270" i="6"/>
  <c r="D270" i="6" s="1" a="1"/>
  <c r="D270" i="6" s="1"/>
  <c r="E269" i="6"/>
  <c r="F269" i="6" s="1"/>
  <c r="G270" i="6" s="1"/>
  <c r="I270" i="6" s="1"/>
  <c r="B271" i="6"/>
  <c r="H271" i="6" l="1"/>
  <c r="C271" i="6"/>
  <c r="D271" i="6" s="1" a="1"/>
  <c r="D271" i="6" s="1"/>
  <c r="E270" i="6"/>
  <c r="F270" i="6" s="1"/>
  <c r="G271" i="6" s="1"/>
  <c r="I271" i="6" s="1"/>
  <c r="B272" i="6"/>
  <c r="H272" i="6" l="1"/>
  <c r="C272" i="6"/>
  <c r="D272" i="6" s="1" a="1"/>
  <c r="D272" i="6" s="1"/>
  <c r="E271" i="6"/>
  <c r="F271" i="6" s="1"/>
  <c r="G272" i="6" s="1"/>
  <c r="I272" i="6" s="1"/>
  <c r="B273" i="6"/>
  <c r="H273" i="6" l="1"/>
  <c r="C273" i="6"/>
  <c r="D273" i="6" s="1" a="1"/>
  <c r="D273" i="6" s="1"/>
  <c r="E272" i="6"/>
  <c r="F272" i="6" s="1"/>
  <c r="G273" i="6" s="1"/>
  <c r="I273" i="6" s="1"/>
  <c r="B274" i="6"/>
  <c r="H274" i="6" l="1"/>
  <c r="C274" i="6"/>
  <c r="D274" i="6" s="1" a="1"/>
  <c r="D274" i="6" s="1"/>
  <c r="E273" i="6"/>
  <c r="F273" i="6" s="1"/>
  <c r="G274" i="6" s="1"/>
  <c r="I274" i="6" s="1"/>
  <c r="B275" i="6"/>
  <c r="H275" i="6" l="1"/>
  <c r="C275" i="6"/>
  <c r="D275" i="6" s="1" a="1"/>
  <c r="D275" i="6" s="1"/>
  <c r="E274" i="6"/>
  <c r="F274" i="6" s="1"/>
  <c r="G275" i="6" s="1"/>
  <c r="I275" i="6" s="1"/>
  <c r="B276" i="6"/>
  <c r="H276" i="6" l="1"/>
  <c r="C276" i="6"/>
  <c r="D276" i="6" s="1" a="1"/>
  <c r="D276" i="6" s="1"/>
  <c r="E275" i="6"/>
  <c r="F275" i="6" s="1"/>
  <c r="G276" i="6" s="1"/>
  <c r="I276" i="6" s="1"/>
  <c r="B277" i="6"/>
  <c r="H277" i="6" l="1"/>
  <c r="C277" i="6"/>
  <c r="D277" i="6" s="1" a="1"/>
  <c r="D277" i="6" s="1"/>
  <c r="E276" i="6"/>
  <c r="F276" i="6" s="1"/>
  <c r="G277" i="6" s="1"/>
  <c r="I277" i="6" s="1"/>
  <c r="B278" i="6"/>
  <c r="H278" i="6" l="1"/>
  <c r="C278" i="6"/>
  <c r="D278" i="6" s="1" a="1"/>
  <c r="D278" i="6" s="1"/>
  <c r="E277" i="6"/>
  <c r="F277" i="6" s="1"/>
  <c r="G278" i="6" s="1"/>
  <c r="I278" i="6" s="1"/>
  <c r="B279" i="6"/>
  <c r="H279" i="6" l="1"/>
  <c r="C279" i="6"/>
  <c r="D279" i="6" s="1" a="1"/>
  <c r="D279" i="6" s="1"/>
  <c r="E278" i="6"/>
  <c r="F278" i="6" s="1"/>
  <c r="G279" i="6" s="1"/>
  <c r="I279" i="6" s="1"/>
  <c r="B280" i="6"/>
  <c r="H280" i="6" l="1"/>
  <c r="C280" i="6"/>
  <c r="D280" i="6" s="1" a="1"/>
  <c r="D280" i="6" s="1"/>
  <c r="E279" i="6"/>
  <c r="F279" i="6" s="1"/>
  <c r="G280" i="6" s="1"/>
  <c r="I280" i="6" s="1"/>
  <c r="B281" i="6"/>
  <c r="H281" i="6" l="1"/>
  <c r="C281" i="6"/>
  <c r="D281" i="6" s="1" a="1"/>
  <c r="D281" i="6" s="1"/>
  <c r="E280" i="6"/>
  <c r="F280" i="6" s="1"/>
  <c r="G281" i="6" s="1"/>
  <c r="I281" i="6" s="1"/>
  <c r="B282" i="6"/>
  <c r="H282" i="6" l="1"/>
  <c r="C282" i="6"/>
  <c r="D282" i="6" s="1" a="1"/>
  <c r="D282" i="6" s="1"/>
  <c r="E281" i="6"/>
  <c r="F281" i="6" s="1"/>
  <c r="G282" i="6" s="1"/>
  <c r="I282" i="6" s="1"/>
  <c r="B283" i="6"/>
  <c r="H283" i="6" l="1"/>
  <c r="C283" i="6"/>
  <c r="D283" i="6" s="1" a="1"/>
  <c r="D283" i="6" s="1"/>
  <c r="E282" i="6"/>
  <c r="F282" i="6" s="1"/>
  <c r="G283" i="6" s="1"/>
  <c r="I283" i="6" s="1"/>
  <c r="B284" i="6"/>
  <c r="H284" i="6" l="1"/>
  <c r="C284" i="6"/>
  <c r="D284" i="6" s="1" a="1"/>
  <c r="D284" i="6" s="1"/>
  <c r="E283" i="6"/>
  <c r="F283" i="6" s="1"/>
  <c r="G284" i="6" s="1"/>
  <c r="I284" i="6" s="1"/>
  <c r="B285" i="6"/>
  <c r="H285" i="6" l="1"/>
  <c r="C285" i="6"/>
  <c r="D285" i="6" s="1" a="1"/>
  <c r="D285" i="6" s="1"/>
  <c r="E284" i="6"/>
  <c r="F284" i="6" s="1"/>
  <c r="G285" i="6" s="1"/>
  <c r="I285" i="6" s="1"/>
  <c r="B286" i="6"/>
  <c r="H286" i="6" l="1"/>
  <c r="C286" i="6"/>
  <c r="D286" i="6" s="1" a="1"/>
  <c r="D286" i="6" s="1"/>
  <c r="E285" i="6"/>
  <c r="F285" i="6" s="1"/>
  <c r="G286" i="6" s="1"/>
  <c r="I286" i="6" s="1"/>
  <c r="B287" i="6"/>
  <c r="H287" i="6" l="1"/>
  <c r="C287" i="6"/>
  <c r="D287" i="6" s="1" a="1"/>
  <c r="D287" i="6" s="1"/>
  <c r="E286" i="6"/>
  <c r="F286" i="6" s="1"/>
  <c r="G287" i="6" s="1"/>
  <c r="I287" i="6" s="1"/>
  <c r="B288" i="6"/>
  <c r="H288" i="6" l="1"/>
  <c r="C288" i="6"/>
  <c r="D288" i="6" s="1" a="1"/>
  <c r="D288" i="6" s="1"/>
  <c r="E287" i="6"/>
  <c r="F287" i="6" s="1"/>
  <c r="G288" i="6" s="1"/>
  <c r="I288" i="6" s="1"/>
  <c r="B289" i="6"/>
  <c r="H289" i="6" l="1"/>
  <c r="C289" i="6"/>
  <c r="D289" i="6" s="1" a="1"/>
  <c r="D289" i="6" s="1"/>
  <c r="E288" i="6"/>
  <c r="F288" i="6" s="1"/>
  <c r="G289" i="6" s="1"/>
  <c r="I289" i="6" s="1"/>
  <c r="B290" i="6"/>
  <c r="H290" i="6" l="1"/>
  <c r="C290" i="6"/>
  <c r="D290" i="6" s="1" a="1"/>
  <c r="D290" i="6" s="1"/>
  <c r="E289" i="6"/>
  <c r="F289" i="6" s="1"/>
  <c r="G290" i="6" s="1"/>
  <c r="I290" i="6" s="1"/>
  <c r="B291" i="6"/>
  <c r="H291" i="6" l="1"/>
  <c r="C291" i="6"/>
  <c r="D291" i="6" s="1" a="1"/>
  <c r="D291" i="6" s="1"/>
  <c r="E290" i="6"/>
  <c r="F290" i="6" s="1"/>
  <c r="G291" i="6" s="1"/>
  <c r="I291" i="6" s="1"/>
  <c r="B292" i="6"/>
  <c r="H292" i="6" l="1"/>
  <c r="C292" i="6"/>
  <c r="D292" i="6" s="1" a="1"/>
  <c r="D292" i="6" s="1"/>
  <c r="E291" i="6"/>
  <c r="F291" i="6" s="1"/>
  <c r="G292" i="6" s="1"/>
  <c r="I292" i="6" s="1"/>
  <c r="B293" i="6"/>
  <c r="H293" i="6" l="1"/>
  <c r="C293" i="6"/>
  <c r="D293" i="6" s="1" a="1"/>
  <c r="D293" i="6" s="1"/>
  <c r="E292" i="6"/>
  <c r="F292" i="6" s="1"/>
  <c r="G293" i="6" s="1"/>
  <c r="I293" i="6" s="1"/>
  <c r="B294" i="6"/>
  <c r="H294" i="6" l="1"/>
  <c r="C294" i="6"/>
  <c r="D294" i="6" s="1" a="1"/>
  <c r="D294" i="6" s="1"/>
  <c r="E293" i="6"/>
  <c r="F293" i="6" s="1"/>
  <c r="G294" i="6" s="1"/>
  <c r="I294" i="6" s="1"/>
  <c r="B295" i="6"/>
  <c r="H295" i="6" l="1"/>
  <c r="C295" i="6"/>
  <c r="D295" i="6" s="1" a="1"/>
  <c r="D295" i="6" s="1"/>
  <c r="E294" i="6"/>
  <c r="F294" i="6" s="1"/>
  <c r="G295" i="6" s="1"/>
  <c r="I295" i="6" s="1"/>
  <c r="B296" i="6"/>
  <c r="H296" i="6" l="1"/>
  <c r="C296" i="6"/>
  <c r="D296" i="6" s="1" a="1"/>
  <c r="D296" i="6" s="1"/>
  <c r="E295" i="6"/>
  <c r="F295" i="6" s="1"/>
  <c r="G296" i="6" s="1"/>
  <c r="I296" i="6" s="1"/>
  <c r="B297" i="6"/>
  <c r="H297" i="6" l="1"/>
  <c r="C297" i="6"/>
  <c r="D297" i="6" s="1" a="1"/>
  <c r="D297" i="6" s="1"/>
  <c r="E296" i="6"/>
  <c r="F296" i="6" s="1"/>
  <c r="G297" i="6" s="1"/>
  <c r="I297" i="6" s="1"/>
  <c r="B298" i="6"/>
  <c r="H298" i="6" l="1"/>
  <c r="C298" i="6"/>
  <c r="D298" i="6" s="1" a="1"/>
  <c r="D298" i="6" s="1"/>
  <c r="E297" i="6"/>
  <c r="F297" i="6" s="1"/>
  <c r="G298" i="6" s="1"/>
  <c r="I298" i="6" s="1"/>
  <c r="B299" i="6"/>
  <c r="H299" i="6" l="1"/>
  <c r="C299" i="6"/>
  <c r="D299" i="6" s="1" a="1"/>
  <c r="D299" i="6" s="1"/>
  <c r="E298" i="6"/>
  <c r="F298" i="6" s="1"/>
  <c r="G299" i="6" s="1"/>
  <c r="I299" i="6" s="1"/>
  <c r="B300" i="6"/>
  <c r="H300" i="6" l="1"/>
  <c r="C300" i="6"/>
  <c r="D300" i="6" s="1" a="1"/>
  <c r="D300" i="6" s="1"/>
  <c r="E299" i="6"/>
  <c r="F299" i="6" s="1"/>
  <c r="G300" i="6" s="1"/>
  <c r="I300" i="6" s="1"/>
  <c r="B301" i="6"/>
  <c r="H301" i="6" l="1"/>
  <c r="C301" i="6"/>
  <c r="D301" i="6" s="1" a="1"/>
  <c r="D301" i="6" s="1"/>
  <c r="E300" i="6"/>
  <c r="F300" i="6" s="1"/>
  <c r="G301" i="6" s="1"/>
  <c r="I301" i="6" s="1"/>
  <c r="B302" i="6"/>
  <c r="H302" i="6" l="1"/>
  <c r="C302" i="6"/>
  <c r="D302" i="6" s="1" a="1"/>
  <c r="D302" i="6" s="1"/>
  <c r="E301" i="6"/>
  <c r="F301" i="6" s="1"/>
  <c r="G302" i="6" s="1"/>
  <c r="I302" i="6" s="1"/>
  <c r="B303" i="6"/>
  <c r="H303" i="6" l="1"/>
  <c r="C303" i="6"/>
  <c r="D303" i="6" s="1" a="1"/>
  <c r="D303" i="6" s="1"/>
  <c r="E302" i="6"/>
  <c r="F302" i="6" s="1"/>
  <c r="G303" i="6" s="1"/>
  <c r="I303" i="6" s="1"/>
  <c r="B304" i="6"/>
  <c r="H304" i="6" l="1"/>
  <c r="C304" i="6"/>
  <c r="D304" i="6" s="1" a="1"/>
  <c r="D304" i="6" s="1"/>
  <c r="E303" i="6"/>
  <c r="F303" i="6" s="1"/>
  <c r="G304" i="6" s="1"/>
  <c r="I304" i="6" s="1"/>
  <c r="B305" i="6"/>
  <c r="H305" i="6" l="1"/>
  <c r="C305" i="6"/>
  <c r="D305" i="6" s="1" a="1"/>
  <c r="D305" i="6" s="1"/>
  <c r="E304" i="6"/>
  <c r="F304" i="6" s="1"/>
  <c r="G305" i="6" s="1"/>
  <c r="I305" i="6" s="1"/>
  <c r="B306" i="6"/>
  <c r="H306" i="6" l="1"/>
  <c r="C306" i="6"/>
  <c r="D306" i="6" s="1" a="1"/>
  <c r="D306" i="6" s="1"/>
  <c r="E305" i="6"/>
  <c r="F305" i="6" s="1"/>
  <c r="G306" i="6" s="1"/>
  <c r="I306" i="6" s="1"/>
  <c r="B307" i="6"/>
  <c r="H307" i="6" l="1"/>
  <c r="C307" i="6"/>
  <c r="D307" i="6" s="1" a="1"/>
  <c r="D307" i="6" s="1"/>
  <c r="E306" i="6"/>
  <c r="F306" i="6" s="1"/>
  <c r="G307" i="6" s="1"/>
  <c r="I307" i="6" s="1"/>
  <c r="B308" i="6"/>
  <c r="H308" i="6" l="1"/>
  <c r="C308" i="6"/>
  <c r="D308" i="6" s="1" a="1"/>
  <c r="D308" i="6" s="1"/>
  <c r="E307" i="6"/>
  <c r="F307" i="6" s="1"/>
  <c r="G308" i="6" s="1"/>
  <c r="I308" i="6" s="1"/>
  <c r="B309" i="6"/>
  <c r="H309" i="6" l="1"/>
  <c r="C309" i="6"/>
  <c r="D309" i="6" s="1" a="1"/>
  <c r="D309" i="6" s="1"/>
  <c r="E308" i="6"/>
  <c r="F308" i="6" s="1"/>
  <c r="G309" i="6" s="1"/>
  <c r="I309" i="6" s="1"/>
  <c r="B310" i="6"/>
  <c r="H310" i="6" l="1"/>
  <c r="C310" i="6"/>
  <c r="D310" i="6" s="1" a="1"/>
  <c r="D310" i="6" s="1"/>
  <c r="E309" i="6"/>
  <c r="F309" i="6" s="1"/>
  <c r="G310" i="6" s="1"/>
  <c r="I310" i="6" s="1"/>
  <c r="B311" i="6"/>
  <c r="H311" i="6" l="1"/>
  <c r="C311" i="6"/>
  <c r="D311" i="6" s="1" a="1"/>
  <c r="D311" i="6" s="1"/>
  <c r="E310" i="6"/>
  <c r="F310" i="6" s="1"/>
  <c r="G311" i="6" s="1"/>
  <c r="I311" i="6" s="1"/>
  <c r="B312" i="6"/>
  <c r="H312" i="6" l="1"/>
  <c r="C312" i="6"/>
  <c r="D312" i="6" s="1" a="1"/>
  <c r="D312" i="6" s="1"/>
  <c r="E311" i="6"/>
  <c r="F311" i="6" s="1"/>
  <c r="G312" i="6" s="1"/>
  <c r="I312" i="6" s="1"/>
  <c r="B313" i="6"/>
  <c r="H313" i="6" l="1"/>
  <c r="C313" i="6"/>
  <c r="D313" i="6" s="1" a="1"/>
  <c r="D313" i="6" s="1"/>
  <c r="E312" i="6"/>
  <c r="F312" i="6" s="1"/>
  <c r="G313" i="6" s="1"/>
  <c r="I313" i="6" s="1"/>
  <c r="B314" i="6"/>
  <c r="H314" i="6" l="1"/>
  <c r="C314" i="6"/>
  <c r="D314" i="6" s="1" a="1"/>
  <c r="D314" i="6" s="1"/>
  <c r="E313" i="6"/>
  <c r="F313" i="6" s="1"/>
  <c r="G314" i="6" s="1"/>
  <c r="I314" i="6" s="1"/>
  <c r="B315" i="6"/>
  <c r="H315" i="6" l="1"/>
  <c r="C315" i="6"/>
  <c r="D315" i="6" s="1" a="1"/>
  <c r="D315" i="6" s="1"/>
  <c r="E314" i="6"/>
  <c r="F314" i="6" s="1"/>
  <c r="G315" i="6" s="1"/>
  <c r="I315" i="6" s="1"/>
  <c r="B316" i="6"/>
  <c r="H316" i="6" l="1"/>
  <c r="C316" i="6"/>
  <c r="D316" i="6" s="1" a="1"/>
  <c r="D316" i="6" s="1"/>
  <c r="E315" i="6"/>
  <c r="F315" i="6" s="1"/>
  <c r="G316" i="6" s="1"/>
  <c r="I316" i="6" s="1"/>
  <c r="B317" i="6"/>
  <c r="H317" i="6" l="1"/>
  <c r="C317" i="6"/>
  <c r="D317" i="6" s="1" a="1"/>
  <c r="D317" i="6" s="1"/>
  <c r="E316" i="6"/>
  <c r="F316" i="6" s="1"/>
  <c r="G317" i="6" s="1"/>
  <c r="I317" i="6" s="1"/>
  <c r="B318" i="6"/>
  <c r="H318" i="6" l="1"/>
  <c r="C318" i="6"/>
  <c r="D318" i="6" s="1" a="1"/>
  <c r="D318" i="6" s="1"/>
  <c r="E317" i="6"/>
  <c r="F317" i="6" s="1"/>
  <c r="G318" i="6" s="1"/>
  <c r="I318" i="6" s="1"/>
  <c r="B319" i="6"/>
  <c r="H319" i="6" l="1"/>
  <c r="C319" i="6"/>
  <c r="D319" i="6" s="1" a="1"/>
  <c r="D319" i="6" s="1"/>
  <c r="E318" i="6"/>
  <c r="F318" i="6" s="1"/>
  <c r="G319" i="6" s="1"/>
  <c r="I319" i="6" s="1"/>
  <c r="B320" i="6"/>
  <c r="H320" i="6" l="1"/>
  <c r="C320" i="6"/>
  <c r="D320" i="6" s="1" a="1"/>
  <c r="D320" i="6" s="1"/>
  <c r="E319" i="6"/>
  <c r="F319" i="6" s="1"/>
  <c r="G320" i="6" s="1"/>
  <c r="I320" i="6" s="1"/>
  <c r="B321" i="6"/>
  <c r="H321" i="6" l="1"/>
  <c r="C321" i="6"/>
  <c r="D321" i="6" s="1" a="1"/>
  <c r="D321" i="6" s="1"/>
  <c r="E320" i="6"/>
  <c r="F320" i="6" s="1"/>
  <c r="G321" i="6" s="1"/>
  <c r="I321" i="6" s="1"/>
  <c r="B322" i="6"/>
  <c r="H322" i="6" l="1"/>
  <c r="C322" i="6"/>
  <c r="D322" i="6" s="1" a="1"/>
  <c r="D322" i="6" s="1"/>
  <c r="E321" i="6"/>
  <c r="F321" i="6" s="1"/>
  <c r="G322" i="6" s="1"/>
  <c r="I322" i="6" s="1"/>
  <c r="B323" i="6"/>
  <c r="H323" i="6" l="1"/>
  <c r="C323" i="6"/>
  <c r="D323" i="6" s="1" a="1"/>
  <c r="D323" i="6" s="1"/>
  <c r="E322" i="6"/>
  <c r="F322" i="6" s="1"/>
  <c r="G323" i="6" s="1"/>
  <c r="I323" i="6" s="1"/>
  <c r="B324" i="6"/>
  <c r="H324" i="6" l="1"/>
  <c r="C324" i="6"/>
  <c r="D324" i="6" s="1" a="1"/>
  <c r="D324" i="6" s="1"/>
  <c r="E323" i="6"/>
  <c r="F323" i="6" s="1"/>
  <c r="G324" i="6" s="1"/>
  <c r="I324" i="6" s="1"/>
  <c r="B325" i="6"/>
  <c r="H325" i="6" l="1"/>
  <c r="C325" i="6"/>
  <c r="D325" i="6" s="1" a="1"/>
  <c r="D325" i="6" s="1"/>
  <c r="E324" i="6"/>
  <c r="F324" i="6" s="1"/>
  <c r="G325" i="6" s="1"/>
  <c r="I325" i="6" s="1"/>
  <c r="B326" i="6"/>
  <c r="H326" i="6" l="1"/>
  <c r="C326" i="6"/>
  <c r="D326" i="6" s="1" a="1"/>
  <c r="D326" i="6" s="1"/>
  <c r="E325" i="6"/>
  <c r="F325" i="6" s="1"/>
  <c r="G326" i="6" s="1"/>
  <c r="I326" i="6" s="1"/>
  <c r="B327" i="6"/>
  <c r="H327" i="6" l="1"/>
  <c r="C327" i="6"/>
  <c r="D327" i="6" s="1" a="1"/>
  <c r="D327" i="6" s="1"/>
  <c r="E326" i="6"/>
  <c r="F326" i="6" s="1"/>
  <c r="G327" i="6" s="1"/>
  <c r="I327" i="6" s="1"/>
  <c r="B328" i="6"/>
  <c r="H328" i="6" l="1"/>
  <c r="C328" i="6"/>
  <c r="D328" i="6" s="1" a="1"/>
  <c r="D328" i="6" s="1"/>
  <c r="E327" i="6"/>
  <c r="F327" i="6" s="1"/>
  <c r="G328" i="6" s="1"/>
  <c r="I328" i="6" s="1"/>
  <c r="B329" i="6"/>
  <c r="H329" i="6" l="1"/>
  <c r="C329" i="6"/>
  <c r="D329" i="6" s="1" a="1"/>
  <c r="D329" i="6" s="1"/>
  <c r="E328" i="6"/>
  <c r="F328" i="6" s="1"/>
  <c r="G329" i="6" s="1"/>
  <c r="I329" i="6" s="1"/>
  <c r="B330" i="6"/>
  <c r="H330" i="6" l="1"/>
  <c r="C330" i="6"/>
  <c r="D330" i="6" s="1" a="1"/>
  <c r="D330" i="6" s="1"/>
  <c r="E329" i="6"/>
  <c r="F329" i="6" s="1"/>
  <c r="G330" i="6" s="1"/>
  <c r="I330" i="6" s="1"/>
  <c r="B331" i="6"/>
  <c r="H331" i="6" l="1"/>
  <c r="C331" i="6"/>
  <c r="D331" i="6" s="1" a="1"/>
  <c r="D331" i="6" s="1"/>
  <c r="E330" i="6"/>
  <c r="F330" i="6" s="1"/>
  <c r="G331" i="6" s="1"/>
  <c r="I331" i="6" s="1"/>
  <c r="B332" i="6"/>
  <c r="H332" i="6" l="1"/>
  <c r="C332" i="6"/>
  <c r="D332" i="6" s="1" a="1"/>
  <c r="D332" i="6" s="1"/>
  <c r="E331" i="6"/>
  <c r="F331" i="6" s="1"/>
  <c r="G332" i="6" s="1"/>
  <c r="I332" i="6" s="1"/>
  <c r="B333" i="6"/>
  <c r="H333" i="6" l="1"/>
  <c r="C333" i="6"/>
  <c r="D333" i="6" s="1" a="1"/>
  <c r="D333" i="6" s="1"/>
  <c r="E332" i="6"/>
  <c r="F332" i="6" s="1"/>
  <c r="G333" i="6" s="1"/>
  <c r="I333" i="6" s="1"/>
  <c r="B334" i="6"/>
  <c r="H334" i="6" l="1"/>
  <c r="C334" i="6"/>
  <c r="D334" i="6" s="1" a="1"/>
  <c r="D334" i="6" s="1"/>
  <c r="E333" i="6"/>
  <c r="F333" i="6" s="1"/>
  <c r="G334" i="6" s="1"/>
  <c r="I334" i="6" s="1"/>
  <c r="B335" i="6"/>
  <c r="H335" i="6" l="1"/>
  <c r="C335" i="6"/>
  <c r="D335" i="6" s="1" a="1"/>
  <c r="D335" i="6" s="1"/>
  <c r="E334" i="6"/>
  <c r="F334" i="6" s="1"/>
  <c r="G335" i="6" s="1"/>
  <c r="I335" i="6" s="1"/>
  <c r="B336" i="6"/>
  <c r="H336" i="6" l="1"/>
  <c r="C336" i="6"/>
  <c r="D336" i="6" s="1" a="1"/>
  <c r="D336" i="6" s="1"/>
  <c r="E335" i="6"/>
  <c r="F335" i="6" s="1"/>
  <c r="G336" i="6" s="1"/>
  <c r="I336" i="6" s="1"/>
  <c r="B337" i="6"/>
  <c r="H337" i="6" l="1"/>
  <c r="C337" i="6"/>
  <c r="D337" i="6" s="1" a="1"/>
  <c r="D337" i="6" s="1"/>
  <c r="E336" i="6"/>
  <c r="F336" i="6" s="1"/>
  <c r="G337" i="6" s="1"/>
  <c r="I337" i="6" s="1"/>
  <c r="B338" i="6"/>
  <c r="H338" i="6" l="1"/>
  <c r="C338" i="6"/>
  <c r="D338" i="6" s="1" a="1"/>
  <c r="D338" i="6" s="1"/>
  <c r="E337" i="6"/>
  <c r="F337" i="6" s="1"/>
  <c r="G338" i="6" s="1"/>
  <c r="I338" i="6" s="1"/>
  <c r="B339" i="6"/>
  <c r="H339" i="6" l="1"/>
  <c r="C339" i="6"/>
  <c r="D339" i="6" s="1" a="1"/>
  <c r="D339" i="6" s="1"/>
  <c r="E338" i="6"/>
  <c r="F338" i="6" s="1"/>
  <c r="G339" i="6" s="1"/>
  <c r="I339" i="6" s="1"/>
  <c r="B340" i="6"/>
  <c r="H340" i="6" l="1"/>
  <c r="C340" i="6"/>
  <c r="D340" i="6" s="1" a="1"/>
  <c r="D340" i="6" s="1"/>
  <c r="E339" i="6"/>
  <c r="F339" i="6" s="1"/>
  <c r="G340" i="6" s="1"/>
  <c r="I340" i="6" s="1"/>
  <c r="B341" i="6"/>
  <c r="H341" i="6" l="1"/>
  <c r="C341" i="6"/>
  <c r="D341" i="6" s="1" a="1"/>
  <c r="D341" i="6" s="1"/>
  <c r="E340" i="6"/>
  <c r="F340" i="6" s="1"/>
  <c r="G341" i="6" s="1"/>
  <c r="B342" i="6"/>
  <c r="I341" i="6" l="1"/>
  <c r="H342" i="6"/>
  <c r="C342" i="6"/>
  <c r="D342" i="6" s="1" a="1"/>
  <c r="D342" i="6" s="1"/>
  <c r="E341" i="6"/>
  <c r="F341" i="6" s="1"/>
  <c r="G342" i="6" s="1"/>
  <c r="I342" i="6" s="1"/>
  <c r="B343" i="6"/>
  <c r="H343" i="6" l="1"/>
  <c r="C343" i="6"/>
  <c r="D343" i="6" s="1" a="1"/>
  <c r="D343" i="6" s="1"/>
  <c r="E342" i="6"/>
  <c r="F342" i="6" s="1"/>
  <c r="G343" i="6" s="1"/>
  <c r="I343" i="6" s="1"/>
  <c r="B344" i="6"/>
  <c r="H344" i="6" l="1"/>
  <c r="C344" i="6"/>
  <c r="D344" i="6" s="1" a="1"/>
  <c r="D344" i="6" s="1"/>
  <c r="E343" i="6"/>
  <c r="F343" i="6" s="1"/>
  <c r="G344" i="6" s="1"/>
  <c r="I344" i="6" s="1"/>
  <c r="B345" i="6"/>
  <c r="H345" i="6" l="1"/>
  <c r="C345" i="6"/>
  <c r="D345" i="6" s="1" a="1"/>
  <c r="D345" i="6" s="1"/>
  <c r="E344" i="6"/>
  <c r="F344" i="6" s="1"/>
  <c r="G345" i="6" s="1"/>
  <c r="I345" i="6" s="1"/>
  <c r="B346" i="6"/>
  <c r="H346" i="6" l="1"/>
  <c r="C346" i="6"/>
  <c r="D346" i="6" s="1" a="1"/>
  <c r="D346" i="6" s="1"/>
  <c r="E345" i="6"/>
  <c r="F345" i="6" s="1"/>
  <c r="G346" i="6" s="1"/>
  <c r="I346" i="6" s="1"/>
  <c r="B347" i="6"/>
  <c r="H347" i="6" l="1"/>
  <c r="C347" i="6"/>
  <c r="D347" i="6" s="1" a="1"/>
  <c r="D347" i="6" s="1"/>
  <c r="E346" i="6"/>
  <c r="F346" i="6" s="1"/>
  <c r="G347" i="6" s="1"/>
  <c r="I347" i="6" s="1"/>
  <c r="B348" i="6"/>
  <c r="H348" i="6" l="1"/>
  <c r="C348" i="6"/>
  <c r="D348" i="6" s="1" a="1"/>
  <c r="D348" i="6" s="1"/>
  <c r="E347" i="6"/>
  <c r="F347" i="6" s="1"/>
  <c r="G348" i="6" s="1"/>
  <c r="I348" i="6" s="1"/>
  <c r="B349" i="6"/>
  <c r="H349" i="6" l="1"/>
  <c r="C349" i="6"/>
  <c r="D349" i="6" s="1" a="1"/>
  <c r="D349" i="6" s="1"/>
  <c r="E348" i="6"/>
  <c r="F348" i="6" s="1"/>
  <c r="G349" i="6" s="1"/>
  <c r="I349" i="6" s="1"/>
  <c r="B350" i="6"/>
  <c r="H350" i="6" l="1"/>
  <c r="C350" i="6"/>
  <c r="D350" i="6" s="1" a="1"/>
  <c r="D350" i="6" s="1"/>
  <c r="E349" i="6"/>
  <c r="F349" i="6" s="1"/>
  <c r="G350" i="6" s="1"/>
  <c r="I350" i="6" s="1"/>
  <c r="B351" i="6"/>
  <c r="H351" i="6" l="1"/>
  <c r="C351" i="6"/>
  <c r="D351" i="6" s="1" a="1"/>
  <c r="D351" i="6" s="1"/>
  <c r="E350" i="6"/>
  <c r="F350" i="6" s="1"/>
  <c r="G351" i="6" s="1"/>
  <c r="I351" i="6" s="1"/>
  <c r="B352" i="6"/>
  <c r="H352" i="6" l="1"/>
  <c r="C352" i="6"/>
  <c r="D352" i="6" s="1" a="1"/>
  <c r="D352" i="6" s="1"/>
  <c r="E351" i="6"/>
  <c r="F351" i="6" s="1"/>
  <c r="G352" i="6" s="1"/>
  <c r="I352" i="6" s="1"/>
  <c r="B353" i="6"/>
  <c r="H353" i="6" l="1"/>
  <c r="C353" i="6"/>
  <c r="D353" i="6" s="1" a="1"/>
  <c r="D353" i="6" s="1"/>
  <c r="E352" i="6"/>
  <c r="F352" i="6" s="1"/>
  <c r="G353" i="6" s="1"/>
  <c r="I353" i="6" s="1"/>
  <c r="B354" i="6"/>
  <c r="H354" i="6" l="1"/>
  <c r="C354" i="6"/>
  <c r="D354" i="6" s="1" a="1"/>
  <c r="D354" i="6" s="1"/>
  <c r="E353" i="6"/>
  <c r="F353" i="6" s="1"/>
  <c r="G354" i="6" s="1"/>
  <c r="I354" i="6" s="1"/>
  <c r="B355" i="6"/>
  <c r="H355" i="6" l="1"/>
  <c r="C355" i="6"/>
  <c r="D355" i="6" s="1" a="1"/>
  <c r="D355" i="6" s="1"/>
  <c r="E354" i="6"/>
  <c r="F354" i="6" s="1"/>
  <c r="G355" i="6" s="1"/>
  <c r="I355" i="6" s="1"/>
  <c r="B356" i="6"/>
  <c r="H356" i="6" l="1"/>
  <c r="C356" i="6"/>
  <c r="D356" i="6" s="1" a="1"/>
  <c r="D356" i="6" s="1"/>
  <c r="E355" i="6"/>
  <c r="F355" i="6" s="1"/>
  <c r="G356" i="6" s="1"/>
  <c r="I356" i="6" s="1"/>
  <c r="B357" i="6"/>
  <c r="H357" i="6" l="1"/>
  <c r="C357" i="6"/>
  <c r="D357" i="6" s="1" a="1"/>
  <c r="D357" i="6" s="1"/>
  <c r="E356" i="6"/>
  <c r="F356" i="6" s="1"/>
  <c r="G357" i="6" s="1"/>
  <c r="I357" i="6" s="1"/>
  <c r="B358" i="6"/>
  <c r="H358" i="6" l="1"/>
  <c r="C358" i="6"/>
  <c r="D358" i="6" s="1" a="1"/>
  <c r="D358" i="6" s="1"/>
  <c r="E357" i="6"/>
  <c r="F357" i="6" s="1"/>
  <c r="G358" i="6" s="1"/>
  <c r="I358" i="6" s="1"/>
  <c r="B359" i="6"/>
  <c r="H359" i="6" l="1"/>
  <c r="C359" i="6"/>
  <c r="D359" i="6" s="1" a="1"/>
  <c r="D359" i="6" s="1"/>
  <c r="E358" i="6"/>
  <c r="F358" i="6" s="1"/>
  <c r="G359" i="6" s="1"/>
  <c r="I359" i="6" s="1"/>
  <c r="B360" i="6"/>
  <c r="H360" i="6" l="1"/>
  <c r="C360" i="6"/>
  <c r="D360" i="6" s="1" a="1"/>
  <c r="D360" i="6" s="1"/>
  <c r="E359" i="6"/>
  <c r="F359" i="6" s="1"/>
  <c r="G360" i="6" s="1"/>
  <c r="I360" i="6" s="1"/>
  <c r="B361" i="6"/>
  <c r="H361" i="6" l="1"/>
  <c r="C361" i="6"/>
  <c r="D361" i="6" s="1" a="1"/>
  <c r="D361" i="6" s="1"/>
  <c r="E360" i="6"/>
  <c r="F360" i="6" s="1"/>
  <c r="G361" i="6" s="1"/>
  <c r="I361" i="6" s="1"/>
  <c r="B362" i="6"/>
  <c r="H362" i="6" l="1"/>
  <c r="C362" i="6"/>
  <c r="D362" i="6" s="1" a="1"/>
  <c r="D362" i="6" s="1"/>
  <c r="E361" i="6"/>
  <c r="F361" i="6" s="1"/>
  <c r="G362" i="6" s="1"/>
  <c r="I362" i="6" s="1"/>
  <c r="B363" i="6"/>
  <c r="H363" i="6" l="1"/>
  <c r="C363" i="6"/>
  <c r="D363" i="6" s="1" a="1"/>
  <c r="D363" i="6" s="1"/>
  <c r="E362" i="6"/>
  <c r="F362" i="6" s="1"/>
  <c r="G363" i="6" s="1"/>
  <c r="I363" i="6" s="1"/>
  <c r="B364" i="6"/>
  <c r="H364" i="6" l="1"/>
  <c r="C364" i="6"/>
  <c r="D364" i="6" s="1" a="1"/>
  <c r="D364" i="6" s="1"/>
  <c r="E363" i="6"/>
  <c r="F363" i="6" s="1"/>
  <c r="G364" i="6" s="1"/>
  <c r="I364" i="6" s="1"/>
  <c r="B365" i="6"/>
  <c r="H365" i="6" l="1"/>
  <c r="C365" i="6"/>
  <c r="D365" i="6" s="1" a="1"/>
  <c r="D365" i="6" s="1"/>
  <c r="E364" i="6"/>
  <c r="F364" i="6" s="1"/>
  <c r="G365" i="6" s="1"/>
  <c r="I365" i="6" s="1"/>
  <c r="B366" i="6"/>
  <c r="H366" i="6" l="1"/>
  <c r="C366" i="6"/>
  <c r="D366" i="6" s="1" a="1"/>
  <c r="D366" i="6" s="1"/>
  <c r="E365" i="6"/>
  <c r="F365" i="6" s="1"/>
  <c r="G366" i="6" s="1"/>
  <c r="I366" i="6" s="1"/>
  <c r="B367" i="6"/>
  <c r="H367" i="6" l="1"/>
  <c r="C367" i="6"/>
  <c r="D367" i="6" s="1" a="1"/>
  <c r="D367" i="6" s="1"/>
  <c r="E366" i="6"/>
  <c r="F366" i="6" s="1"/>
  <c r="G367" i="6" s="1"/>
  <c r="I367" i="6" s="1"/>
  <c r="B368" i="6"/>
  <c r="H368" i="6" l="1"/>
  <c r="C368" i="6"/>
  <c r="D368" i="6" s="1" a="1"/>
  <c r="D368" i="6" s="1"/>
  <c r="E367" i="6"/>
  <c r="F367" i="6" s="1"/>
  <c r="G368" i="6" s="1"/>
  <c r="I368" i="6" s="1"/>
  <c r="B369" i="6"/>
  <c r="H369" i="6" l="1"/>
  <c r="C369" i="6"/>
  <c r="D369" i="6" s="1" a="1"/>
  <c r="D369" i="6" s="1"/>
  <c r="E368" i="6"/>
  <c r="F368" i="6" s="1"/>
  <c r="G369" i="6" s="1"/>
  <c r="I369" i="6" s="1"/>
  <c r="B370" i="6"/>
  <c r="H370" i="6" l="1"/>
  <c r="C370" i="6"/>
  <c r="D370" i="6" s="1" a="1"/>
  <c r="D370" i="6" s="1"/>
  <c r="E369" i="6"/>
  <c r="F369" i="6" s="1"/>
  <c r="G370" i="6" s="1"/>
  <c r="I370" i="6" s="1"/>
  <c r="B371" i="6"/>
  <c r="H371" i="6" l="1"/>
  <c r="C371" i="6"/>
  <c r="D371" i="6" s="1" a="1"/>
  <c r="D371" i="6" s="1"/>
  <c r="E370" i="6"/>
  <c r="F370" i="6" s="1"/>
  <c r="G371" i="6" s="1"/>
  <c r="I371" i="6" s="1"/>
  <c r="B372" i="6"/>
  <c r="H372" i="6" l="1"/>
  <c r="C372" i="6"/>
  <c r="D372" i="6" s="1" a="1"/>
  <c r="D372" i="6" s="1"/>
  <c r="E371" i="6"/>
  <c r="F371" i="6" s="1"/>
  <c r="G372" i="6" s="1"/>
  <c r="I372" i="6" s="1"/>
  <c r="B373" i="6"/>
  <c r="H373" i="6" l="1"/>
  <c r="C373" i="6"/>
  <c r="D373" i="6" s="1" a="1"/>
  <c r="D373" i="6" s="1"/>
  <c r="E372" i="6"/>
  <c r="F372" i="6" s="1"/>
  <c r="G373" i="6" s="1"/>
  <c r="I373" i="6" s="1"/>
  <c r="B374" i="6"/>
  <c r="H374" i="6" l="1"/>
  <c r="C374" i="6"/>
  <c r="D374" i="6" s="1" a="1"/>
  <c r="D374" i="6" s="1"/>
  <c r="E373" i="6"/>
  <c r="F373" i="6" s="1"/>
  <c r="G374" i="6" s="1"/>
  <c r="I374" i="6" s="1"/>
  <c r="B375" i="6"/>
  <c r="H375" i="6" l="1"/>
  <c r="C375" i="6"/>
  <c r="D375" i="6" s="1" a="1"/>
  <c r="D375" i="6" s="1"/>
  <c r="E374" i="6"/>
  <c r="F374" i="6" s="1"/>
  <c r="G375" i="6" s="1"/>
  <c r="I375" i="6" s="1"/>
  <c r="B376" i="6"/>
  <c r="H376" i="6" l="1"/>
  <c r="C376" i="6"/>
  <c r="D376" i="6" s="1" a="1"/>
  <c r="D376" i="6" s="1"/>
  <c r="E375" i="6"/>
  <c r="F375" i="6" s="1"/>
  <c r="G376" i="6" s="1"/>
  <c r="I376" i="6" s="1"/>
  <c r="B377" i="6"/>
  <c r="H377" i="6" l="1"/>
  <c r="C377" i="6"/>
  <c r="D377" i="6" s="1" a="1"/>
  <c r="D377" i="6" s="1"/>
  <c r="E376" i="6"/>
  <c r="F376" i="6" s="1"/>
  <c r="G377" i="6" s="1"/>
  <c r="I377" i="6" s="1"/>
  <c r="B378" i="6"/>
  <c r="H378" i="6" l="1"/>
  <c r="C378" i="6"/>
  <c r="D378" i="6" s="1" a="1"/>
  <c r="D378" i="6" s="1"/>
  <c r="E377" i="6"/>
  <c r="F377" i="6" s="1"/>
  <c r="G378" i="6" s="1"/>
  <c r="I378" i="6" s="1"/>
  <c r="B379" i="6"/>
  <c r="H379" i="6" l="1"/>
  <c r="C379" i="6"/>
  <c r="D379" i="6" s="1" a="1"/>
  <c r="D379" i="6" s="1"/>
  <c r="E378" i="6"/>
  <c r="F378" i="6" s="1"/>
  <c r="G379" i="6" s="1"/>
  <c r="I379" i="6" s="1"/>
  <c r="B380" i="6"/>
  <c r="H380" i="6" l="1"/>
  <c r="C380" i="6"/>
  <c r="D380" i="6" s="1" a="1"/>
  <c r="D380" i="6" s="1"/>
  <c r="E379" i="6"/>
  <c r="F379" i="6" s="1"/>
  <c r="G380" i="6" s="1"/>
  <c r="I380" i="6" s="1"/>
  <c r="B381" i="6"/>
  <c r="H381" i="6" l="1"/>
  <c r="C381" i="6"/>
  <c r="D381" i="6" s="1" a="1"/>
  <c r="D381" i="6" s="1"/>
  <c r="E380" i="6"/>
  <c r="F380" i="6" s="1"/>
  <c r="G381" i="6" s="1"/>
  <c r="I381" i="6" s="1"/>
  <c r="B382" i="6"/>
  <c r="H382" i="6" l="1"/>
  <c r="C382" i="6"/>
  <c r="D382" i="6" s="1" a="1"/>
  <c r="D382" i="6" s="1"/>
  <c r="E381" i="6"/>
  <c r="F381" i="6" s="1"/>
  <c r="G382" i="6" s="1"/>
  <c r="I382" i="6" s="1"/>
  <c r="B383" i="6"/>
  <c r="H383" i="6" l="1"/>
  <c r="C383" i="6"/>
  <c r="D383" i="6" s="1" a="1"/>
  <c r="D383" i="6" s="1"/>
  <c r="E382" i="6"/>
  <c r="F382" i="6" s="1"/>
  <c r="G383" i="6" s="1"/>
  <c r="I383" i="6" s="1"/>
  <c r="B384" i="6"/>
  <c r="H384" i="6" l="1"/>
  <c r="C384" i="6"/>
  <c r="D384" i="6" s="1" a="1"/>
  <c r="D384" i="6" s="1"/>
  <c r="E383" i="6"/>
  <c r="F383" i="6" s="1"/>
  <c r="G384" i="6" s="1"/>
  <c r="I384" i="6" s="1"/>
  <c r="B385" i="6"/>
  <c r="H385" i="6" l="1"/>
  <c r="C385" i="6"/>
  <c r="D385" i="6" s="1" a="1"/>
  <c r="D385" i="6" s="1"/>
  <c r="E384" i="6"/>
  <c r="F384" i="6" s="1"/>
  <c r="G385" i="6" s="1"/>
  <c r="I385" i="6" s="1"/>
  <c r="B386" i="6"/>
  <c r="H386" i="6" l="1"/>
  <c r="C386" i="6"/>
  <c r="D386" i="6" s="1" a="1"/>
  <c r="D386" i="6" s="1"/>
  <c r="E385" i="6"/>
  <c r="F385" i="6" s="1"/>
  <c r="G386" i="6" s="1"/>
  <c r="I386" i="6" s="1"/>
  <c r="B387" i="6"/>
  <c r="H387" i="6" l="1"/>
  <c r="C387" i="6"/>
  <c r="D387" i="6" s="1" a="1"/>
  <c r="D387" i="6" s="1"/>
  <c r="E386" i="6"/>
  <c r="F386" i="6" s="1"/>
  <c r="G387" i="6" s="1"/>
  <c r="I387" i="6" s="1"/>
  <c r="B388" i="6"/>
  <c r="H388" i="6" l="1"/>
  <c r="C388" i="6"/>
  <c r="D388" i="6" s="1" a="1"/>
  <c r="D388" i="6" s="1"/>
  <c r="E387" i="6"/>
  <c r="F387" i="6" s="1"/>
  <c r="G388" i="6" s="1"/>
  <c r="I388" i="6" s="1"/>
  <c r="B389" i="6"/>
  <c r="H389" i="6" l="1"/>
  <c r="C389" i="6"/>
  <c r="D389" i="6" s="1" a="1"/>
  <c r="D389" i="6" s="1"/>
  <c r="E388" i="6"/>
  <c r="F388" i="6" s="1"/>
  <c r="G389" i="6" s="1"/>
  <c r="I389" i="6" s="1"/>
  <c r="B390" i="6"/>
  <c r="H390" i="6" l="1"/>
  <c r="C390" i="6"/>
  <c r="D390" i="6" s="1" a="1"/>
  <c r="D390" i="6" s="1"/>
  <c r="E389" i="6"/>
  <c r="F389" i="6" s="1"/>
  <c r="G390" i="6" s="1"/>
  <c r="I390" i="6" s="1"/>
  <c r="B391" i="6"/>
  <c r="H391" i="6" l="1"/>
  <c r="C391" i="6"/>
  <c r="D391" i="6" s="1" a="1"/>
  <c r="D391" i="6" s="1"/>
  <c r="E390" i="6"/>
  <c r="F390" i="6" s="1"/>
  <c r="G391" i="6" s="1"/>
  <c r="I391" i="6" s="1"/>
  <c r="B392" i="6"/>
  <c r="H392" i="6" l="1"/>
  <c r="C392" i="6"/>
  <c r="D392" i="6" s="1" a="1"/>
  <c r="D392" i="6" s="1"/>
  <c r="E391" i="6"/>
  <c r="F391" i="6" s="1"/>
  <c r="G392" i="6" s="1"/>
  <c r="I392" i="6" s="1"/>
  <c r="B393" i="6"/>
  <c r="H393" i="6" l="1"/>
  <c r="C393" i="6"/>
  <c r="D393" i="6" s="1" a="1"/>
  <c r="D393" i="6" s="1"/>
  <c r="E392" i="6"/>
  <c r="F392" i="6" s="1"/>
  <c r="G393" i="6" s="1"/>
  <c r="I393" i="6" s="1"/>
  <c r="B394" i="6"/>
  <c r="H394" i="6" l="1"/>
  <c r="C394" i="6"/>
  <c r="D394" i="6" s="1" a="1"/>
  <c r="D394" i="6" s="1"/>
  <c r="E393" i="6"/>
  <c r="F393" i="6" s="1"/>
  <c r="G394" i="6" s="1"/>
  <c r="I394" i="6" s="1"/>
  <c r="B395" i="6"/>
  <c r="H395" i="6" l="1"/>
  <c r="C395" i="6"/>
  <c r="D395" i="6" s="1" a="1"/>
  <c r="D395" i="6" s="1"/>
  <c r="E394" i="6"/>
  <c r="F394" i="6" s="1"/>
  <c r="G395" i="6" s="1"/>
  <c r="I395" i="6" s="1"/>
  <c r="B396" i="6"/>
  <c r="H396" i="6" l="1"/>
  <c r="C396" i="6"/>
  <c r="D396" i="6" s="1" a="1"/>
  <c r="D396" i="6" s="1"/>
  <c r="E395" i="6"/>
  <c r="F395" i="6" s="1"/>
  <c r="G396" i="6" s="1"/>
  <c r="I396" i="6" s="1"/>
  <c r="B397" i="6"/>
  <c r="H397" i="6" l="1"/>
  <c r="C397" i="6"/>
  <c r="D397" i="6" s="1" a="1"/>
  <c r="D397" i="6" s="1"/>
  <c r="E396" i="6"/>
  <c r="F396" i="6" s="1"/>
  <c r="G397" i="6" s="1"/>
  <c r="I397" i="6" s="1"/>
  <c r="B398" i="6"/>
  <c r="H398" i="6" l="1"/>
  <c r="C398" i="6"/>
  <c r="D398" i="6" s="1" a="1"/>
  <c r="D398" i="6" s="1"/>
  <c r="E397" i="6"/>
  <c r="F397" i="6" s="1"/>
  <c r="G398" i="6" s="1"/>
  <c r="I398" i="6" s="1"/>
  <c r="B399" i="6"/>
  <c r="H399" i="6" l="1"/>
  <c r="C399" i="6"/>
  <c r="D399" i="6" s="1" a="1"/>
  <c r="D399" i="6" s="1"/>
  <c r="E398" i="6"/>
  <c r="F398" i="6" s="1"/>
  <c r="G399" i="6" s="1"/>
  <c r="I399" i="6" s="1"/>
  <c r="B400" i="6"/>
  <c r="H400" i="6" l="1"/>
  <c r="C400" i="6"/>
  <c r="D400" i="6" s="1" a="1"/>
  <c r="D400" i="6" s="1"/>
  <c r="E399" i="6"/>
  <c r="F399" i="6" s="1"/>
  <c r="G400" i="6" s="1"/>
  <c r="I400" i="6" s="1"/>
  <c r="B401" i="6"/>
  <c r="H401" i="6" l="1"/>
  <c r="C401" i="6"/>
  <c r="D401" i="6" s="1" a="1"/>
  <c r="D401" i="6" s="1"/>
  <c r="E400" i="6"/>
  <c r="F400" i="6" s="1"/>
  <c r="G401" i="6" s="1"/>
  <c r="I401" i="6" s="1"/>
  <c r="B402" i="6"/>
  <c r="H402" i="6" l="1"/>
  <c r="C402" i="6"/>
  <c r="D402" i="6" s="1" a="1"/>
  <c r="D402" i="6" s="1"/>
  <c r="E401" i="6"/>
  <c r="F401" i="6" s="1"/>
  <c r="G402" i="6" s="1"/>
  <c r="I402" i="6" s="1"/>
  <c r="B403" i="6"/>
  <c r="H403" i="6" l="1"/>
  <c r="C403" i="6"/>
  <c r="D403" i="6" s="1" a="1"/>
  <c r="D403" i="6" s="1"/>
  <c r="E402" i="6"/>
  <c r="F402" i="6" s="1"/>
  <c r="G403" i="6" s="1"/>
  <c r="I403" i="6" s="1"/>
  <c r="B404" i="6"/>
  <c r="H404" i="6" l="1"/>
  <c r="C404" i="6"/>
  <c r="D404" i="6" s="1" a="1"/>
  <c r="D404" i="6" s="1"/>
  <c r="E403" i="6"/>
  <c r="F403" i="6" s="1"/>
  <c r="G404" i="6" s="1"/>
  <c r="I404" i="6" s="1"/>
  <c r="B405" i="6"/>
  <c r="H405" i="6" l="1"/>
  <c r="C405" i="6"/>
  <c r="D405" i="6" s="1" a="1"/>
  <c r="D405" i="6" s="1"/>
  <c r="E404" i="6"/>
  <c r="F404" i="6" s="1"/>
  <c r="G405" i="6" s="1"/>
  <c r="I405" i="6" s="1"/>
  <c r="B406" i="6"/>
  <c r="H406" i="6" l="1"/>
  <c r="C406" i="6"/>
  <c r="D406" i="6" s="1" a="1"/>
  <c r="D406" i="6" s="1"/>
  <c r="E405" i="6"/>
  <c r="F405" i="6" s="1"/>
  <c r="G406" i="6" s="1"/>
  <c r="I406" i="6" s="1"/>
  <c r="B407" i="6"/>
  <c r="H407" i="6" l="1"/>
  <c r="C407" i="6"/>
  <c r="D407" i="6" s="1" a="1"/>
  <c r="D407" i="6" s="1"/>
  <c r="E406" i="6"/>
  <c r="F406" i="6" s="1"/>
  <c r="G407" i="6" s="1"/>
  <c r="I407" i="6" s="1"/>
  <c r="B408" i="6"/>
  <c r="H408" i="6" l="1"/>
  <c r="C408" i="6"/>
  <c r="D408" i="6" s="1" a="1"/>
  <c r="D408" i="6" s="1"/>
  <c r="E407" i="6"/>
  <c r="F407" i="6" s="1"/>
  <c r="G408" i="6" s="1"/>
  <c r="I408" i="6" s="1"/>
  <c r="B409" i="6"/>
  <c r="H409" i="6" l="1"/>
  <c r="C409" i="6"/>
  <c r="D409" i="6" s="1" a="1"/>
  <c r="D409" i="6" s="1"/>
  <c r="E408" i="6"/>
  <c r="F408" i="6" s="1"/>
  <c r="G409" i="6" s="1"/>
  <c r="I409" i="6" s="1"/>
  <c r="B410" i="6"/>
  <c r="H410" i="6" l="1"/>
  <c r="C410" i="6"/>
  <c r="D410" i="6" s="1" a="1"/>
  <c r="D410" i="6" s="1"/>
  <c r="E409" i="6"/>
  <c r="F409" i="6" s="1"/>
  <c r="G410" i="6" s="1"/>
  <c r="I410" i="6" s="1"/>
  <c r="B411" i="6"/>
  <c r="H411" i="6" l="1"/>
  <c r="C411" i="6"/>
  <c r="D411" i="6" s="1" a="1"/>
  <c r="D411" i="6" s="1"/>
  <c r="E410" i="6"/>
  <c r="F410" i="6" s="1"/>
  <c r="G411" i="6" s="1"/>
  <c r="I411" i="6" s="1"/>
  <c r="B412" i="6"/>
  <c r="H412" i="6" l="1"/>
  <c r="C412" i="6"/>
  <c r="D412" i="6" s="1" a="1"/>
  <c r="D412" i="6" s="1"/>
  <c r="E411" i="6"/>
  <c r="F411" i="6" s="1"/>
  <c r="G412" i="6" s="1"/>
  <c r="I412" i="6" s="1"/>
  <c r="B413" i="6"/>
  <c r="H413" i="6" l="1"/>
  <c r="C413" i="6"/>
  <c r="D413" i="6" s="1" a="1"/>
  <c r="D413" i="6" s="1"/>
  <c r="E412" i="6"/>
  <c r="F412" i="6" s="1"/>
  <c r="G413" i="6" s="1"/>
  <c r="I413" i="6" s="1"/>
  <c r="B414" i="6"/>
  <c r="H414" i="6" l="1"/>
  <c r="C414" i="6"/>
  <c r="D414" i="6" s="1" a="1"/>
  <c r="D414" i="6" s="1"/>
  <c r="E413" i="6"/>
  <c r="F413" i="6" s="1"/>
  <c r="G414" i="6" s="1"/>
  <c r="I414" i="6" s="1"/>
  <c r="B415" i="6"/>
  <c r="H415" i="6" l="1"/>
  <c r="C415" i="6"/>
  <c r="D415" i="6" s="1" a="1"/>
  <c r="D415" i="6" s="1"/>
  <c r="E414" i="6"/>
  <c r="F414" i="6" s="1"/>
  <c r="G415" i="6" s="1"/>
  <c r="I415" i="6" s="1"/>
  <c r="B416" i="6"/>
  <c r="H416" i="6" l="1"/>
  <c r="C416" i="6"/>
  <c r="D416" i="6" s="1" a="1"/>
  <c r="D416" i="6" s="1"/>
  <c r="E415" i="6"/>
  <c r="F415" i="6" s="1"/>
  <c r="G416" i="6" s="1"/>
  <c r="I416" i="6" s="1"/>
  <c r="B417" i="6"/>
  <c r="H417" i="6" l="1"/>
  <c r="C417" i="6"/>
  <c r="D417" i="6" s="1" a="1"/>
  <c r="D417" i="6" s="1"/>
  <c r="E416" i="6"/>
  <c r="F416" i="6" s="1"/>
  <c r="G417" i="6" s="1"/>
  <c r="I417" i="6" s="1"/>
  <c r="B418" i="6"/>
  <c r="H418" i="6" l="1"/>
  <c r="C418" i="6"/>
  <c r="D418" i="6" s="1" a="1"/>
  <c r="D418" i="6" s="1"/>
  <c r="E417" i="6"/>
  <c r="F417" i="6" s="1"/>
  <c r="G418" i="6" s="1"/>
  <c r="I418" i="6" s="1"/>
  <c r="B419" i="6"/>
  <c r="H419" i="6" l="1"/>
  <c r="C419" i="6"/>
  <c r="D419" i="6" s="1" a="1"/>
  <c r="D419" i="6" s="1"/>
  <c r="E418" i="6"/>
  <c r="F418" i="6" s="1"/>
  <c r="G419" i="6" s="1"/>
  <c r="B420" i="6"/>
  <c r="I419" i="6" l="1"/>
  <c r="H420" i="6"/>
  <c r="C420" i="6"/>
  <c r="D420" i="6" s="1" a="1"/>
  <c r="D420" i="6" s="1"/>
  <c r="E419" i="6"/>
  <c r="F419" i="6" s="1"/>
  <c r="G420" i="6" s="1"/>
  <c r="I420" i="6" s="1"/>
  <c r="B421" i="6"/>
  <c r="H421" i="6" l="1"/>
  <c r="C421" i="6"/>
  <c r="D421" i="6" s="1" a="1"/>
  <c r="D421" i="6" s="1"/>
  <c r="E420" i="6"/>
  <c r="F420" i="6" s="1"/>
  <c r="G421" i="6" s="1"/>
  <c r="I421" i="6" s="1"/>
  <c r="B422" i="6"/>
  <c r="H422" i="6" l="1"/>
  <c r="C422" i="6"/>
  <c r="D422" i="6" s="1" a="1"/>
  <c r="D422" i="6" s="1"/>
  <c r="E421" i="6"/>
  <c r="F421" i="6" s="1"/>
  <c r="G422" i="6" s="1"/>
  <c r="I422" i="6" s="1"/>
  <c r="B423" i="6"/>
  <c r="H423" i="6" l="1"/>
  <c r="C423" i="6"/>
  <c r="D423" i="6" s="1" a="1"/>
  <c r="D423" i="6" s="1"/>
  <c r="E422" i="6"/>
  <c r="F422" i="6" s="1"/>
  <c r="G423" i="6" s="1"/>
  <c r="I423" i="6" s="1"/>
  <c r="B424" i="6"/>
  <c r="H424" i="6" l="1"/>
  <c r="C424" i="6"/>
  <c r="D424" i="6" s="1" a="1"/>
  <c r="D424" i="6" s="1"/>
  <c r="E423" i="6"/>
  <c r="F423" i="6" s="1"/>
  <c r="G424" i="6" s="1"/>
  <c r="I424" i="6" s="1"/>
  <c r="B425" i="6"/>
  <c r="H425" i="6" l="1"/>
  <c r="C425" i="6"/>
  <c r="D425" i="6" s="1" a="1"/>
  <c r="D425" i="6" s="1"/>
  <c r="E424" i="6"/>
  <c r="F424" i="6" s="1"/>
  <c r="G425" i="6" s="1"/>
  <c r="I425" i="6" s="1"/>
  <c r="B426" i="6"/>
  <c r="H426" i="6" l="1"/>
  <c r="C426" i="6"/>
  <c r="D426" i="6" s="1" a="1"/>
  <c r="D426" i="6" s="1"/>
  <c r="E425" i="6"/>
  <c r="F425" i="6" s="1"/>
  <c r="G426" i="6" s="1"/>
  <c r="I426" i="6" s="1"/>
  <c r="B427" i="6"/>
  <c r="H427" i="6" l="1"/>
  <c r="C427" i="6"/>
  <c r="D427" i="6" s="1" a="1"/>
  <c r="D427" i="6" s="1"/>
  <c r="E426" i="6"/>
  <c r="F426" i="6" s="1"/>
  <c r="G427" i="6" s="1"/>
  <c r="I427" i="6" s="1"/>
  <c r="B428" i="6"/>
  <c r="H428" i="6" l="1"/>
  <c r="C428" i="6"/>
  <c r="D428" i="6" s="1" a="1"/>
  <c r="D428" i="6" s="1"/>
  <c r="E427" i="6"/>
  <c r="F427" i="6" s="1"/>
  <c r="G428" i="6" s="1"/>
  <c r="I428" i="6" s="1"/>
  <c r="B429" i="6"/>
  <c r="H429" i="6" l="1"/>
  <c r="C429" i="6"/>
  <c r="D429" i="6" s="1" a="1"/>
  <c r="D429" i="6" s="1"/>
  <c r="E428" i="6"/>
  <c r="F428" i="6" s="1"/>
  <c r="G429" i="6" s="1"/>
  <c r="I429" i="6" s="1"/>
  <c r="B430" i="6"/>
  <c r="H430" i="6" l="1"/>
  <c r="C430" i="6"/>
  <c r="D430" i="6" s="1" a="1"/>
  <c r="D430" i="6" s="1"/>
  <c r="E429" i="6"/>
  <c r="F429" i="6" s="1"/>
  <c r="G430" i="6" s="1"/>
  <c r="I430" i="6" s="1"/>
  <c r="B431" i="6"/>
  <c r="H431" i="6" l="1"/>
  <c r="C431" i="6"/>
  <c r="D431" i="6" s="1" a="1"/>
  <c r="D431" i="6" s="1"/>
  <c r="E430" i="6"/>
  <c r="F430" i="6" s="1"/>
  <c r="G431" i="6" s="1"/>
  <c r="I431" i="6" s="1"/>
  <c r="B432" i="6"/>
  <c r="H432" i="6" l="1"/>
  <c r="C432" i="6"/>
  <c r="D432" i="6" s="1" a="1"/>
  <c r="D432" i="6" s="1"/>
  <c r="E431" i="6"/>
  <c r="F431" i="6" s="1"/>
  <c r="G432" i="6" s="1"/>
  <c r="I432" i="6" s="1"/>
  <c r="B433" i="6"/>
  <c r="H433" i="6" l="1"/>
  <c r="C433" i="6"/>
  <c r="D433" i="6" s="1" a="1"/>
  <c r="D433" i="6" s="1"/>
  <c r="E432" i="6"/>
  <c r="F432" i="6" s="1"/>
  <c r="G433" i="6" s="1"/>
  <c r="I433" i="6" s="1"/>
  <c r="B434" i="6"/>
  <c r="H434" i="6" l="1"/>
  <c r="C434" i="6"/>
  <c r="D434" i="6" s="1" a="1"/>
  <c r="D434" i="6" s="1"/>
  <c r="E433" i="6"/>
  <c r="F433" i="6" s="1"/>
  <c r="G434" i="6" s="1"/>
  <c r="I434" i="6" s="1"/>
  <c r="B435" i="6"/>
  <c r="H435" i="6" l="1"/>
  <c r="C435" i="6"/>
  <c r="D435" i="6" s="1" a="1"/>
  <c r="D435" i="6" s="1"/>
  <c r="E434" i="6"/>
  <c r="F434" i="6" s="1"/>
  <c r="G435" i="6" s="1"/>
  <c r="I435" i="6" s="1"/>
  <c r="B436" i="6"/>
  <c r="H436" i="6" l="1"/>
  <c r="C436" i="6"/>
  <c r="D436" i="6" s="1" a="1"/>
  <c r="D436" i="6" s="1"/>
  <c r="E435" i="6"/>
  <c r="F435" i="6" s="1"/>
  <c r="G436" i="6" s="1"/>
  <c r="I436" i="6" s="1"/>
  <c r="B437" i="6"/>
  <c r="H437" i="6" l="1"/>
  <c r="C437" i="6"/>
  <c r="D437" i="6" s="1" a="1"/>
  <c r="D437" i="6" s="1"/>
  <c r="E436" i="6"/>
  <c r="F436" i="6" s="1"/>
  <c r="G437" i="6" s="1"/>
  <c r="I437" i="6" s="1"/>
  <c r="B438" i="6"/>
  <c r="H438" i="6" l="1"/>
  <c r="C438" i="6"/>
  <c r="D438" i="6" s="1" a="1"/>
  <c r="D438" i="6" s="1"/>
  <c r="E437" i="6"/>
  <c r="F437" i="6" s="1"/>
  <c r="G438" i="6" s="1"/>
  <c r="I438" i="6" s="1"/>
  <c r="B439" i="6"/>
  <c r="H439" i="6" l="1"/>
  <c r="C439" i="6"/>
  <c r="D439" i="6" s="1" a="1"/>
  <c r="D439" i="6" s="1"/>
  <c r="E438" i="6"/>
  <c r="F438" i="6" s="1"/>
  <c r="G439" i="6" s="1"/>
  <c r="I439" i="6" s="1"/>
  <c r="B440" i="6"/>
  <c r="H440" i="6" l="1"/>
  <c r="C440" i="6"/>
  <c r="D440" i="6" s="1" a="1"/>
  <c r="D440" i="6" s="1"/>
  <c r="E439" i="6"/>
  <c r="F439" i="6" s="1"/>
  <c r="G440" i="6" s="1"/>
  <c r="I440" i="6" s="1"/>
  <c r="B441" i="6"/>
  <c r="H441" i="6" l="1"/>
  <c r="C441" i="6"/>
  <c r="D441" i="6" s="1" a="1"/>
  <c r="D441" i="6" s="1"/>
  <c r="E440" i="6"/>
  <c r="F440" i="6" s="1"/>
  <c r="G441" i="6" s="1"/>
  <c r="I441" i="6" s="1"/>
  <c r="B442" i="6"/>
  <c r="H442" i="6" l="1"/>
  <c r="C442" i="6"/>
  <c r="D442" i="6" s="1" a="1"/>
  <c r="D442" i="6" s="1"/>
  <c r="E441" i="6"/>
  <c r="F441" i="6" s="1"/>
  <c r="G442" i="6" s="1"/>
  <c r="I442" i="6" s="1"/>
  <c r="B443" i="6"/>
  <c r="H443" i="6" l="1"/>
  <c r="C443" i="6"/>
  <c r="D443" i="6" s="1" a="1"/>
  <c r="D443" i="6" s="1"/>
  <c r="E442" i="6"/>
  <c r="F442" i="6" s="1"/>
  <c r="G443" i="6" s="1"/>
  <c r="I443" i="6" s="1"/>
  <c r="B444" i="6"/>
  <c r="H444" i="6" l="1"/>
  <c r="C444" i="6"/>
  <c r="D444" i="6" s="1" a="1"/>
  <c r="D444" i="6" s="1"/>
  <c r="E443" i="6"/>
  <c r="F443" i="6" s="1"/>
  <c r="G444" i="6" s="1"/>
  <c r="I444" i="6" s="1"/>
  <c r="B445" i="6"/>
  <c r="H445" i="6" l="1"/>
  <c r="C445" i="6"/>
  <c r="D445" i="6" s="1" a="1"/>
  <c r="D445" i="6" s="1"/>
  <c r="E444" i="6"/>
  <c r="F444" i="6" s="1"/>
  <c r="G445" i="6" s="1"/>
  <c r="I445" i="6" s="1"/>
  <c r="B446" i="6"/>
  <c r="H446" i="6" l="1"/>
  <c r="C446" i="6"/>
  <c r="D446" i="6" s="1" a="1"/>
  <c r="D446" i="6" s="1"/>
  <c r="E445" i="6"/>
  <c r="F445" i="6" s="1"/>
  <c r="G446" i="6" s="1"/>
  <c r="I446" i="6" s="1"/>
  <c r="B447" i="6"/>
  <c r="H447" i="6" l="1"/>
  <c r="C447" i="6"/>
  <c r="D447" i="6" s="1" a="1"/>
  <c r="D447" i="6" s="1"/>
  <c r="E446" i="6"/>
  <c r="F446" i="6" s="1"/>
  <c r="G447" i="6" s="1"/>
  <c r="I447" i="6" s="1"/>
  <c r="B448" i="6"/>
  <c r="H448" i="6" l="1"/>
  <c r="C448" i="6"/>
  <c r="D448" i="6" s="1" a="1"/>
  <c r="D448" i="6" s="1"/>
  <c r="E447" i="6"/>
  <c r="F447" i="6" s="1"/>
  <c r="G448" i="6" s="1"/>
  <c r="I448" i="6" s="1"/>
  <c r="B449" i="6"/>
  <c r="H449" i="6" l="1"/>
  <c r="C449" i="6"/>
  <c r="D449" i="6" s="1" a="1"/>
  <c r="D449" i="6" s="1"/>
  <c r="E448" i="6"/>
  <c r="F448" i="6" s="1"/>
  <c r="G449" i="6" s="1"/>
  <c r="I449" i="6" s="1"/>
  <c r="B450" i="6"/>
  <c r="H450" i="6" l="1"/>
  <c r="C450" i="6"/>
  <c r="D450" i="6" s="1" a="1"/>
  <c r="D450" i="6" s="1"/>
  <c r="E449" i="6"/>
  <c r="F449" i="6" s="1"/>
  <c r="G450" i="6" s="1"/>
  <c r="I450" i="6" s="1"/>
  <c r="B451" i="6"/>
  <c r="H451" i="6" l="1"/>
  <c r="C451" i="6"/>
  <c r="D451" i="6" s="1" a="1"/>
  <c r="D451" i="6" s="1"/>
  <c r="E450" i="6"/>
  <c r="F450" i="6" s="1"/>
  <c r="G451" i="6" s="1"/>
  <c r="I451" i="6" s="1"/>
  <c r="B452" i="6"/>
  <c r="H452" i="6" l="1"/>
  <c r="C452" i="6"/>
  <c r="D452" i="6" s="1" a="1"/>
  <c r="D452" i="6" s="1"/>
  <c r="E451" i="6"/>
  <c r="F451" i="6" s="1"/>
  <c r="G452" i="6" s="1"/>
  <c r="I452" i="6" s="1"/>
  <c r="B453" i="6"/>
  <c r="H453" i="6" l="1"/>
  <c r="C453" i="6"/>
  <c r="D453" i="6" s="1" a="1"/>
  <c r="D453" i="6" s="1"/>
  <c r="E452" i="6"/>
  <c r="F452" i="6" s="1"/>
  <c r="G453" i="6" s="1"/>
  <c r="I453" i="6" s="1"/>
  <c r="B454" i="6"/>
  <c r="H454" i="6" l="1"/>
  <c r="C454" i="6"/>
  <c r="D454" i="6" s="1" a="1"/>
  <c r="D454" i="6" s="1"/>
  <c r="E453" i="6"/>
  <c r="F453" i="6" s="1"/>
  <c r="G454" i="6" s="1"/>
  <c r="I454" i="6" s="1"/>
  <c r="B455" i="6"/>
  <c r="H455" i="6" l="1"/>
  <c r="C455" i="6"/>
  <c r="D455" i="6" s="1" a="1"/>
  <c r="D455" i="6" s="1"/>
  <c r="E454" i="6"/>
  <c r="F454" i="6" s="1"/>
  <c r="G455" i="6" s="1"/>
  <c r="I455" i="6" s="1"/>
  <c r="B456" i="6"/>
  <c r="H456" i="6" l="1"/>
  <c r="C456" i="6"/>
  <c r="D456" i="6" s="1" a="1"/>
  <c r="D456" i="6" s="1"/>
  <c r="E455" i="6"/>
  <c r="F455" i="6" s="1"/>
  <c r="G456" i="6" s="1"/>
  <c r="I456" i="6" s="1"/>
  <c r="B457" i="6"/>
  <c r="H457" i="6" l="1"/>
  <c r="C457" i="6"/>
  <c r="D457" i="6" s="1" a="1"/>
  <c r="D457" i="6" s="1"/>
  <c r="E456" i="6"/>
  <c r="F456" i="6" s="1"/>
  <c r="G457" i="6" s="1"/>
  <c r="I457" i="6" s="1"/>
  <c r="B458" i="6"/>
  <c r="H458" i="6" l="1"/>
  <c r="C458" i="6"/>
  <c r="D458" i="6" s="1" a="1"/>
  <c r="D458" i="6" s="1"/>
  <c r="E457" i="6"/>
  <c r="F457" i="6" s="1"/>
  <c r="G458" i="6" s="1"/>
  <c r="I458" i="6" s="1"/>
  <c r="B459" i="6"/>
  <c r="H459" i="6" l="1"/>
  <c r="C459" i="6"/>
  <c r="D459" i="6" s="1" a="1"/>
  <c r="D459" i="6" s="1"/>
  <c r="E458" i="6"/>
  <c r="F458" i="6" s="1"/>
  <c r="G459" i="6" s="1"/>
  <c r="I459" i="6" s="1"/>
  <c r="B460" i="6"/>
  <c r="H460" i="6" l="1"/>
  <c r="C460" i="6"/>
  <c r="D460" i="6" s="1" a="1"/>
  <c r="D460" i="6" s="1"/>
  <c r="E459" i="6"/>
  <c r="F459" i="6" s="1"/>
  <c r="G460" i="6" s="1"/>
  <c r="I460" i="6" s="1"/>
  <c r="B461" i="6"/>
  <c r="H461" i="6" l="1"/>
  <c r="C461" i="6"/>
  <c r="D461" i="6" s="1" a="1"/>
  <c r="D461" i="6" s="1"/>
  <c r="E460" i="6"/>
  <c r="F460" i="6" s="1"/>
  <c r="G461" i="6" s="1"/>
  <c r="I461" i="6" s="1"/>
  <c r="B462" i="6"/>
  <c r="H462" i="6" l="1"/>
  <c r="C462" i="6"/>
  <c r="D462" i="6" s="1" a="1"/>
  <c r="D462" i="6" s="1"/>
  <c r="E461" i="6"/>
  <c r="F461" i="6" s="1"/>
  <c r="G462" i="6" s="1"/>
  <c r="I462" i="6" s="1"/>
  <c r="B463" i="6"/>
  <c r="H463" i="6" l="1"/>
  <c r="C463" i="6"/>
  <c r="D463" i="6" s="1" a="1"/>
  <c r="D463" i="6" s="1"/>
  <c r="E462" i="6"/>
  <c r="F462" i="6" s="1"/>
  <c r="G463" i="6" s="1"/>
  <c r="I463" i="6" s="1"/>
  <c r="B464" i="6"/>
  <c r="H464" i="6" l="1"/>
  <c r="C464" i="6"/>
  <c r="D464" i="6" s="1" a="1"/>
  <c r="D464" i="6" s="1"/>
  <c r="E463" i="6"/>
  <c r="F463" i="6" s="1"/>
  <c r="G464" i="6" s="1"/>
  <c r="I464" i="6" s="1"/>
  <c r="B465" i="6"/>
  <c r="H465" i="6" l="1"/>
  <c r="C465" i="6"/>
  <c r="D465" i="6" s="1" a="1"/>
  <c r="D465" i="6" s="1"/>
  <c r="E464" i="6"/>
  <c r="F464" i="6" s="1"/>
  <c r="G465" i="6" s="1"/>
  <c r="I465" i="6" s="1"/>
  <c r="B466" i="6"/>
  <c r="H466" i="6" l="1"/>
  <c r="C466" i="6"/>
  <c r="D466" i="6" s="1" a="1"/>
  <c r="D466" i="6" s="1"/>
  <c r="E465" i="6"/>
  <c r="F465" i="6" s="1"/>
  <c r="G466" i="6" s="1"/>
  <c r="I466" i="6" s="1"/>
  <c r="B467" i="6"/>
  <c r="H467" i="6" l="1"/>
  <c r="C467" i="6"/>
  <c r="D467" i="6" s="1" a="1"/>
  <c r="D467" i="6" s="1"/>
  <c r="E466" i="6"/>
  <c r="F466" i="6" s="1"/>
  <c r="G467" i="6" s="1"/>
  <c r="I467" i="6" s="1"/>
  <c r="B468" i="6"/>
  <c r="H468" i="6" l="1"/>
  <c r="C468" i="6"/>
  <c r="D468" i="6" s="1" a="1"/>
  <c r="D468" i="6" s="1"/>
  <c r="E467" i="6"/>
  <c r="F467" i="6" s="1"/>
  <c r="G468" i="6" s="1"/>
  <c r="I468" i="6" s="1"/>
  <c r="B469" i="6"/>
  <c r="H469" i="6" l="1"/>
  <c r="C469" i="6"/>
  <c r="D469" i="6" s="1" a="1"/>
  <c r="D469" i="6" s="1"/>
  <c r="E468" i="6"/>
  <c r="F468" i="6" s="1"/>
  <c r="G469" i="6" s="1"/>
  <c r="I469" i="6" s="1"/>
  <c r="B470" i="6"/>
  <c r="H470" i="6" l="1"/>
  <c r="C470" i="6"/>
  <c r="D470" i="6" s="1" a="1"/>
  <c r="D470" i="6" s="1"/>
  <c r="E469" i="6"/>
  <c r="F469" i="6" s="1"/>
  <c r="G470" i="6" s="1"/>
  <c r="I470" i="6" s="1"/>
  <c r="B471" i="6"/>
  <c r="H471" i="6" l="1"/>
  <c r="C471" i="6"/>
  <c r="D471" i="6" s="1" a="1"/>
  <c r="D471" i="6" s="1"/>
  <c r="E470" i="6"/>
  <c r="F470" i="6" s="1"/>
  <c r="G471" i="6" s="1"/>
  <c r="I471" i="6" s="1"/>
  <c r="B472" i="6"/>
  <c r="H472" i="6" l="1"/>
  <c r="C472" i="6"/>
  <c r="D472" i="6" s="1" a="1"/>
  <c r="D472" i="6" s="1"/>
  <c r="E471" i="6"/>
  <c r="F471" i="6" s="1"/>
  <c r="G472" i="6" s="1"/>
  <c r="I472" i="6" s="1"/>
  <c r="B473" i="6"/>
  <c r="H473" i="6" l="1"/>
  <c r="C473" i="6"/>
  <c r="D473" i="6" s="1" a="1"/>
  <c r="D473" i="6" s="1"/>
  <c r="E472" i="6"/>
  <c r="F472" i="6" s="1"/>
  <c r="G473" i="6" s="1"/>
  <c r="I473" i="6" s="1"/>
  <c r="B474" i="6"/>
  <c r="H474" i="6" l="1"/>
  <c r="C474" i="6"/>
  <c r="D474" i="6" s="1" a="1"/>
  <c r="D474" i="6" s="1"/>
  <c r="E473" i="6"/>
  <c r="F473" i="6" s="1"/>
  <c r="G474" i="6" s="1"/>
  <c r="I474" i="6" s="1"/>
  <c r="B475" i="6"/>
  <c r="H475" i="6" l="1"/>
  <c r="C475" i="6"/>
  <c r="D475" i="6" s="1" a="1"/>
  <c r="D475" i="6" s="1"/>
  <c r="E474" i="6"/>
  <c r="F474" i="6" s="1"/>
  <c r="G475" i="6" s="1"/>
  <c r="I475" i="6" s="1"/>
  <c r="B476" i="6"/>
  <c r="H476" i="6" l="1"/>
  <c r="C476" i="6"/>
  <c r="D476" i="6" s="1" a="1"/>
  <c r="D476" i="6" s="1"/>
  <c r="E475" i="6"/>
  <c r="F475" i="6" s="1"/>
  <c r="G476" i="6" s="1"/>
  <c r="I476" i="6" s="1"/>
  <c r="B477" i="6"/>
  <c r="H477" i="6" l="1"/>
  <c r="C477" i="6"/>
  <c r="D477" i="6" s="1" a="1"/>
  <c r="D477" i="6" s="1"/>
  <c r="E476" i="6"/>
  <c r="F476" i="6" s="1"/>
  <c r="G477" i="6" s="1"/>
  <c r="I477" i="6" s="1"/>
  <c r="B478" i="6"/>
  <c r="H478" i="6" l="1"/>
  <c r="C478" i="6"/>
  <c r="D478" i="6" s="1" a="1"/>
  <c r="D478" i="6" s="1"/>
  <c r="E477" i="6"/>
  <c r="F477" i="6" s="1"/>
  <c r="G478" i="6" s="1"/>
  <c r="I478" i="6" s="1"/>
  <c r="B479" i="6"/>
  <c r="H479" i="6" l="1"/>
  <c r="C479" i="6"/>
  <c r="D479" i="6" s="1" a="1"/>
  <c r="D479" i="6" s="1"/>
  <c r="E478" i="6"/>
  <c r="F478" i="6" s="1"/>
  <c r="G479" i="6" s="1"/>
  <c r="I479" i="6" s="1"/>
  <c r="B480" i="6"/>
  <c r="H480" i="6" l="1"/>
  <c r="C480" i="6"/>
  <c r="D480" i="6" s="1" a="1"/>
  <c r="D480" i="6" s="1"/>
  <c r="E479" i="6"/>
  <c r="F479" i="6" s="1"/>
  <c r="G480" i="6" s="1"/>
  <c r="I480" i="6" s="1"/>
  <c r="B481" i="6"/>
  <c r="H481" i="6" l="1"/>
  <c r="C481" i="6"/>
  <c r="D481" i="6" s="1" a="1"/>
  <c r="D481" i="6" s="1"/>
  <c r="E480" i="6"/>
  <c r="F480" i="6" s="1"/>
  <c r="G481" i="6" s="1"/>
  <c r="I481" i="6" s="1"/>
  <c r="B482" i="6"/>
  <c r="H482" i="6" l="1"/>
  <c r="C482" i="6"/>
  <c r="D482" i="6" s="1" a="1"/>
  <c r="D482" i="6" s="1"/>
  <c r="E481" i="6"/>
  <c r="F481" i="6" s="1"/>
  <c r="G482" i="6" s="1"/>
  <c r="I482" i="6" s="1"/>
  <c r="B483" i="6"/>
  <c r="H483" i="6" l="1"/>
  <c r="C483" i="6"/>
  <c r="D483" i="6" s="1" a="1"/>
  <c r="D483" i="6" s="1"/>
  <c r="E482" i="6"/>
  <c r="F482" i="6" s="1"/>
  <c r="G483" i="6" s="1"/>
  <c r="I483" i="6" s="1"/>
  <c r="B484" i="6"/>
  <c r="H484" i="6" l="1"/>
  <c r="C484" i="6"/>
  <c r="D484" i="6" s="1" a="1"/>
  <c r="D484" i="6" s="1"/>
  <c r="E483" i="6"/>
  <c r="F483" i="6" s="1"/>
  <c r="G484" i="6" s="1"/>
  <c r="I484" i="6" s="1"/>
  <c r="B485" i="6"/>
  <c r="H485" i="6" l="1"/>
  <c r="C485" i="6"/>
  <c r="D485" i="6" s="1" a="1"/>
  <c r="D485" i="6" s="1"/>
  <c r="E484" i="6"/>
  <c r="F484" i="6" s="1"/>
  <c r="G485" i="6" s="1"/>
  <c r="I485" i="6" s="1"/>
  <c r="B486" i="6"/>
  <c r="H486" i="6" l="1"/>
  <c r="C486" i="6"/>
  <c r="D486" i="6" s="1" a="1"/>
  <c r="D486" i="6" s="1"/>
  <c r="E485" i="6"/>
  <c r="F485" i="6" s="1"/>
  <c r="G486" i="6" s="1"/>
  <c r="I486" i="6" s="1"/>
  <c r="B487" i="6"/>
  <c r="H487" i="6" l="1"/>
  <c r="C487" i="6"/>
  <c r="D487" i="6" s="1" a="1"/>
  <c r="D487" i="6" s="1"/>
  <c r="E486" i="6"/>
  <c r="F486" i="6" s="1"/>
  <c r="G487" i="6" s="1"/>
  <c r="I487" i="6" s="1"/>
  <c r="B488" i="6"/>
  <c r="H488" i="6" l="1"/>
  <c r="C488" i="6"/>
  <c r="D488" i="6" s="1" a="1"/>
  <c r="D488" i="6" s="1"/>
  <c r="E487" i="6"/>
  <c r="F487" i="6" s="1"/>
  <c r="G488" i="6" s="1"/>
  <c r="I488" i="6" s="1"/>
  <c r="B489" i="6"/>
  <c r="H489" i="6" l="1"/>
  <c r="C489" i="6"/>
  <c r="D489" i="6" s="1" a="1"/>
  <c r="D489" i="6" s="1"/>
  <c r="E488" i="6"/>
  <c r="F488" i="6" s="1"/>
  <c r="G489" i="6" s="1"/>
  <c r="I489" i="6" s="1"/>
  <c r="B490" i="6"/>
  <c r="H490" i="6" l="1"/>
  <c r="C490" i="6"/>
  <c r="D490" i="6" s="1" a="1"/>
  <c r="D490" i="6" s="1"/>
  <c r="E489" i="6"/>
  <c r="F489" i="6" s="1"/>
  <c r="G490" i="6" s="1"/>
  <c r="I490" i="6" s="1"/>
  <c r="B491" i="6"/>
  <c r="H491" i="6" l="1"/>
  <c r="C491" i="6"/>
  <c r="D491" i="6" s="1" a="1"/>
  <c r="D491" i="6" s="1"/>
  <c r="E490" i="6"/>
  <c r="F490" i="6" s="1"/>
  <c r="G491" i="6" s="1"/>
  <c r="I491" i="6" s="1"/>
  <c r="B492" i="6"/>
  <c r="H492" i="6" l="1"/>
  <c r="C492" i="6"/>
  <c r="D492" i="6" s="1" a="1"/>
  <c r="D492" i="6" s="1"/>
  <c r="E491" i="6"/>
  <c r="F491" i="6" s="1"/>
  <c r="G492" i="6" s="1"/>
  <c r="I492" i="6" s="1"/>
  <c r="B493" i="6"/>
  <c r="H493" i="6" l="1"/>
  <c r="C493" i="6"/>
  <c r="D493" i="6" s="1" a="1"/>
  <c r="D493" i="6" s="1"/>
  <c r="E492" i="6"/>
  <c r="F492" i="6" s="1"/>
  <c r="G493" i="6" s="1"/>
  <c r="I493" i="6" s="1"/>
  <c r="B494" i="6"/>
  <c r="H494" i="6" l="1"/>
  <c r="C494" i="6"/>
  <c r="D494" i="6" s="1" a="1"/>
  <c r="D494" i="6" s="1"/>
  <c r="E493" i="6"/>
  <c r="F493" i="6" s="1"/>
  <c r="G494" i="6" s="1"/>
  <c r="I494" i="6" s="1"/>
  <c r="B495" i="6"/>
  <c r="H495" i="6" l="1"/>
  <c r="C495" i="6"/>
  <c r="D495" i="6" s="1" a="1"/>
  <c r="D495" i="6" s="1"/>
  <c r="E494" i="6"/>
  <c r="F494" i="6" s="1"/>
  <c r="G495" i="6" s="1"/>
  <c r="I495" i="6" s="1"/>
  <c r="B496" i="6"/>
  <c r="H496" i="6" l="1"/>
  <c r="C496" i="6"/>
  <c r="D496" i="6" s="1" a="1"/>
  <c r="D496" i="6" s="1"/>
  <c r="E495" i="6"/>
  <c r="F495" i="6" s="1"/>
  <c r="G496" i="6" s="1"/>
  <c r="I496" i="6" s="1"/>
  <c r="B497" i="6"/>
  <c r="H497" i="6" l="1"/>
  <c r="C497" i="6"/>
  <c r="D497" i="6" s="1" a="1"/>
  <c r="D497" i="6" s="1"/>
  <c r="E496" i="6"/>
  <c r="F496" i="6" s="1"/>
  <c r="G497" i="6" s="1"/>
  <c r="I497" i="6" s="1"/>
  <c r="B498" i="6"/>
  <c r="H498" i="6" l="1"/>
  <c r="C498" i="6"/>
  <c r="D498" i="6" s="1" a="1"/>
  <c r="D498" i="6" s="1"/>
  <c r="E497" i="6"/>
  <c r="F497" i="6" s="1"/>
  <c r="G498" i="6" s="1"/>
  <c r="I498" i="6" s="1"/>
  <c r="B499" i="6"/>
  <c r="H499" i="6" l="1"/>
  <c r="C499" i="6"/>
  <c r="D499" i="6" s="1" a="1"/>
  <c r="D499" i="6" s="1"/>
  <c r="E498" i="6"/>
  <c r="F498" i="6" s="1"/>
  <c r="G499" i="6" s="1"/>
  <c r="I499" i="6" s="1"/>
  <c r="B500" i="6"/>
  <c r="H500" i="6" l="1"/>
  <c r="C500" i="6"/>
  <c r="D500" i="6" s="1" a="1"/>
  <c r="D500" i="6" s="1"/>
  <c r="E499" i="6"/>
  <c r="F499" i="6" s="1"/>
  <c r="G500" i="6" s="1"/>
  <c r="I500" i="6" s="1"/>
  <c r="B501" i="6"/>
  <c r="H501" i="6" l="1"/>
  <c r="C501" i="6"/>
  <c r="D501" i="6" s="1" a="1"/>
  <c r="D501" i="6" s="1"/>
  <c r="E500" i="6"/>
  <c r="F500" i="6" s="1"/>
  <c r="G501" i="6" s="1"/>
  <c r="I501" i="6" s="1"/>
  <c r="B502" i="6"/>
  <c r="H502" i="6" l="1"/>
  <c r="C502" i="6"/>
  <c r="D502" i="6" s="1" a="1"/>
  <c r="D502" i="6" s="1"/>
  <c r="E501" i="6"/>
  <c r="F501" i="6" s="1"/>
  <c r="G502" i="6" s="1"/>
  <c r="I502" i="6" s="1"/>
  <c r="B503" i="6"/>
  <c r="H503" i="6" l="1"/>
  <c r="C503" i="6"/>
  <c r="D503" i="6" s="1" a="1"/>
  <c r="D503" i="6" s="1"/>
  <c r="E502" i="6"/>
  <c r="F502" i="6" s="1"/>
  <c r="G503" i="6" s="1"/>
  <c r="I503" i="6" s="1"/>
  <c r="B504" i="6"/>
  <c r="H504" i="6" l="1"/>
  <c r="C504" i="6"/>
  <c r="D504" i="6" s="1" a="1"/>
  <c r="D504" i="6" s="1"/>
  <c r="E503" i="6"/>
  <c r="F503" i="6" s="1"/>
  <c r="G504" i="6" s="1"/>
  <c r="I504" i="6" s="1"/>
  <c r="B505" i="6"/>
  <c r="H505" i="6" l="1"/>
  <c r="C505" i="6"/>
  <c r="D505" i="6" s="1" a="1"/>
  <c r="D505" i="6" s="1"/>
  <c r="E504" i="6"/>
  <c r="F504" i="6" s="1"/>
  <c r="G505" i="6" s="1"/>
  <c r="I505" i="6" s="1"/>
  <c r="B506" i="6"/>
  <c r="H506" i="6" l="1"/>
  <c r="C506" i="6"/>
  <c r="D506" i="6" s="1" a="1"/>
  <c r="D506" i="6" s="1"/>
  <c r="E505" i="6"/>
  <c r="F505" i="6" s="1"/>
  <c r="G506" i="6" s="1"/>
  <c r="I506" i="6" s="1"/>
  <c r="B507" i="6"/>
  <c r="H507" i="6" l="1"/>
  <c r="C507" i="6"/>
  <c r="D507" i="6" s="1" a="1"/>
  <c r="D507" i="6" s="1"/>
  <c r="E506" i="6"/>
  <c r="F506" i="6" s="1"/>
  <c r="G507" i="6" s="1"/>
  <c r="I507" i="6" s="1"/>
  <c r="B508" i="6"/>
  <c r="H508" i="6" l="1"/>
  <c r="C508" i="6"/>
  <c r="D508" i="6" s="1" a="1"/>
  <c r="D508" i="6" s="1"/>
  <c r="E507" i="6"/>
  <c r="F507" i="6" s="1"/>
  <c r="G508" i="6" s="1"/>
  <c r="I508" i="6" s="1"/>
  <c r="B509" i="6"/>
  <c r="H509" i="6" l="1"/>
  <c r="C509" i="6"/>
  <c r="D509" i="6" s="1" a="1"/>
  <c r="D509" i="6" s="1"/>
  <c r="E508" i="6"/>
  <c r="F508" i="6" s="1"/>
  <c r="G509" i="6" s="1"/>
  <c r="I509" i="6" s="1"/>
  <c r="B510" i="6"/>
  <c r="H510" i="6" l="1"/>
  <c r="C510" i="6"/>
  <c r="D510" i="6" s="1" a="1"/>
  <c r="D510" i="6" s="1"/>
  <c r="E509" i="6"/>
  <c r="F509" i="6" s="1"/>
  <c r="G510" i="6" s="1"/>
  <c r="I510" i="6" s="1"/>
  <c r="B511" i="6"/>
  <c r="H511" i="6" l="1"/>
  <c r="C511" i="6"/>
  <c r="D511" i="6" s="1" a="1"/>
  <c r="D511" i="6" s="1"/>
  <c r="E510" i="6"/>
  <c r="F510" i="6" s="1"/>
  <c r="G511" i="6" s="1"/>
  <c r="I511" i="6" s="1"/>
  <c r="B512" i="6"/>
  <c r="H512" i="6" l="1"/>
  <c r="C512" i="6"/>
  <c r="D512" i="6" s="1" a="1"/>
  <c r="D512" i="6" s="1"/>
  <c r="E511" i="6"/>
  <c r="F511" i="6" s="1"/>
  <c r="G512" i="6" s="1"/>
  <c r="I512" i="6" s="1"/>
  <c r="B513" i="6"/>
  <c r="H513" i="6" l="1"/>
  <c r="C513" i="6"/>
  <c r="D513" i="6" s="1" a="1"/>
  <c r="D513" i="6" s="1"/>
  <c r="E512" i="6"/>
  <c r="F512" i="6" s="1"/>
  <c r="G513" i="6" s="1"/>
  <c r="I513" i="6" s="1"/>
  <c r="B514" i="6"/>
  <c r="H514" i="6" l="1"/>
  <c r="C514" i="6"/>
  <c r="D514" i="6" s="1" a="1"/>
  <c r="D514" i="6" s="1"/>
  <c r="E513" i="6"/>
  <c r="F513" i="6" s="1"/>
  <c r="G514" i="6" s="1"/>
  <c r="I514" i="6" s="1"/>
  <c r="B515" i="6"/>
  <c r="H515" i="6" l="1"/>
  <c r="C515" i="6"/>
  <c r="D515" i="6" s="1" a="1"/>
  <c r="D515" i="6" s="1"/>
  <c r="E514" i="6"/>
  <c r="F514" i="6" s="1"/>
  <c r="G515" i="6" s="1"/>
  <c r="I515" i="6" s="1"/>
  <c r="B516" i="6"/>
  <c r="H516" i="6" l="1"/>
  <c r="C516" i="6"/>
  <c r="D516" i="6" s="1" a="1"/>
  <c r="D516" i="6" s="1"/>
  <c r="E515" i="6"/>
  <c r="F515" i="6" s="1"/>
  <c r="G516" i="6" s="1"/>
  <c r="I516" i="6" s="1"/>
  <c r="B517" i="6"/>
  <c r="H517" i="6" l="1"/>
  <c r="C517" i="6"/>
  <c r="D517" i="6" s="1" a="1"/>
  <c r="D517" i="6" s="1"/>
  <c r="E516" i="6"/>
  <c r="F516" i="6" s="1"/>
  <c r="G517" i="6" s="1"/>
  <c r="I517" i="6" s="1"/>
  <c r="B518" i="6"/>
  <c r="H518" i="6" l="1"/>
  <c r="C518" i="6"/>
  <c r="D518" i="6" s="1" a="1"/>
  <c r="D518" i="6" s="1"/>
  <c r="E517" i="6"/>
  <c r="F517" i="6" s="1"/>
  <c r="G518" i="6" s="1"/>
  <c r="I518" i="6" s="1"/>
  <c r="B519" i="6"/>
  <c r="H519" i="6" l="1"/>
  <c r="C519" i="6"/>
  <c r="D519" i="6" s="1" a="1"/>
  <c r="D519" i="6" s="1"/>
  <c r="E518" i="6"/>
  <c r="F518" i="6" s="1"/>
  <c r="G519" i="6" s="1"/>
  <c r="I519" i="6" s="1"/>
  <c r="B520" i="6"/>
  <c r="H520" i="6" l="1"/>
  <c r="C520" i="6"/>
  <c r="D520" i="6" s="1" a="1"/>
  <c r="D520" i="6" s="1"/>
  <c r="E519" i="6"/>
  <c r="F519" i="6" s="1"/>
  <c r="G520" i="6" s="1"/>
  <c r="I520" i="6" s="1"/>
  <c r="B521" i="6"/>
  <c r="H521" i="6" l="1"/>
  <c r="C521" i="6"/>
  <c r="D521" i="6" s="1" a="1"/>
  <c r="D521" i="6" s="1"/>
  <c r="E520" i="6"/>
  <c r="F520" i="6" s="1"/>
  <c r="G521" i="6" s="1"/>
  <c r="I521" i="6" s="1"/>
  <c r="B522" i="6"/>
  <c r="H522" i="6" l="1"/>
  <c r="C522" i="6"/>
  <c r="D522" i="6" s="1" a="1"/>
  <c r="D522" i="6" s="1"/>
  <c r="E521" i="6"/>
  <c r="F521" i="6" s="1"/>
  <c r="G522" i="6" s="1"/>
  <c r="I522" i="6" s="1"/>
  <c r="B523" i="6"/>
  <c r="H523" i="6" l="1"/>
  <c r="C523" i="6"/>
  <c r="D523" i="6" s="1" a="1"/>
  <c r="D523" i="6" s="1"/>
  <c r="E522" i="6"/>
  <c r="F522" i="6" s="1"/>
  <c r="G523" i="6" s="1"/>
  <c r="I523" i="6" s="1"/>
  <c r="B524" i="6"/>
  <c r="H524" i="6" l="1"/>
  <c r="C524" i="6"/>
  <c r="D524" i="6" s="1" a="1"/>
  <c r="D524" i="6" s="1"/>
  <c r="E523" i="6"/>
  <c r="F523" i="6" s="1"/>
  <c r="G524" i="6" s="1"/>
  <c r="I524" i="6" s="1"/>
  <c r="B525" i="6"/>
  <c r="H525" i="6" l="1"/>
  <c r="C525" i="6"/>
  <c r="D525" i="6" s="1" a="1"/>
  <c r="D525" i="6" s="1"/>
  <c r="E524" i="6"/>
  <c r="F524" i="6" s="1"/>
  <c r="G525" i="6" s="1"/>
  <c r="I525" i="6" s="1"/>
  <c r="B526" i="6"/>
  <c r="H526" i="6" l="1"/>
  <c r="C526" i="6"/>
  <c r="D526" i="6" s="1" a="1"/>
  <c r="D526" i="6" s="1"/>
  <c r="E525" i="6"/>
  <c r="F525" i="6" s="1"/>
  <c r="G526" i="6" s="1"/>
  <c r="I526" i="6" s="1"/>
  <c r="B527" i="6"/>
  <c r="H527" i="6" l="1"/>
  <c r="C527" i="6"/>
  <c r="D527" i="6" s="1" a="1"/>
  <c r="D527" i="6" s="1"/>
  <c r="E526" i="6"/>
  <c r="F526" i="6" s="1"/>
  <c r="G527" i="6" s="1"/>
  <c r="I527" i="6" s="1"/>
  <c r="B528" i="6"/>
  <c r="H528" i="6" l="1"/>
  <c r="C528" i="6"/>
  <c r="D528" i="6" s="1" a="1"/>
  <c r="D528" i="6" s="1"/>
  <c r="E527" i="6"/>
  <c r="F527" i="6" s="1"/>
  <c r="G528" i="6" s="1"/>
  <c r="I528" i="6" s="1"/>
  <c r="B529" i="6"/>
  <c r="H529" i="6" l="1"/>
  <c r="C529" i="6"/>
  <c r="D529" i="6" s="1" a="1"/>
  <c r="D529" i="6" s="1"/>
  <c r="E528" i="6"/>
  <c r="F528" i="6" s="1"/>
  <c r="G529" i="6" s="1"/>
  <c r="I529" i="6" s="1"/>
  <c r="B530" i="6"/>
  <c r="H530" i="6" l="1"/>
  <c r="C530" i="6"/>
  <c r="D530" i="6" s="1" a="1"/>
  <c r="D530" i="6" s="1"/>
  <c r="E529" i="6"/>
  <c r="F529" i="6" s="1"/>
  <c r="G530" i="6" s="1"/>
  <c r="I530" i="6" s="1"/>
  <c r="B531" i="6"/>
  <c r="H531" i="6" l="1"/>
  <c r="C531" i="6"/>
  <c r="D531" i="6" s="1" a="1"/>
  <c r="D531" i="6" s="1"/>
  <c r="E530" i="6"/>
  <c r="F530" i="6" s="1"/>
  <c r="G531" i="6" s="1"/>
  <c r="I531" i="6" s="1"/>
  <c r="B532" i="6"/>
  <c r="H532" i="6" l="1"/>
  <c r="C532" i="6"/>
  <c r="D532" i="6" s="1" a="1"/>
  <c r="D532" i="6" s="1"/>
  <c r="E531" i="6"/>
  <c r="F531" i="6" s="1"/>
  <c r="G532" i="6" s="1"/>
  <c r="I532" i="6" s="1"/>
  <c r="B533" i="6"/>
  <c r="H533" i="6" l="1"/>
  <c r="C533" i="6"/>
  <c r="D533" i="6" s="1" a="1"/>
  <c r="D533" i="6" s="1"/>
  <c r="E532" i="6"/>
  <c r="F532" i="6" s="1"/>
  <c r="G533" i="6" s="1"/>
  <c r="I533" i="6" s="1"/>
  <c r="B534" i="6"/>
  <c r="H534" i="6" l="1"/>
  <c r="C534" i="6"/>
  <c r="D534" i="6" s="1" a="1"/>
  <c r="D534" i="6" s="1"/>
  <c r="E533" i="6"/>
  <c r="F533" i="6" s="1"/>
  <c r="G534" i="6" s="1"/>
  <c r="I534" i="6" s="1"/>
  <c r="B535" i="6"/>
  <c r="H535" i="6" l="1"/>
  <c r="C535" i="6"/>
  <c r="D535" i="6" s="1" a="1"/>
  <c r="D535" i="6" s="1"/>
  <c r="E534" i="6"/>
  <c r="F534" i="6" s="1"/>
  <c r="G535" i="6" s="1"/>
  <c r="I535" i="6" s="1"/>
  <c r="B536" i="6"/>
  <c r="H536" i="6" l="1"/>
  <c r="C536" i="6"/>
  <c r="D536" i="6" s="1" a="1"/>
  <c r="D536" i="6" s="1"/>
  <c r="E535" i="6"/>
  <c r="F535" i="6" s="1"/>
  <c r="G536" i="6" s="1"/>
  <c r="I536" i="6" s="1"/>
  <c r="B537" i="6"/>
  <c r="H537" i="6" l="1"/>
  <c r="C537" i="6"/>
  <c r="D537" i="6" s="1" a="1"/>
  <c r="D537" i="6" s="1"/>
  <c r="E536" i="6"/>
  <c r="F536" i="6" s="1"/>
  <c r="G537" i="6" s="1"/>
  <c r="I537" i="6" s="1"/>
  <c r="B538" i="6"/>
  <c r="H538" i="6" l="1"/>
  <c r="C538" i="6"/>
  <c r="D538" i="6" s="1" a="1"/>
  <c r="D538" i="6" s="1"/>
  <c r="E537" i="6"/>
  <c r="F537" i="6" s="1"/>
  <c r="G538" i="6" s="1"/>
  <c r="I538" i="6" s="1"/>
  <c r="B539" i="6"/>
  <c r="H539" i="6" l="1"/>
  <c r="C539" i="6"/>
  <c r="D539" i="6" s="1" a="1"/>
  <c r="D539" i="6" s="1"/>
  <c r="E538" i="6"/>
  <c r="F538" i="6" s="1"/>
  <c r="G539" i="6" s="1"/>
  <c r="I539" i="6" s="1"/>
  <c r="B540" i="6"/>
  <c r="H540" i="6" l="1"/>
  <c r="C540" i="6"/>
  <c r="D540" i="6" s="1" a="1"/>
  <c r="D540" i="6" s="1"/>
  <c r="E539" i="6"/>
  <c r="F539" i="6" s="1"/>
  <c r="G540" i="6" s="1"/>
  <c r="I540" i="6" s="1"/>
  <c r="B541" i="6"/>
  <c r="H541" i="6" l="1"/>
  <c r="C541" i="6"/>
  <c r="D541" i="6" s="1" a="1"/>
  <c r="D541" i="6" s="1"/>
  <c r="E540" i="6"/>
  <c r="F540" i="6" s="1"/>
  <c r="G541" i="6" s="1"/>
  <c r="I541" i="6" s="1"/>
  <c r="B542" i="6"/>
  <c r="H542" i="6" l="1"/>
  <c r="C542" i="6"/>
  <c r="D542" i="6" s="1" a="1"/>
  <c r="D542" i="6" s="1"/>
  <c r="E541" i="6"/>
  <c r="F541" i="6" s="1"/>
  <c r="G542" i="6" s="1"/>
  <c r="I542" i="6" s="1"/>
  <c r="B543" i="6"/>
  <c r="H543" i="6" l="1"/>
  <c r="C543" i="6"/>
  <c r="D543" i="6" s="1" a="1"/>
  <c r="D543" i="6" s="1"/>
  <c r="E542" i="6"/>
  <c r="F542" i="6" s="1"/>
  <c r="G543" i="6" s="1"/>
  <c r="I543" i="6" s="1"/>
  <c r="B544" i="6"/>
  <c r="H544" i="6" l="1"/>
  <c r="C544" i="6"/>
  <c r="D544" i="6" s="1" a="1"/>
  <c r="D544" i="6" s="1"/>
  <c r="E543" i="6"/>
  <c r="F543" i="6" s="1"/>
  <c r="G544" i="6" s="1"/>
  <c r="I544" i="6" s="1"/>
  <c r="B545" i="6"/>
  <c r="H545" i="6" l="1"/>
  <c r="C545" i="6"/>
  <c r="D545" i="6" s="1" a="1"/>
  <c r="D545" i="6" s="1"/>
  <c r="E544" i="6"/>
  <c r="F544" i="6" s="1"/>
  <c r="G545" i="6" s="1"/>
  <c r="I545" i="6" s="1"/>
  <c r="B546" i="6"/>
  <c r="H546" i="6" l="1"/>
  <c r="C546" i="6"/>
  <c r="D546" i="6" s="1" a="1"/>
  <c r="D546" i="6" s="1"/>
  <c r="E545" i="6"/>
  <c r="F545" i="6" s="1"/>
  <c r="G546" i="6" s="1"/>
  <c r="I546" i="6" s="1"/>
  <c r="B547" i="6"/>
  <c r="H547" i="6" l="1"/>
  <c r="C547" i="6"/>
  <c r="D547" i="6" s="1" a="1"/>
  <c r="D547" i="6" s="1"/>
  <c r="E546" i="6"/>
  <c r="F546" i="6" s="1"/>
  <c r="G547" i="6" s="1"/>
  <c r="I547" i="6" s="1"/>
  <c r="B548" i="6"/>
  <c r="H548" i="6" l="1"/>
  <c r="C548" i="6"/>
  <c r="D548" i="6" s="1" a="1"/>
  <c r="D548" i="6" s="1"/>
  <c r="E547" i="6"/>
  <c r="F547" i="6" s="1"/>
  <c r="G548" i="6" s="1"/>
  <c r="I548" i="6" s="1"/>
  <c r="B549" i="6"/>
  <c r="H549" i="6" l="1"/>
  <c r="C549" i="6"/>
  <c r="D549" i="6" s="1" a="1"/>
  <c r="D549" i="6" s="1"/>
  <c r="E548" i="6"/>
  <c r="F548" i="6" s="1"/>
  <c r="G549" i="6" s="1"/>
  <c r="I549" i="6" s="1"/>
  <c r="B550" i="6"/>
  <c r="H550" i="6" l="1"/>
  <c r="C550" i="6"/>
  <c r="D550" i="6" s="1" a="1"/>
  <c r="D550" i="6" s="1"/>
  <c r="E549" i="6"/>
  <c r="F549" i="6" s="1"/>
  <c r="G550" i="6" s="1"/>
  <c r="I550" i="6" s="1"/>
  <c r="B551" i="6"/>
  <c r="H551" i="6" l="1"/>
  <c r="C551" i="6"/>
  <c r="D551" i="6" s="1" a="1"/>
  <c r="D551" i="6" s="1"/>
  <c r="E550" i="6"/>
  <c r="F550" i="6" s="1"/>
  <c r="G551" i="6" s="1"/>
  <c r="I551" i="6" s="1"/>
  <c r="B552" i="6"/>
  <c r="H552" i="6" l="1"/>
  <c r="C552" i="6"/>
  <c r="D552" i="6" s="1" a="1"/>
  <c r="D552" i="6" s="1"/>
  <c r="E551" i="6"/>
  <c r="F551" i="6" s="1"/>
  <c r="G552" i="6" s="1"/>
  <c r="I552" i="6" s="1"/>
  <c r="B553" i="6"/>
  <c r="H553" i="6" l="1"/>
  <c r="C553" i="6"/>
  <c r="D553" i="6" s="1" a="1"/>
  <c r="D553" i="6" s="1"/>
  <c r="E552" i="6"/>
  <c r="F552" i="6" s="1"/>
  <c r="G553" i="6" s="1"/>
  <c r="I553" i="6" s="1"/>
  <c r="B554" i="6"/>
  <c r="H554" i="6" l="1"/>
  <c r="C554" i="6"/>
  <c r="D554" i="6" s="1" a="1"/>
  <c r="D554" i="6" s="1"/>
  <c r="E553" i="6"/>
  <c r="F553" i="6" s="1"/>
  <c r="G554" i="6" s="1"/>
  <c r="I554" i="6" s="1"/>
  <c r="B555" i="6"/>
  <c r="H555" i="6" l="1"/>
  <c r="C555" i="6"/>
  <c r="D555" i="6" s="1" a="1"/>
  <c r="D555" i="6" s="1"/>
  <c r="E554" i="6"/>
  <c r="F554" i="6" s="1"/>
  <c r="G555" i="6" s="1"/>
  <c r="I555" i="6" s="1"/>
  <c r="B556" i="6"/>
  <c r="H556" i="6" l="1"/>
  <c r="C556" i="6"/>
  <c r="D556" i="6" s="1" a="1"/>
  <c r="D556" i="6" s="1"/>
  <c r="E555" i="6"/>
  <c r="F555" i="6" s="1"/>
  <c r="G556" i="6" s="1"/>
  <c r="I556" i="6" s="1"/>
  <c r="B557" i="6"/>
  <c r="H557" i="6" l="1"/>
  <c r="C557" i="6"/>
  <c r="D557" i="6" s="1" a="1"/>
  <c r="D557" i="6" s="1"/>
  <c r="E556" i="6"/>
  <c r="F556" i="6" s="1"/>
  <c r="G557" i="6" s="1"/>
  <c r="I557" i="6" s="1"/>
  <c r="B558" i="6"/>
  <c r="H558" i="6" l="1"/>
  <c r="C558" i="6"/>
  <c r="D558" i="6" s="1" a="1"/>
  <c r="D558" i="6" s="1"/>
  <c r="E557" i="6"/>
  <c r="F557" i="6" s="1"/>
  <c r="G558" i="6" s="1"/>
  <c r="I558" i="6" s="1"/>
  <c r="B559" i="6"/>
  <c r="H559" i="6" l="1"/>
  <c r="C559" i="6"/>
  <c r="D559" i="6" s="1" a="1"/>
  <c r="D559" i="6" s="1"/>
  <c r="E558" i="6"/>
  <c r="F558" i="6" s="1"/>
  <c r="G559" i="6" s="1"/>
  <c r="I559" i="6" s="1"/>
  <c r="B560" i="6"/>
  <c r="H560" i="6" l="1"/>
  <c r="C560" i="6"/>
  <c r="D560" i="6" s="1" a="1"/>
  <c r="D560" i="6" s="1"/>
  <c r="E559" i="6"/>
  <c r="F559" i="6" s="1"/>
  <c r="G560" i="6" s="1"/>
  <c r="I560" i="6" s="1"/>
  <c r="B561" i="6"/>
  <c r="H561" i="6" l="1"/>
  <c r="C561" i="6"/>
  <c r="D561" i="6" s="1" a="1"/>
  <c r="D561" i="6" s="1"/>
  <c r="E560" i="6"/>
  <c r="F560" i="6" s="1"/>
  <c r="G561" i="6" s="1"/>
  <c r="I561" i="6" s="1"/>
  <c r="B562" i="6"/>
  <c r="H562" i="6" l="1"/>
  <c r="C562" i="6"/>
  <c r="D562" i="6" s="1" a="1"/>
  <c r="D562" i="6" s="1"/>
  <c r="E561" i="6"/>
  <c r="F561" i="6" s="1"/>
  <c r="G562" i="6" s="1"/>
  <c r="I562" i="6" s="1"/>
  <c r="B563" i="6"/>
  <c r="H563" i="6" l="1"/>
  <c r="C563" i="6"/>
  <c r="D563" i="6" s="1" a="1"/>
  <c r="D563" i="6" s="1"/>
  <c r="E562" i="6"/>
  <c r="F562" i="6" s="1"/>
  <c r="G563" i="6" s="1"/>
  <c r="I563" i="6" s="1"/>
  <c r="B564" i="6"/>
  <c r="H564" i="6" l="1"/>
  <c r="C564" i="6"/>
  <c r="D564" i="6" s="1" a="1"/>
  <c r="D564" i="6" s="1"/>
  <c r="E563" i="6"/>
  <c r="F563" i="6" s="1"/>
  <c r="G564" i="6" s="1"/>
  <c r="I564" i="6" s="1"/>
  <c r="B565" i="6"/>
  <c r="H565" i="6" l="1"/>
  <c r="C565" i="6"/>
  <c r="D565" i="6" s="1" a="1"/>
  <c r="D565" i="6" s="1"/>
  <c r="E564" i="6"/>
  <c r="F564" i="6" s="1"/>
  <c r="G565" i="6" s="1"/>
  <c r="I565" i="6" s="1"/>
  <c r="B566" i="6"/>
  <c r="H566" i="6" l="1"/>
  <c r="C566" i="6"/>
  <c r="D566" i="6" s="1" a="1"/>
  <c r="D566" i="6" s="1"/>
  <c r="E565" i="6"/>
  <c r="F565" i="6" s="1"/>
  <c r="G566" i="6" s="1"/>
  <c r="I566" i="6" s="1"/>
  <c r="B567" i="6"/>
  <c r="H567" i="6" l="1"/>
  <c r="C567" i="6"/>
  <c r="D567" i="6" s="1" a="1"/>
  <c r="D567" i="6" s="1"/>
  <c r="E566" i="6"/>
  <c r="F566" i="6" s="1"/>
  <c r="G567" i="6" s="1"/>
  <c r="I567" i="6" s="1"/>
  <c r="B568" i="6"/>
  <c r="H568" i="6" l="1"/>
  <c r="C568" i="6"/>
  <c r="D568" i="6" s="1" a="1"/>
  <c r="D568" i="6" s="1"/>
  <c r="E567" i="6"/>
  <c r="F567" i="6" s="1"/>
  <c r="G568" i="6" s="1"/>
  <c r="I568" i="6" s="1"/>
  <c r="B569" i="6"/>
  <c r="H569" i="6" l="1"/>
  <c r="C569" i="6"/>
  <c r="D569" i="6" s="1" a="1"/>
  <c r="D569" i="6" s="1"/>
  <c r="E568" i="6"/>
  <c r="F568" i="6" s="1"/>
  <c r="G569" i="6" s="1"/>
  <c r="I569" i="6" s="1"/>
  <c r="B570" i="6"/>
  <c r="H570" i="6" l="1"/>
  <c r="C570" i="6"/>
  <c r="D570" i="6" s="1" a="1"/>
  <c r="D570" i="6" s="1"/>
  <c r="E569" i="6"/>
  <c r="F569" i="6" s="1"/>
  <c r="G570" i="6" s="1"/>
  <c r="I570" i="6" s="1"/>
  <c r="B571" i="6"/>
  <c r="H571" i="6" l="1"/>
  <c r="C571" i="6"/>
  <c r="D571" i="6" s="1" a="1"/>
  <c r="D571" i="6" s="1"/>
  <c r="E570" i="6"/>
  <c r="F570" i="6" s="1"/>
  <c r="G571" i="6" s="1"/>
  <c r="I571" i="6" s="1"/>
  <c r="B572" i="6"/>
  <c r="H572" i="6" l="1"/>
  <c r="C572" i="6"/>
  <c r="D572" i="6" s="1" a="1"/>
  <c r="D572" i="6" s="1"/>
  <c r="E571" i="6"/>
  <c r="F571" i="6" s="1"/>
  <c r="G572" i="6" s="1"/>
  <c r="I572" i="6" s="1"/>
  <c r="B573" i="6"/>
  <c r="H573" i="6" l="1"/>
  <c r="C573" i="6"/>
  <c r="D573" i="6" s="1" a="1"/>
  <c r="D573" i="6" s="1"/>
  <c r="E572" i="6"/>
  <c r="F572" i="6" s="1"/>
  <c r="G573" i="6" s="1"/>
  <c r="I573" i="6" s="1"/>
  <c r="B574" i="6"/>
  <c r="H574" i="6" l="1"/>
  <c r="C574" i="6"/>
  <c r="D574" i="6" s="1" a="1"/>
  <c r="D574" i="6" s="1"/>
  <c r="E573" i="6"/>
  <c r="F573" i="6" s="1"/>
  <c r="G574" i="6" s="1"/>
  <c r="I574" i="6" s="1"/>
  <c r="B575" i="6"/>
  <c r="H575" i="6" l="1"/>
  <c r="C575" i="6"/>
  <c r="D575" i="6" s="1" a="1"/>
  <c r="D575" i="6" s="1"/>
  <c r="E574" i="6"/>
  <c r="F574" i="6" s="1"/>
  <c r="G575" i="6" s="1"/>
  <c r="I575" i="6" s="1"/>
  <c r="B576" i="6"/>
  <c r="H576" i="6" l="1"/>
  <c r="C576" i="6"/>
  <c r="D576" i="6" s="1" a="1"/>
  <c r="D576" i="6" s="1"/>
  <c r="E575" i="6"/>
  <c r="F575" i="6" s="1"/>
  <c r="G576" i="6" s="1"/>
  <c r="I576" i="6" s="1"/>
  <c r="B577" i="6"/>
  <c r="H577" i="6" l="1"/>
  <c r="C577" i="6"/>
  <c r="D577" i="6" s="1" a="1"/>
  <c r="D577" i="6" s="1"/>
  <c r="E576" i="6"/>
  <c r="F576" i="6" s="1"/>
  <c r="G577" i="6" s="1"/>
  <c r="I577" i="6" s="1"/>
  <c r="B578" i="6"/>
  <c r="H578" i="6" l="1"/>
  <c r="C578" i="6"/>
  <c r="D578" i="6" s="1" a="1"/>
  <c r="D578" i="6" s="1"/>
  <c r="E577" i="6"/>
  <c r="F577" i="6" s="1"/>
  <c r="G578" i="6" s="1"/>
  <c r="I578" i="6" s="1"/>
  <c r="B579" i="6"/>
  <c r="H579" i="6" l="1"/>
  <c r="C579" i="6"/>
  <c r="D579" i="6" s="1" a="1"/>
  <c r="D579" i="6" s="1"/>
  <c r="E578" i="6"/>
  <c r="F578" i="6" s="1"/>
  <c r="G579" i="6" s="1"/>
  <c r="I579" i="6" s="1"/>
  <c r="B580" i="6"/>
  <c r="H580" i="6" l="1"/>
  <c r="C580" i="6"/>
  <c r="D580" i="6" s="1" a="1"/>
  <c r="D580" i="6" s="1"/>
  <c r="E579" i="6"/>
  <c r="F579" i="6" s="1"/>
  <c r="G580" i="6" s="1"/>
  <c r="I580" i="6" s="1"/>
  <c r="B581" i="6"/>
  <c r="H581" i="6" l="1"/>
  <c r="C581" i="6"/>
  <c r="D581" i="6" s="1" a="1"/>
  <c r="D581" i="6" s="1"/>
  <c r="E580" i="6"/>
  <c r="F580" i="6" s="1"/>
  <c r="G581" i="6" s="1"/>
  <c r="I581" i="6" s="1"/>
  <c r="B582" i="6"/>
  <c r="H582" i="6" l="1"/>
  <c r="C582" i="6"/>
  <c r="D582" i="6" s="1" a="1"/>
  <c r="D582" i="6" s="1"/>
  <c r="E581" i="6"/>
  <c r="F581" i="6" s="1"/>
  <c r="G582" i="6" s="1"/>
  <c r="I582" i="6" s="1"/>
  <c r="B583" i="6"/>
  <c r="H583" i="6" l="1"/>
  <c r="C583" i="6"/>
  <c r="D583" i="6" s="1" a="1"/>
  <c r="D583" i="6" s="1"/>
  <c r="E582" i="6"/>
  <c r="F582" i="6" s="1"/>
  <c r="G583" i="6" s="1"/>
  <c r="I583" i="6" s="1"/>
  <c r="B584" i="6"/>
  <c r="H584" i="6" l="1"/>
  <c r="C584" i="6"/>
  <c r="D584" i="6" s="1" a="1"/>
  <c r="D584" i="6" s="1"/>
  <c r="E583" i="6"/>
  <c r="F583" i="6" s="1"/>
  <c r="G584" i="6" s="1"/>
  <c r="I584" i="6" s="1"/>
  <c r="B585" i="6"/>
  <c r="H585" i="6" l="1"/>
  <c r="C585" i="6"/>
  <c r="D585" i="6" s="1" a="1"/>
  <c r="D585" i="6" s="1"/>
  <c r="E584" i="6"/>
  <c r="F584" i="6" s="1"/>
  <c r="G585" i="6" s="1"/>
  <c r="I585" i="6" s="1"/>
  <c r="B586" i="6"/>
  <c r="H586" i="6" l="1"/>
  <c r="C586" i="6"/>
  <c r="D586" i="6" s="1" a="1"/>
  <c r="D586" i="6" s="1"/>
  <c r="E585" i="6"/>
  <c r="F585" i="6" s="1"/>
  <c r="G586" i="6" s="1"/>
  <c r="I586" i="6" s="1"/>
  <c r="B587" i="6"/>
  <c r="H587" i="6" l="1"/>
  <c r="C587" i="6"/>
  <c r="D587" i="6" s="1" a="1"/>
  <c r="D587" i="6" s="1"/>
  <c r="E586" i="6"/>
  <c r="F586" i="6" s="1"/>
  <c r="G587" i="6" s="1"/>
  <c r="I587" i="6" s="1"/>
  <c r="B588" i="6"/>
  <c r="H588" i="6" l="1"/>
  <c r="C588" i="6"/>
  <c r="D588" i="6" s="1" a="1"/>
  <c r="D588" i="6" s="1"/>
  <c r="E587" i="6"/>
  <c r="F587" i="6" s="1"/>
  <c r="G588" i="6" s="1"/>
  <c r="I588" i="6" s="1"/>
  <c r="B589" i="6"/>
  <c r="H589" i="6" l="1"/>
  <c r="C589" i="6"/>
  <c r="D589" i="6" s="1" a="1"/>
  <c r="D589" i="6" s="1"/>
  <c r="E588" i="6"/>
  <c r="F588" i="6" s="1"/>
  <c r="G589" i="6" s="1"/>
  <c r="I589" i="6" s="1"/>
  <c r="B590" i="6"/>
  <c r="H590" i="6" l="1"/>
  <c r="C590" i="6"/>
  <c r="D590" i="6" s="1" a="1"/>
  <c r="D590" i="6" s="1"/>
  <c r="E589" i="6"/>
  <c r="F589" i="6" s="1"/>
  <c r="G590" i="6" s="1"/>
  <c r="I590" i="6" s="1"/>
  <c r="B591" i="6"/>
  <c r="H591" i="6" l="1"/>
  <c r="C591" i="6"/>
  <c r="D591" i="6" s="1" a="1"/>
  <c r="D591" i="6" s="1"/>
  <c r="E590" i="6"/>
  <c r="F590" i="6" s="1"/>
  <c r="G591" i="6" s="1"/>
  <c r="I591" i="6" s="1"/>
  <c r="B592" i="6"/>
  <c r="H592" i="6" l="1"/>
  <c r="C592" i="6"/>
  <c r="D592" i="6" s="1" a="1"/>
  <c r="D592" i="6" s="1"/>
  <c r="E591" i="6"/>
  <c r="F591" i="6" s="1"/>
  <c r="G592" i="6" s="1"/>
  <c r="I592" i="6" s="1"/>
  <c r="B593" i="6"/>
  <c r="H593" i="6" l="1"/>
  <c r="C593" i="6"/>
  <c r="D593" i="6" s="1" a="1"/>
  <c r="D593" i="6" s="1"/>
  <c r="E592" i="6"/>
  <c r="F592" i="6" s="1"/>
  <c r="G593" i="6" s="1"/>
  <c r="I593" i="6" s="1"/>
  <c r="B594" i="6"/>
  <c r="H594" i="6" l="1"/>
  <c r="C594" i="6"/>
  <c r="D594" i="6" s="1" a="1"/>
  <c r="D594" i="6" s="1"/>
  <c r="E593" i="6"/>
  <c r="F593" i="6" s="1"/>
  <c r="G594" i="6" s="1"/>
  <c r="I594" i="6" s="1"/>
  <c r="B595" i="6"/>
  <c r="H595" i="6" l="1"/>
  <c r="C595" i="6"/>
  <c r="D595" i="6" s="1" a="1"/>
  <c r="D595" i="6" s="1"/>
  <c r="E594" i="6"/>
  <c r="F594" i="6" s="1"/>
  <c r="G595" i="6" s="1"/>
  <c r="I595" i="6" s="1"/>
  <c r="B596" i="6"/>
  <c r="H596" i="6" l="1"/>
  <c r="C596" i="6"/>
  <c r="D596" i="6" s="1" a="1"/>
  <c r="D596" i="6" s="1"/>
  <c r="E595" i="6"/>
  <c r="F595" i="6" s="1"/>
  <c r="G596" i="6" s="1"/>
  <c r="I596" i="6" s="1"/>
  <c r="B597" i="6"/>
  <c r="H597" i="6" l="1"/>
  <c r="C597" i="6"/>
  <c r="D597" i="6" s="1" a="1"/>
  <c r="D597" i="6" s="1"/>
  <c r="E596" i="6"/>
  <c r="F596" i="6" s="1"/>
  <c r="G597" i="6" s="1"/>
  <c r="I597" i="6" s="1"/>
  <c r="B598" i="6"/>
  <c r="H598" i="6" l="1"/>
  <c r="C598" i="6"/>
  <c r="D598" i="6" s="1" a="1"/>
  <c r="D598" i="6" s="1"/>
  <c r="E597" i="6"/>
  <c r="F597" i="6" s="1"/>
  <c r="G598" i="6" s="1"/>
  <c r="I598" i="6" s="1"/>
  <c r="B599" i="6"/>
  <c r="H599" i="6" l="1"/>
  <c r="C599" i="6"/>
  <c r="D599" i="6" s="1" a="1"/>
  <c r="D599" i="6" s="1"/>
  <c r="E598" i="6"/>
  <c r="F598" i="6" s="1"/>
  <c r="G599" i="6" s="1"/>
  <c r="I599" i="6" s="1"/>
  <c r="B600" i="6"/>
  <c r="H600" i="6" l="1"/>
  <c r="C600" i="6"/>
  <c r="D600" i="6" s="1" a="1"/>
  <c r="D600" i="6" s="1"/>
  <c r="E599" i="6"/>
  <c r="F599" i="6" s="1"/>
  <c r="G600" i="6" s="1"/>
  <c r="I600" i="6" s="1"/>
  <c r="B601" i="6"/>
  <c r="H601" i="6" l="1"/>
  <c r="C601" i="6"/>
  <c r="D601" i="6" s="1" a="1"/>
  <c r="D601" i="6" s="1"/>
  <c r="E600" i="6"/>
  <c r="F600" i="6" s="1"/>
  <c r="G601" i="6" s="1"/>
  <c r="I601" i="6" s="1"/>
  <c r="B602" i="6"/>
  <c r="H602" i="6" l="1"/>
  <c r="C602" i="6"/>
  <c r="D602" i="6" s="1" a="1"/>
  <c r="D602" i="6" s="1"/>
  <c r="E601" i="6"/>
  <c r="F601" i="6" s="1"/>
  <c r="G602" i="6" s="1"/>
  <c r="I602" i="6" s="1"/>
  <c r="B603" i="6"/>
  <c r="H603" i="6" l="1"/>
  <c r="C603" i="6"/>
  <c r="D603" i="6" s="1" a="1"/>
  <c r="D603" i="6" s="1"/>
  <c r="E602" i="6"/>
  <c r="F602" i="6" s="1"/>
  <c r="G603" i="6" s="1"/>
  <c r="I603" i="6" s="1"/>
  <c r="B604" i="6"/>
  <c r="H604" i="6" l="1"/>
  <c r="C604" i="6"/>
  <c r="D604" i="6" s="1" a="1"/>
  <c r="D604" i="6" s="1"/>
  <c r="E603" i="6"/>
  <c r="F603" i="6" s="1"/>
  <c r="G604" i="6" s="1"/>
  <c r="I604" i="6" s="1"/>
  <c r="B605" i="6"/>
  <c r="H605" i="6" l="1"/>
  <c r="C605" i="6"/>
  <c r="D605" i="6" s="1" a="1"/>
  <c r="D605" i="6" s="1"/>
  <c r="E604" i="6"/>
  <c r="F604" i="6" s="1"/>
  <c r="G605" i="6" s="1"/>
  <c r="I605" i="6" s="1"/>
  <c r="B606" i="6"/>
  <c r="H606" i="6" l="1"/>
  <c r="C606" i="6"/>
  <c r="D606" i="6" s="1" a="1"/>
  <c r="D606" i="6" s="1"/>
  <c r="E605" i="6"/>
  <c r="F605" i="6" s="1"/>
  <c r="G606" i="6" s="1"/>
  <c r="I606" i="6" s="1"/>
  <c r="B607" i="6"/>
  <c r="H607" i="6" l="1"/>
  <c r="C607" i="6"/>
  <c r="D607" i="6" s="1" a="1"/>
  <c r="D607" i="6" s="1"/>
  <c r="E606" i="6"/>
  <c r="F606" i="6" s="1"/>
  <c r="G607" i="6" s="1"/>
  <c r="I607" i="6" s="1"/>
  <c r="B608" i="6"/>
  <c r="H608" i="6" l="1"/>
  <c r="C608" i="6"/>
  <c r="D608" i="6" s="1" a="1"/>
  <c r="D608" i="6" s="1"/>
  <c r="E607" i="6"/>
  <c r="F607" i="6" s="1"/>
  <c r="G608" i="6" s="1"/>
  <c r="I608" i="6" s="1"/>
  <c r="B609" i="6"/>
  <c r="H609" i="6" l="1"/>
  <c r="C609" i="6"/>
  <c r="D609" i="6" s="1" a="1"/>
  <c r="D609" i="6" s="1"/>
  <c r="E608" i="6"/>
  <c r="F608" i="6" s="1"/>
  <c r="G609" i="6" s="1"/>
  <c r="I609" i="6" s="1"/>
  <c r="B610" i="6"/>
  <c r="H610" i="6" l="1"/>
  <c r="C610" i="6"/>
  <c r="D610" i="6" s="1" a="1"/>
  <c r="D610" i="6" s="1"/>
  <c r="E609" i="6"/>
  <c r="F609" i="6" s="1"/>
  <c r="G610" i="6" s="1"/>
  <c r="I610" i="6" s="1"/>
  <c r="B611" i="6"/>
  <c r="H611" i="6" l="1"/>
  <c r="C611" i="6"/>
  <c r="D611" i="6" s="1" a="1"/>
  <c r="D611" i="6" s="1"/>
  <c r="E610" i="6"/>
  <c r="F610" i="6" s="1"/>
  <c r="G611" i="6" s="1"/>
  <c r="I611" i="6" s="1"/>
  <c r="B612" i="6"/>
  <c r="H612" i="6" l="1"/>
  <c r="C612" i="6"/>
  <c r="D612" i="6" s="1" a="1"/>
  <c r="D612" i="6" s="1"/>
  <c r="E611" i="6"/>
  <c r="F611" i="6" s="1"/>
  <c r="G612" i="6" s="1"/>
  <c r="I612" i="6" s="1"/>
  <c r="B613" i="6"/>
  <c r="H613" i="6" l="1"/>
  <c r="C613" i="6"/>
  <c r="D613" i="6" s="1" a="1"/>
  <c r="D613" i="6" s="1"/>
  <c r="E612" i="6"/>
  <c r="F612" i="6" s="1"/>
  <c r="G613" i="6" s="1"/>
  <c r="I613" i="6" s="1"/>
  <c r="B614" i="6"/>
  <c r="H614" i="6" l="1"/>
  <c r="C614" i="6"/>
  <c r="D614" i="6" s="1" a="1"/>
  <c r="D614" i="6" s="1"/>
  <c r="E613" i="6"/>
  <c r="F613" i="6" s="1"/>
  <c r="G614" i="6" s="1"/>
  <c r="I614" i="6" s="1"/>
  <c r="B615" i="6"/>
  <c r="H615" i="6" l="1"/>
  <c r="C615" i="6"/>
  <c r="D615" i="6" s="1" a="1"/>
  <c r="D615" i="6" s="1"/>
  <c r="E614" i="6"/>
  <c r="F614" i="6" s="1"/>
  <c r="G615" i="6" s="1"/>
  <c r="I615" i="6" s="1"/>
  <c r="B616" i="6"/>
  <c r="H616" i="6" l="1"/>
  <c r="C616" i="6"/>
  <c r="D616" i="6" s="1" a="1"/>
  <c r="D616" i="6" s="1"/>
  <c r="E615" i="6"/>
  <c r="F615" i="6" s="1"/>
  <c r="G616" i="6" s="1"/>
  <c r="I616" i="6" s="1"/>
  <c r="B617" i="6"/>
  <c r="H617" i="6" l="1"/>
  <c r="C617" i="6"/>
  <c r="D617" i="6" s="1" a="1"/>
  <c r="D617" i="6" s="1"/>
  <c r="E616" i="6"/>
  <c r="F616" i="6" s="1"/>
  <c r="G617" i="6" s="1"/>
  <c r="I617" i="6" s="1"/>
  <c r="B618" i="6"/>
  <c r="H618" i="6" l="1"/>
  <c r="C618" i="6"/>
  <c r="D618" i="6" s="1" a="1"/>
  <c r="D618" i="6" s="1"/>
  <c r="E617" i="6"/>
  <c r="F617" i="6" s="1"/>
  <c r="G618" i="6" s="1"/>
  <c r="I618" i="6" s="1"/>
  <c r="B619" i="6"/>
  <c r="H619" i="6" l="1"/>
  <c r="C619" i="6"/>
  <c r="D619" i="6" s="1" a="1"/>
  <c r="D619" i="6" s="1"/>
  <c r="E618" i="6"/>
  <c r="F618" i="6" s="1"/>
  <c r="G619" i="6" s="1"/>
  <c r="I619" i="6" s="1"/>
  <c r="B620" i="6"/>
  <c r="H620" i="6" l="1"/>
  <c r="C620" i="6"/>
  <c r="D620" i="6" s="1" a="1"/>
  <c r="D620" i="6" s="1"/>
  <c r="E619" i="6"/>
  <c r="F619" i="6" s="1"/>
  <c r="G620" i="6" s="1"/>
  <c r="I620" i="6" s="1"/>
  <c r="B621" i="6"/>
  <c r="H621" i="6" l="1"/>
  <c r="C621" i="6"/>
  <c r="D621" i="6" s="1" a="1"/>
  <c r="D621" i="6" s="1"/>
  <c r="E620" i="6"/>
  <c r="F620" i="6" s="1"/>
  <c r="G621" i="6" s="1"/>
  <c r="I621" i="6" s="1"/>
  <c r="B622" i="6"/>
  <c r="H622" i="6" l="1"/>
  <c r="C622" i="6"/>
  <c r="D622" i="6" s="1" a="1"/>
  <c r="D622" i="6" s="1"/>
  <c r="E621" i="6"/>
  <c r="F621" i="6" s="1"/>
  <c r="G622" i="6" s="1"/>
  <c r="I622" i="6" s="1"/>
  <c r="B623" i="6"/>
  <c r="H623" i="6" l="1"/>
  <c r="C623" i="6"/>
  <c r="D623" i="6" s="1" a="1"/>
  <c r="D623" i="6" s="1"/>
  <c r="E622" i="6"/>
  <c r="F622" i="6" s="1"/>
  <c r="G623" i="6" s="1"/>
  <c r="I623" i="6" s="1"/>
  <c r="B624" i="6"/>
  <c r="H624" i="6" l="1"/>
  <c r="C624" i="6"/>
  <c r="D624" i="6" s="1" a="1"/>
  <c r="D624" i="6" s="1"/>
  <c r="E623" i="6"/>
  <c r="F623" i="6" s="1"/>
  <c r="G624" i="6" s="1"/>
  <c r="I624" i="6" s="1"/>
  <c r="B625" i="6"/>
  <c r="H625" i="6" l="1"/>
  <c r="C625" i="6"/>
  <c r="D625" i="6" s="1" a="1"/>
  <c r="D625" i="6" s="1"/>
  <c r="E624" i="6"/>
  <c r="F624" i="6" s="1"/>
  <c r="G625" i="6" s="1"/>
  <c r="I625" i="6" s="1"/>
  <c r="B626" i="6"/>
  <c r="H626" i="6" l="1"/>
  <c r="C626" i="6"/>
  <c r="D626" i="6" s="1" a="1"/>
  <c r="D626" i="6" s="1"/>
  <c r="E625" i="6"/>
  <c r="F625" i="6" s="1"/>
  <c r="G626" i="6" s="1"/>
  <c r="I626" i="6" s="1"/>
  <c r="B627" i="6"/>
  <c r="H627" i="6" l="1"/>
  <c r="C627" i="6"/>
  <c r="D627" i="6" s="1" a="1"/>
  <c r="D627" i="6" s="1"/>
  <c r="E626" i="6"/>
  <c r="F626" i="6" s="1"/>
  <c r="G627" i="6" s="1"/>
  <c r="I627" i="6" s="1"/>
  <c r="B628" i="6"/>
  <c r="H628" i="6" l="1"/>
  <c r="C628" i="6"/>
  <c r="D628" i="6" s="1" a="1"/>
  <c r="D628" i="6" s="1"/>
  <c r="E627" i="6"/>
  <c r="F627" i="6" s="1"/>
  <c r="G628" i="6" s="1"/>
  <c r="I628" i="6" s="1"/>
  <c r="B629" i="6"/>
  <c r="H629" i="6" l="1"/>
  <c r="C629" i="6"/>
  <c r="D629" i="6" s="1" a="1"/>
  <c r="D629" i="6" s="1"/>
  <c r="E628" i="6"/>
  <c r="F628" i="6" s="1"/>
  <c r="G629" i="6" s="1"/>
  <c r="I629" i="6" s="1"/>
  <c r="B630" i="6"/>
  <c r="H630" i="6" l="1"/>
  <c r="C630" i="6"/>
  <c r="D630" i="6" s="1" a="1"/>
  <c r="D630" i="6" s="1"/>
  <c r="E629" i="6"/>
  <c r="F629" i="6" s="1"/>
  <c r="G630" i="6" s="1"/>
  <c r="I630" i="6" s="1"/>
  <c r="B631" i="6"/>
  <c r="H631" i="6" l="1"/>
  <c r="C631" i="6"/>
  <c r="D631" i="6" s="1" a="1"/>
  <c r="D631" i="6" s="1"/>
  <c r="E630" i="6"/>
  <c r="F630" i="6" s="1"/>
  <c r="G631" i="6" s="1"/>
  <c r="I631" i="6" s="1"/>
  <c r="B632" i="6"/>
  <c r="H632" i="6" l="1"/>
  <c r="C632" i="6"/>
  <c r="D632" i="6" s="1" a="1"/>
  <c r="D632" i="6" s="1"/>
  <c r="E631" i="6"/>
  <c r="F631" i="6" s="1"/>
  <c r="G632" i="6" s="1"/>
  <c r="I632" i="6" s="1"/>
  <c r="B633" i="6"/>
  <c r="H633" i="6" l="1"/>
  <c r="C633" i="6"/>
  <c r="D633" i="6" s="1" a="1"/>
  <c r="D633" i="6" s="1"/>
  <c r="E632" i="6"/>
  <c r="F632" i="6" s="1"/>
  <c r="G633" i="6" s="1"/>
  <c r="I633" i="6" s="1"/>
  <c r="B634" i="6"/>
  <c r="H634" i="6" l="1"/>
  <c r="C634" i="6"/>
  <c r="D634" i="6" s="1" a="1"/>
  <c r="D634" i="6" s="1"/>
  <c r="E633" i="6"/>
  <c r="F633" i="6" s="1"/>
  <c r="G634" i="6" s="1"/>
  <c r="I634" i="6" s="1"/>
  <c r="B635" i="6"/>
  <c r="H635" i="6" l="1"/>
  <c r="C635" i="6"/>
  <c r="D635" i="6" s="1" a="1"/>
  <c r="D635" i="6" s="1"/>
  <c r="E634" i="6"/>
  <c r="F634" i="6" s="1"/>
  <c r="G635" i="6" s="1"/>
  <c r="I635" i="6" s="1"/>
  <c r="B636" i="6"/>
  <c r="H636" i="6" l="1"/>
  <c r="C636" i="6"/>
  <c r="D636" i="6" s="1" a="1"/>
  <c r="D636" i="6" s="1"/>
  <c r="E635" i="6"/>
  <c r="F635" i="6" s="1"/>
  <c r="G636" i="6" s="1"/>
  <c r="I636" i="6" s="1"/>
  <c r="B637" i="6"/>
  <c r="H637" i="6" l="1"/>
  <c r="C637" i="6"/>
  <c r="D637" i="6" s="1" a="1"/>
  <c r="D637" i="6" s="1"/>
  <c r="E636" i="6"/>
  <c r="F636" i="6" s="1"/>
  <c r="G637" i="6" s="1"/>
  <c r="I637" i="6" s="1"/>
  <c r="B638" i="6"/>
  <c r="H638" i="6" l="1"/>
  <c r="C638" i="6"/>
  <c r="D638" i="6" s="1" a="1"/>
  <c r="D638" i="6" s="1"/>
  <c r="E637" i="6"/>
  <c r="F637" i="6" s="1"/>
  <c r="G638" i="6" s="1"/>
  <c r="I638" i="6" s="1"/>
  <c r="B639" i="6"/>
  <c r="H639" i="6" l="1"/>
  <c r="C639" i="6"/>
  <c r="D639" i="6" s="1" a="1"/>
  <c r="D639" i="6" s="1"/>
  <c r="E638" i="6"/>
  <c r="F638" i="6" s="1"/>
  <c r="G639" i="6" s="1"/>
  <c r="I639" i="6" s="1"/>
  <c r="B640" i="6"/>
  <c r="H640" i="6" l="1"/>
  <c r="C640" i="6"/>
  <c r="D640" i="6" s="1" a="1"/>
  <c r="D640" i="6" s="1"/>
  <c r="E639" i="6"/>
  <c r="F639" i="6" s="1"/>
  <c r="G640" i="6" s="1"/>
  <c r="I640" i="6" s="1"/>
  <c r="B641" i="6"/>
  <c r="H641" i="6" l="1"/>
  <c r="C641" i="6"/>
  <c r="D641" i="6" s="1" a="1"/>
  <c r="D641" i="6" s="1"/>
  <c r="E640" i="6"/>
  <c r="F640" i="6" s="1"/>
  <c r="G641" i="6" s="1"/>
  <c r="I641" i="6" s="1"/>
  <c r="B642" i="6"/>
  <c r="H642" i="6" l="1"/>
  <c r="C642" i="6"/>
  <c r="D642" i="6" s="1" a="1"/>
  <c r="D642" i="6" s="1"/>
  <c r="E641" i="6"/>
  <c r="F641" i="6" s="1"/>
  <c r="G642" i="6" s="1"/>
  <c r="I642" i="6" s="1"/>
  <c r="B643" i="6"/>
  <c r="H643" i="6" l="1"/>
  <c r="C643" i="6"/>
  <c r="D643" i="6" s="1" a="1"/>
  <c r="D643" i="6" s="1"/>
  <c r="E642" i="6"/>
  <c r="F642" i="6" s="1"/>
  <c r="G643" i="6" s="1"/>
  <c r="I643" i="6" s="1"/>
  <c r="B644" i="6"/>
  <c r="H644" i="6" l="1"/>
  <c r="C644" i="6"/>
  <c r="D644" i="6" s="1" a="1"/>
  <c r="D644" i="6" s="1"/>
  <c r="E643" i="6"/>
  <c r="F643" i="6" s="1"/>
  <c r="G644" i="6" s="1"/>
  <c r="I644" i="6" s="1"/>
  <c r="B645" i="6"/>
  <c r="H645" i="6" l="1"/>
  <c r="C645" i="6"/>
  <c r="D645" i="6" s="1" a="1"/>
  <c r="D645" i="6" s="1"/>
  <c r="E644" i="6"/>
  <c r="F644" i="6" s="1"/>
  <c r="G645" i="6" s="1"/>
  <c r="I645" i="6" s="1"/>
  <c r="B646" i="6"/>
  <c r="H646" i="6" l="1"/>
  <c r="C646" i="6"/>
  <c r="D646" i="6" s="1" a="1"/>
  <c r="D646" i="6" s="1"/>
  <c r="E645" i="6"/>
  <c r="F645" i="6" s="1"/>
  <c r="G646" i="6" s="1"/>
  <c r="I646" i="6" s="1"/>
  <c r="B647" i="6"/>
  <c r="H647" i="6" l="1"/>
  <c r="C647" i="6"/>
  <c r="D647" i="6" s="1" a="1"/>
  <c r="D647" i="6" s="1"/>
  <c r="E646" i="6"/>
  <c r="F646" i="6" s="1"/>
  <c r="G647" i="6" s="1"/>
  <c r="I647" i="6" s="1"/>
  <c r="B648" i="6"/>
  <c r="H648" i="6" l="1"/>
  <c r="C648" i="6"/>
  <c r="D648" i="6" s="1" a="1"/>
  <c r="D648" i="6" s="1"/>
  <c r="E647" i="6"/>
  <c r="F647" i="6" s="1"/>
  <c r="G648" i="6" s="1"/>
  <c r="I648" i="6" s="1"/>
  <c r="B649" i="6"/>
  <c r="H649" i="6" l="1"/>
  <c r="C649" i="6"/>
  <c r="D649" i="6" s="1" a="1"/>
  <c r="D649" i="6" s="1"/>
  <c r="E648" i="6"/>
  <c r="F648" i="6" s="1"/>
  <c r="G649" i="6" s="1"/>
  <c r="I649" i="6" s="1"/>
  <c r="B650" i="6"/>
  <c r="H650" i="6" l="1"/>
  <c r="C650" i="6"/>
  <c r="D650" i="6" s="1" a="1"/>
  <c r="D650" i="6" s="1"/>
  <c r="E649" i="6"/>
  <c r="F649" i="6" s="1"/>
  <c r="G650" i="6" s="1"/>
  <c r="I650" i="6" s="1"/>
  <c r="B651" i="6"/>
  <c r="H651" i="6" l="1"/>
  <c r="C651" i="6"/>
  <c r="D651" i="6" s="1" a="1"/>
  <c r="D651" i="6" s="1"/>
  <c r="E650" i="6"/>
  <c r="F650" i="6" s="1"/>
  <c r="G651" i="6" s="1"/>
  <c r="I651" i="6" s="1"/>
  <c r="B652" i="6"/>
  <c r="H652" i="6" l="1"/>
  <c r="C652" i="6"/>
  <c r="D652" i="6" s="1" a="1"/>
  <c r="D652" i="6" s="1"/>
  <c r="E651" i="6"/>
  <c r="F651" i="6" s="1"/>
  <c r="G652" i="6" s="1"/>
  <c r="I652" i="6" s="1"/>
  <c r="B653" i="6"/>
  <c r="H653" i="6" l="1"/>
  <c r="C653" i="6"/>
  <c r="D653" i="6" s="1" a="1"/>
  <c r="D653" i="6" s="1"/>
  <c r="E652" i="6"/>
  <c r="F652" i="6" s="1"/>
  <c r="G653" i="6" s="1"/>
  <c r="I653" i="6" s="1"/>
  <c r="B654" i="6"/>
  <c r="H654" i="6" l="1"/>
  <c r="C654" i="6"/>
  <c r="D654" i="6" s="1" a="1"/>
  <c r="D654" i="6" s="1"/>
  <c r="E653" i="6"/>
  <c r="F653" i="6" s="1"/>
  <c r="G654" i="6" s="1"/>
  <c r="I654" i="6" s="1"/>
  <c r="B655" i="6"/>
  <c r="H655" i="6" l="1"/>
  <c r="C655" i="6"/>
  <c r="D655" i="6" s="1" a="1"/>
  <c r="D655" i="6" s="1"/>
  <c r="E654" i="6"/>
  <c r="F654" i="6" s="1"/>
  <c r="G655" i="6" s="1"/>
  <c r="I655" i="6" s="1"/>
  <c r="B656" i="6"/>
  <c r="H656" i="6" l="1"/>
  <c r="C656" i="6"/>
  <c r="D656" i="6" s="1" a="1"/>
  <c r="D656" i="6" s="1"/>
  <c r="E655" i="6"/>
  <c r="F655" i="6" s="1"/>
  <c r="G656" i="6" s="1"/>
  <c r="I656" i="6" s="1"/>
  <c r="B657" i="6"/>
  <c r="H657" i="6" l="1"/>
  <c r="C657" i="6"/>
  <c r="D657" i="6" s="1" a="1"/>
  <c r="D657" i="6" s="1"/>
  <c r="E656" i="6"/>
  <c r="F656" i="6" s="1"/>
  <c r="G657" i="6" s="1"/>
  <c r="I657" i="6" s="1"/>
  <c r="B658" i="6"/>
  <c r="H658" i="6" l="1"/>
  <c r="C658" i="6"/>
  <c r="D658" i="6" s="1" a="1"/>
  <c r="D658" i="6" s="1"/>
  <c r="E657" i="6"/>
  <c r="F657" i="6" s="1"/>
  <c r="G658" i="6" s="1"/>
  <c r="I658" i="6" s="1"/>
  <c r="B659" i="6"/>
  <c r="H659" i="6" l="1"/>
  <c r="C659" i="6"/>
  <c r="D659" i="6" s="1" a="1"/>
  <c r="D659" i="6" s="1"/>
  <c r="E658" i="6"/>
  <c r="F658" i="6" s="1"/>
  <c r="G659" i="6" s="1"/>
  <c r="I659" i="6" s="1"/>
  <c r="B660" i="6"/>
  <c r="H660" i="6" l="1"/>
  <c r="C660" i="6"/>
  <c r="D660" i="6" s="1" a="1"/>
  <c r="D660" i="6" s="1"/>
  <c r="E659" i="6"/>
  <c r="F659" i="6" s="1"/>
  <c r="G660" i="6" s="1"/>
  <c r="I660" i="6" s="1"/>
  <c r="B661" i="6"/>
  <c r="H661" i="6" l="1"/>
  <c r="C661" i="6"/>
  <c r="D661" i="6" s="1" a="1"/>
  <c r="D661" i="6" s="1"/>
  <c r="E660" i="6"/>
  <c r="F660" i="6" s="1"/>
  <c r="G661" i="6" s="1"/>
  <c r="I661" i="6" s="1"/>
  <c r="B662" i="6"/>
  <c r="H662" i="6" l="1"/>
  <c r="C662" i="6"/>
  <c r="D662" i="6" s="1" a="1"/>
  <c r="D662" i="6" s="1"/>
  <c r="E661" i="6"/>
  <c r="F661" i="6" s="1"/>
  <c r="G662" i="6" s="1"/>
  <c r="I662" i="6" s="1"/>
  <c r="B663" i="6"/>
  <c r="H663" i="6" l="1"/>
  <c r="C663" i="6"/>
  <c r="D663" i="6" s="1" a="1"/>
  <c r="D663" i="6" s="1"/>
  <c r="E662" i="6"/>
  <c r="F662" i="6" s="1"/>
  <c r="G663" i="6" s="1"/>
  <c r="I663" i="6" s="1"/>
  <c r="B664" i="6"/>
  <c r="H664" i="6" l="1"/>
  <c r="C664" i="6"/>
  <c r="D664" i="6" s="1" a="1"/>
  <c r="D664" i="6" s="1"/>
  <c r="E663" i="6"/>
  <c r="F663" i="6" s="1"/>
  <c r="G664" i="6" s="1"/>
  <c r="I664" i="6" s="1"/>
  <c r="B665" i="6"/>
  <c r="H665" i="6" l="1"/>
  <c r="C665" i="6"/>
  <c r="D665" i="6" s="1" a="1"/>
  <c r="D665" i="6" s="1"/>
  <c r="E664" i="6"/>
  <c r="F664" i="6" s="1"/>
  <c r="G665" i="6" s="1"/>
  <c r="I665" i="6" s="1"/>
  <c r="B666" i="6"/>
  <c r="H666" i="6" l="1"/>
  <c r="C666" i="6"/>
  <c r="D666" i="6" s="1" a="1"/>
  <c r="D666" i="6" s="1"/>
  <c r="E665" i="6"/>
  <c r="F665" i="6" s="1"/>
  <c r="G666" i="6" s="1"/>
  <c r="I666" i="6" s="1"/>
  <c r="B667" i="6"/>
  <c r="H667" i="6" l="1"/>
  <c r="C667" i="6"/>
  <c r="D667" i="6" s="1" a="1"/>
  <c r="D667" i="6" s="1"/>
  <c r="E666" i="6"/>
  <c r="F666" i="6" s="1"/>
  <c r="G667" i="6" s="1"/>
  <c r="I667" i="6" s="1"/>
  <c r="B668" i="6"/>
  <c r="H668" i="6" l="1"/>
  <c r="C668" i="6"/>
  <c r="D668" i="6" s="1" a="1"/>
  <c r="D668" i="6" s="1"/>
  <c r="E667" i="6"/>
  <c r="F667" i="6" s="1"/>
  <c r="G668" i="6" s="1"/>
  <c r="I668" i="6" s="1"/>
  <c r="B669" i="6"/>
  <c r="H669" i="6" l="1"/>
  <c r="C669" i="6"/>
  <c r="D669" i="6" s="1" a="1"/>
  <c r="D669" i="6" s="1"/>
  <c r="E668" i="6"/>
  <c r="F668" i="6" s="1"/>
  <c r="G669" i="6" s="1"/>
  <c r="I669" i="6" s="1"/>
  <c r="B670" i="6"/>
  <c r="H670" i="6" l="1"/>
  <c r="C670" i="6"/>
  <c r="D670" i="6" s="1" a="1"/>
  <c r="D670" i="6" s="1"/>
  <c r="E669" i="6"/>
  <c r="F669" i="6" s="1"/>
  <c r="G670" i="6" s="1"/>
  <c r="I670" i="6" s="1"/>
  <c r="B671" i="6"/>
  <c r="H671" i="6" l="1"/>
  <c r="C671" i="6"/>
  <c r="D671" i="6" s="1" a="1"/>
  <c r="D671" i="6" s="1"/>
  <c r="E670" i="6"/>
  <c r="F670" i="6" s="1"/>
  <c r="G671" i="6" s="1"/>
  <c r="I671" i="6" s="1"/>
  <c r="B672" i="6"/>
  <c r="H672" i="6" l="1"/>
  <c r="C672" i="6"/>
  <c r="D672" i="6" s="1" a="1"/>
  <c r="D672" i="6" s="1"/>
  <c r="E671" i="6"/>
  <c r="F671" i="6" s="1"/>
  <c r="G672" i="6" s="1"/>
  <c r="I672" i="6" s="1"/>
  <c r="B673" i="6"/>
  <c r="H673" i="6" l="1"/>
  <c r="C673" i="6"/>
  <c r="D673" i="6" s="1" a="1"/>
  <c r="D673" i="6" s="1"/>
  <c r="E672" i="6"/>
  <c r="F672" i="6" s="1"/>
  <c r="G673" i="6" s="1"/>
  <c r="I673" i="6" s="1"/>
  <c r="B674" i="6"/>
  <c r="H674" i="6" l="1"/>
  <c r="C674" i="6"/>
  <c r="D674" i="6" s="1" a="1"/>
  <c r="D674" i="6" s="1"/>
  <c r="E673" i="6"/>
  <c r="F673" i="6" s="1"/>
  <c r="G674" i="6" s="1"/>
  <c r="I674" i="6" s="1"/>
  <c r="B675" i="6"/>
  <c r="H675" i="6" l="1"/>
  <c r="C675" i="6"/>
  <c r="D675" i="6" s="1" a="1"/>
  <c r="D675" i="6" s="1"/>
  <c r="E674" i="6"/>
  <c r="F674" i="6" s="1"/>
  <c r="G675" i="6" s="1"/>
  <c r="I675" i="6" s="1"/>
  <c r="B676" i="6"/>
  <c r="H676" i="6" l="1"/>
  <c r="C676" i="6"/>
  <c r="D676" i="6" s="1" a="1"/>
  <c r="D676" i="6" s="1"/>
  <c r="E675" i="6"/>
  <c r="F675" i="6" s="1"/>
  <c r="G676" i="6" s="1"/>
  <c r="I676" i="6" s="1"/>
  <c r="B677" i="6"/>
  <c r="H677" i="6" l="1"/>
  <c r="C677" i="6"/>
  <c r="D677" i="6" s="1" a="1"/>
  <c r="D677" i="6" s="1"/>
  <c r="E676" i="6"/>
  <c r="F676" i="6" s="1"/>
  <c r="G677" i="6" s="1"/>
  <c r="I677" i="6" s="1"/>
  <c r="B678" i="6"/>
  <c r="H678" i="6" l="1"/>
  <c r="C678" i="6"/>
  <c r="D678" i="6" s="1" a="1"/>
  <c r="D678" i="6" s="1"/>
  <c r="E677" i="6"/>
  <c r="F677" i="6" s="1"/>
  <c r="G678" i="6" s="1"/>
  <c r="I678" i="6" s="1"/>
  <c r="B679" i="6"/>
  <c r="H679" i="6" l="1"/>
  <c r="C679" i="6"/>
  <c r="D679" i="6" s="1" a="1"/>
  <c r="D679" i="6" s="1"/>
  <c r="E678" i="6"/>
  <c r="F678" i="6" s="1"/>
  <c r="G679" i="6" s="1"/>
  <c r="I679" i="6" s="1"/>
  <c r="B680" i="6"/>
  <c r="H680" i="6" l="1"/>
  <c r="C680" i="6"/>
  <c r="D680" i="6" s="1" a="1"/>
  <c r="D680" i="6" s="1"/>
  <c r="E679" i="6"/>
  <c r="F679" i="6" s="1"/>
  <c r="G680" i="6" s="1"/>
  <c r="I680" i="6" s="1"/>
  <c r="B681" i="6"/>
  <c r="H681" i="6" l="1"/>
  <c r="C681" i="6"/>
  <c r="D681" i="6" s="1" a="1"/>
  <c r="D681" i="6" s="1"/>
  <c r="E680" i="6"/>
  <c r="F680" i="6" s="1"/>
  <c r="G681" i="6" s="1"/>
  <c r="I681" i="6" s="1"/>
  <c r="B682" i="6"/>
  <c r="H682" i="6" l="1"/>
  <c r="C682" i="6"/>
  <c r="D682" i="6" s="1" a="1"/>
  <c r="D682" i="6" s="1"/>
  <c r="E681" i="6"/>
  <c r="F681" i="6" s="1"/>
  <c r="G682" i="6" s="1"/>
  <c r="I682" i="6" s="1"/>
  <c r="B683" i="6"/>
  <c r="H683" i="6" l="1"/>
  <c r="C683" i="6"/>
  <c r="D683" i="6" s="1" a="1"/>
  <c r="D683" i="6" s="1"/>
  <c r="E682" i="6"/>
  <c r="F682" i="6" s="1"/>
  <c r="G683" i="6" s="1"/>
  <c r="I683" i="6" s="1"/>
  <c r="B684" i="6"/>
  <c r="H684" i="6" l="1"/>
  <c r="C684" i="6"/>
  <c r="D684" i="6" s="1" a="1"/>
  <c r="D684" i="6" s="1"/>
  <c r="E683" i="6"/>
  <c r="F683" i="6" s="1"/>
  <c r="G684" i="6" s="1"/>
  <c r="I684" i="6" s="1"/>
  <c r="B685" i="6"/>
  <c r="H685" i="6" l="1"/>
  <c r="C685" i="6"/>
  <c r="D685" i="6" s="1" a="1"/>
  <c r="D685" i="6" s="1"/>
  <c r="E684" i="6"/>
  <c r="F684" i="6" s="1"/>
  <c r="G685" i="6" s="1"/>
  <c r="I685" i="6" s="1"/>
  <c r="B686" i="6"/>
  <c r="H686" i="6" l="1"/>
  <c r="C686" i="6"/>
  <c r="D686" i="6" s="1" a="1"/>
  <c r="D686" i="6" s="1"/>
  <c r="E685" i="6"/>
  <c r="F685" i="6" s="1"/>
  <c r="G686" i="6" s="1"/>
  <c r="I686" i="6" s="1"/>
  <c r="B687" i="6"/>
  <c r="H687" i="6" l="1"/>
  <c r="C687" i="6"/>
  <c r="D687" i="6" s="1" a="1"/>
  <c r="D687" i="6" s="1"/>
  <c r="E686" i="6"/>
  <c r="F686" i="6" s="1"/>
  <c r="G687" i="6" s="1"/>
  <c r="I687" i="6" s="1"/>
  <c r="B688" i="6"/>
  <c r="H688" i="6" l="1"/>
  <c r="C688" i="6"/>
  <c r="D688" i="6" s="1" a="1"/>
  <c r="D688" i="6" s="1"/>
  <c r="E687" i="6"/>
  <c r="F687" i="6" s="1"/>
  <c r="G688" i="6" s="1"/>
  <c r="I688" i="6" s="1"/>
  <c r="B689" i="6"/>
  <c r="H689" i="6" l="1"/>
  <c r="C689" i="6"/>
  <c r="D689" i="6" s="1" a="1"/>
  <c r="D689" i="6" s="1"/>
  <c r="E688" i="6"/>
  <c r="F688" i="6" s="1"/>
  <c r="G689" i="6" s="1"/>
  <c r="I689" i="6" s="1"/>
  <c r="B690" i="6"/>
  <c r="H690" i="6" l="1"/>
  <c r="C690" i="6"/>
  <c r="D690" i="6" s="1" a="1"/>
  <c r="D690" i="6" s="1"/>
  <c r="E689" i="6"/>
  <c r="F689" i="6" s="1"/>
  <c r="G690" i="6" s="1"/>
  <c r="I690" i="6" s="1"/>
  <c r="B691" i="6"/>
  <c r="H691" i="6" l="1"/>
  <c r="C691" i="6"/>
  <c r="D691" i="6" s="1" a="1"/>
  <c r="D691" i="6" s="1"/>
  <c r="E690" i="6"/>
  <c r="F690" i="6" s="1"/>
  <c r="G691" i="6" s="1"/>
  <c r="B692" i="6"/>
  <c r="H692" i="6" l="1"/>
  <c r="C692" i="6"/>
  <c r="D692" i="6" s="1" a="1"/>
  <c r="D692" i="6" s="1"/>
  <c r="I691" i="6"/>
  <c r="E691" i="6"/>
  <c r="F691" i="6" s="1"/>
  <c r="G692" i="6" s="1"/>
  <c r="I692" i="6" s="1"/>
  <c r="B693" i="6"/>
  <c r="H693" i="6" l="1"/>
  <c r="C693" i="6"/>
  <c r="D693" i="6" s="1" a="1"/>
  <c r="D693" i="6" s="1"/>
  <c r="E692" i="6"/>
  <c r="F692" i="6" s="1"/>
  <c r="G693" i="6" s="1"/>
  <c r="I693" i="6" s="1"/>
  <c r="B694" i="6"/>
  <c r="H694" i="6" l="1"/>
  <c r="C694" i="6"/>
  <c r="D694" i="6" s="1" a="1"/>
  <c r="D694" i="6" s="1"/>
  <c r="E693" i="6"/>
  <c r="F693" i="6" s="1"/>
  <c r="G694" i="6" s="1"/>
  <c r="I694" i="6" s="1"/>
  <c r="B695" i="6"/>
  <c r="H695" i="6" l="1"/>
  <c r="C695" i="6"/>
  <c r="D695" i="6" s="1" a="1"/>
  <c r="D695" i="6" s="1"/>
  <c r="E694" i="6"/>
  <c r="F694" i="6" s="1"/>
  <c r="G695" i="6" s="1"/>
  <c r="I695" i="6" s="1"/>
  <c r="B696" i="6"/>
  <c r="H696" i="6" l="1"/>
  <c r="C696" i="6"/>
  <c r="D696" i="6" s="1" a="1"/>
  <c r="D696" i="6" s="1"/>
  <c r="E695" i="6"/>
  <c r="F695" i="6" s="1"/>
  <c r="G696" i="6" s="1"/>
  <c r="I696" i="6" s="1"/>
  <c r="B697" i="6"/>
  <c r="H697" i="6" l="1"/>
  <c r="C697" i="6"/>
  <c r="D697" i="6" s="1" a="1"/>
  <c r="D697" i="6" s="1"/>
  <c r="E696" i="6"/>
  <c r="F696" i="6" s="1"/>
  <c r="G697" i="6" s="1"/>
  <c r="I697" i="6" s="1"/>
  <c r="B698" i="6"/>
  <c r="H698" i="6" l="1"/>
  <c r="C698" i="6"/>
  <c r="D698" i="6" s="1" a="1"/>
  <c r="D698" i="6" s="1"/>
  <c r="E697" i="6"/>
  <c r="F697" i="6" s="1"/>
  <c r="G698" i="6" s="1"/>
  <c r="I698" i="6" s="1"/>
  <c r="B699" i="6"/>
  <c r="H699" i="6" l="1"/>
  <c r="C699" i="6"/>
  <c r="D699" i="6" s="1" a="1"/>
  <c r="D699" i="6" s="1"/>
  <c r="E698" i="6"/>
  <c r="F698" i="6" s="1"/>
  <c r="G699" i="6" s="1"/>
  <c r="I699" i="6" s="1"/>
  <c r="B700" i="6"/>
  <c r="H700" i="6" l="1"/>
  <c r="C700" i="6"/>
  <c r="D700" i="6" s="1" a="1"/>
  <c r="D700" i="6" s="1"/>
  <c r="E699" i="6"/>
  <c r="F699" i="6" s="1"/>
  <c r="G700" i="6" s="1"/>
  <c r="I700" i="6" s="1"/>
  <c r="B701" i="6"/>
  <c r="H701" i="6" l="1"/>
  <c r="C701" i="6"/>
  <c r="D701" i="6" s="1" a="1"/>
  <c r="D701" i="6" s="1"/>
  <c r="E700" i="6"/>
  <c r="F700" i="6" s="1"/>
  <c r="G701" i="6" s="1"/>
  <c r="I701" i="6" s="1"/>
  <c r="B702" i="6"/>
  <c r="H702" i="6" l="1"/>
  <c r="C702" i="6"/>
  <c r="D702" i="6" s="1" a="1"/>
  <c r="D702" i="6" s="1"/>
  <c r="E701" i="6"/>
  <c r="F701" i="6" s="1"/>
  <c r="G702" i="6" s="1"/>
  <c r="I702" i="6" s="1"/>
  <c r="B703" i="6"/>
  <c r="H703" i="6" l="1"/>
  <c r="C703" i="6"/>
  <c r="D703" i="6" s="1" a="1"/>
  <c r="D703" i="6" s="1"/>
  <c r="E702" i="6"/>
  <c r="F702" i="6" s="1"/>
  <c r="G703" i="6" s="1"/>
  <c r="I703" i="6" s="1"/>
  <c r="B704" i="6"/>
  <c r="H704" i="6" l="1"/>
  <c r="C704" i="6"/>
  <c r="D704" i="6" s="1" a="1"/>
  <c r="D704" i="6" s="1"/>
  <c r="E703" i="6"/>
  <c r="F703" i="6" s="1"/>
  <c r="G704" i="6" s="1"/>
  <c r="I704" i="6" s="1"/>
  <c r="B705" i="6"/>
  <c r="H705" i="6" l="1"/>
  <c r="C705" i="6"/>
  <c r="D705" i="6" s="1" a="1"/>
  <c r="D705" i="6" s="1"/>
  <c r="E704" i="6"/>
  <c r="F704" i="6" s="1"/>
  <c r="G705" i="6" s="1"/>
  <c r="I705" i="6" s="1"/>
  <c r="B706" i="6"/>
  <c r="H706" i="6" l="1"/>
  <c r="C706" i="6"/>
  <c r="D706" i="6" s="1" a="1"/>
  <c r="D706" i="6" s="1"/>
  <c r="E705" i="6"/>
  <c r="F705" i="6" s="1"/>
  <c r="G706" i="6" s="1"/>
  <c r="I706" i="6" s="1"/>
  <c r="B707" i="6"/>
  <c r="H707" i="6" l="1"/>
  <c r="C707" i="6"/>
  <c r="D707" i="6" s="1" a="1"/>
  <c r="D707" i="6" s="1"/>
  <c r="E706" i="6"/>
  <c r="F706" i="6" s="1"/>
  <c r="G707" i="6" s="1"/>
  <c r="I707" i="6" s="1"/>
  <c r="B708" i="6"/>
  <c r="H708" i="6" l="1"/>
  <c r="C708" i="6"/>
  <c r="D708" i="6" s="1" a="1"/>
  <c r="D708" i="6" s="1"/>
  <c r="E707" i="6"/>
  <c r="F707" i="6" s="1"/>
  <c r="G708" i="6" s="1"/>
  <c r="I708" i="6" s="1"/>
  <c r="B709" i="6"/>
  <c r="H709" i="6" l="1"/>
  <c r="C709" i="6"/>
  <c r="D709" i="6" s="1" a="1"/>
  <c r="D709" i="6" s="1"/>
  <c r="E708" i="6"/>
  <c r="F708" i="6" s="1"/>
  <c r="G709" i="6" s="1"/>
  <c r="I709" i="6" s="1"/>
  <c r="B710" i="6"/>
  <c r="H710" i="6" l="1"/>
  <c r="C710" i="6"/>
  <c r="D710" i="6" s="1" a="1"/>
  <c r="D710" i="6" s="1"/>
  <c r="E709" i="6"/>
  <c r="F709" i="6" s="1"/>
  <c r="G710" i="6" s="1"/>
  <c r="I710" i="6" s="1"/>
  <c r="B711" i="6"/>
  <c r="H711" i="6" l="1"/>
  <c r="C711" i="6"/>
  <c r="D711" i="6" s="1" a="1"/>
  <c r="D711" i="6" s="1"/>
  <c r="E710" i="6"/>
  <c r="F710" i="6" s="1"/>
  <c r="G711" i="6" s="1"/>
  <c r="I711" i="6" s="1"/>
  <c r="B712" i="6"/>
  <c r="H712" i="6" l="1"/>
  <c r="C712" i="6"/>
  <c r="D712" i="6" s="1" a="1"/>
  <c r="D712" i="6" s="1"/>
  <c r="E711" i="6"/>
  <c r="F711" i="6" s="1"/>
  <c r="G712" i="6" s="1"/>
  <c r="I712" i="6" s="1"/>
  <c r="B713" i="6"/>
  <c r="H713" i="6" l="1"/>
  <c r="C713" i="6"/>
  <c r="D713" i="6" s="1" a="1"/>
  <c r="D713" i="6" s="1"/>
  <c r="E712" i="6"/>
  <c r="F712" i="6" s="1"/>
  <c r="G713" i="6" s="1"/>
  <c r="I713" i="6" s="1"/>
  <c r="B714" i="6"/>
  <c r="H714" i="6" l="1"/>
  <c r="C714" i="6"/>
  <c r="D714" i="6" s="1" a="1"/>
  <c r="D714" i="6" s="1"/>
  <c r="E713" i="6"/>
  <c r="F713" i="6" s="1"/>
  <c r="G714" i="6" s="1"/>
  <c r="I714" i="6" s="1"/>
  <c r="B715" i="6"/>
  <c r="H715" i="6" l="1"/>
  <c r="C715" i="6"/>
  <c r="D715" i="6" s="1" a="1"/>
  <c r="D715" i="6" s="1"/>
  <c r="E714" i="6"/>
  <c r="F714" i="6" s="1"/>
  <c r="G715" i="6" s="1"/>
  <c r="I715" i="6" s="1"/>
  <c r="B716" i="6"/>
  <c r="H716" i="6" l="1"/>
  <c r="C716" i="6"/>
  <c r="D716" i="6" s="1" a="1"/>
  <c r="D716" i="6" s="1"/>
  <c r="E715" i="6"/>
  <c r="F715" i="6" s="1"/>
  <c r="G716" i="6" s="1"/>
  <c r="I716" i="6" s="1"/>
  <c r="B717" i="6"/>
  <c r="H717" i="6" l="1"/>
  <c r="C717" i="6"/>
  <c r="D717" i="6" s="1" a="1"/>
  <c r="D717" i="6" s="1"/>
  <c r="E716" i="6"/>
  <c r="F716" i="6" s="1"/>
  <c r="G717" i="6" s="1"/>
  <c r="I717" i="6" s="1"/>
  <c r="B718" i="6"/>
  <c r="H718" i="6" l="1"/>
  <c r="C718" i="6"/>
  <c r="D718" i="6" s="1" a="1"/>
  <c r="D718" i="6" s="1"/>
  <c r="E717" i="6"/>
  <c r="F717" i="6" s="1"/>
  <c r="G718" i="6" s="1"/>
  <c r="I718" i="6" s="1"/>
  <c r="B719" i="6"/>
  <c r="H719" i="6" l="1"/>
  <c r="C719" i="6"/>
  <c r="D719" i="6" s="1" a="1"/>
  <c r="D719" i="6" s="1"/>
  <c r="E718" i="6"/>
  <c r="F718" i="6" s="1"/>
  <c r="G719" i="6" s="1"/>
  <c r="I719" i="6" s="1"/>
  <c r="B720" i="6"/>
  <c r="H720" i="6" l="1"/>
  <c r="C720" i="6"/>
  <c r="D720" i="6" s="1" a="1"/>
  <c r="D720" i="6" s="1"/>
  <c r="E719" i="6"/>
  <c r="F719" i="6" s="1"/>
  <c r="G720" i="6" s="1"/>
  <c r="I720" i="6" s="1"/>
  <c r="B721" i="6"/>
  <c r="H721" i="6" l="1"/>
  <c r="C721" i="6"/>
  <c r="D721" i="6" s="1" a="1"/>
  <c r="D721" i="6" s="1"/>
  <c r="E720" i="6"/>
  <c r="F720" i="6" s="1"/>
  <c r="G721" i="6" s="1"/>
  <c r="I721" i="6" s="1"/>
  <c r="B722" i="6"/>
  <c r="H722" i="6" l="1"/>
  <c r="C722" i="6"/>
  <c r="D722" i="6" s="1" a="1"/>
  <c r="D722" i="6" s="1"/>
  <c r="E721" i="6"/>
  <c r="F721" i="6" s="1"/>
  <c r="G722" i="6" s="1"/>
  <c r="I722" i="6" s="1"/>
  <c r="B723" i="6"/>
  <c r="H723" i="6" l="1"/>
  <c r="C723" i="6"/>
  <c r="D723" i="6" s="1" a="1"/>
  <c r="D723" i="6" s="1"/>
  <c r="E722" i="6"/>
  <c r="F722" i="6" s="1"/>
  <c r="G723" i="6" s="1"/>
  <c r="I723" i="6" s="1"/>
  <c r="B724" i="6"/>
  <c r="H724" i="6" l="1"/>
  <c r="C724" i="6"/>
  <c r="D724" i="6" s="1" a="1"/>
  <c r="D724" i="6" s="1"/>
  <c r="E723" i="6"/>
  <c r="F723" i="6" s="1"/>
  <c r="G724" i="6" s="1"/>
  <c r="I724" i="6" s="1"/>
  <c r="B725" i="6"/>
  <c r="H725" i="6" l="1"/>
  <c r="C725" i="6"/>
  <c r="D725" i="6" s="1" a="1"/>
  <c r="D725" i="6" s="1"/>
  <c r="E724" i="6"/>
  <c r="F724" i="6" s="1"/>
  <c r="G725" i="6" s="1"/>
  <c r="I725" i="6" s="1"/>
  <c r="B726" i="6"/>
  <c r="H726" i="6" l="1"/>
  <c r="C726" i="6"/>
  <c r="D726" i="6" s="1" a="1"/>
  <c r="D726" i="6" s="1"/>
  <c r="E725" i="6"/>
  <c r="F725" i="6" s="1"/>
  <c r="G726" i="6" s="1"/>
  <c r="I726" i="6" s="1"/>
  <c r="B727" i="6"/>
  <c r="H727" i="6" l="1"/>
  <c r="C727" i="6"/>
  <c r="D727" i="6" s="1" a="1"/>
  <c r="D727" i="6" s="1"/>
  <c r="E726" i="6"/>
  <c r="F726" i="6" s="1"/>
  <c r="G727" i="6" s="1"/>
  <c r="I727" i="6" s="1"/>
  <c r="B728" i="6"/>
  <c r="H728" i="6" l="1"/>
  <c r="C728" i="6"/>
  <c r="D728" i="6" s="1" a="1"/>
  <c r="D728" i="6" s="1"/>
  <c r="E727" i="6"/>
  <c r="F727" i="6" s="1"/>
  <c r="G728" i="6" s="1"/>
  <c r="I728" i="6" s="1"/>
  <c r="B729" i="6"/>
  <c r="H729" i="6" l="1"/>
  <c r="C729" i="6"/>
  <c r="D729" i="6" s="1" a="1"/>
  <c r="D729" i="6" s="1"/>
  <c r="E728" i="6"/>
  <c r="F728" i="6" s="1"/>
  <c r="G729" i="6" s="1"/>
  <c r="I729" i="6" s="1"/>
  <c r="B730" i="6"/>
  <c r="H730" i="6" l="1"/>
  <c r="C730" i="6"/>
  <c r="D730" i="6" s="1" a="1"/>
  <c r="D730" i="6" s="1"/>
  <c r="E729" i="6"/>
  <c r="F729" i="6" s="1"/>
  <c r="G730" i="6" s="1"/>
  <c r="I730" i="6" s="1"/>
  <c r="B731" i="6"/>
  <c r="H731" i="6" l="1"/>
  <c r="C731" i="6"/>
  <c r="D731" i="6" s="1" a="1"/>
  <c r="D731" i="6" s="1"/>
  <c r="E730" i="6"/>
  <c r="F730" i="6" s="1"/>
  <c r="G731" i="6" s="1"/>
  <c r="I731" i="6" s="1"/>
  <c r="B732" i="6"/>
  <c r="H732" i="6" l="1"/>
  <c r="C732" i="6"/>
  <c r="D732" i="6" s="1" a="1"/>
  <c r="D732" i="6" s="1"/>
  <c r="E731" i="6"/>
  <c r="F731" i="6" s="1"/>
  <c r="G732" i="6" s="1"/>
  <c r="I732" i="6" s="1"/>
  <c r="B733" i="6"/>
  <c r="H733" i="6" l="1"/>
  <c r="C733" i="6"/>
  <c r="D733" i="6" s="1" a="1"/>
  <c r="D733" i="6" s="1"/>
  <c r="E732" i="6"/>
  <c r="F732" i="6" s="1"/>
  <c r="G733" i="6" s="1"/>
  <c r="I733" i="6" s="1"/>
  <c r="B734" i="6"/>
  <c r="H734" i="6" l="1"/>
  <c r="C734" i="6"/>
  <c r="D734" i="6" s="1" a="1"/>
  <c r="D734" i="6" s="1"/>
  <c r="E733" i="6"/>
  <c r="F733" i="6" s="1"/>
  <c r="G734" i="6" s="1"/>
  <c r="I734" i="6" s="1"/>
  <c r="B735" i="6"/>
  <c r="H735" i="6" l="1"/>
  <c r="C735" i="6"/>
  <c r="D735" i="6" s="1" a="1"/>
  <c r="D735" i="6" s="1"/>
  <c r="E734" i="6"/>
  <c r="F734" i="6" s="1"/>
  <c r="G735" i="6" s="1"/>
  <c r="I735" i="6" s="1"/>
  <c r="B736" i="6"/>
  <c r="H736" i="6" l="1"/>
  <c r="C736" i="6"/>
  <c r="D736" i="6" s="1" a="1"/>
  <c r="D736" i="6" s="1"/>
  <c r="E735" i="6"/>
  <c r="F735" i="6" s="1"/>
  <c r="G736" i="6" s="1"/>
  <c r="I736" i="6" s="1"/>
  <c r="B737" i="6"/>
  <c r="H737" i="6" l="1"/>
  <c r="C737" i="6"/>
  <c r="D737" i="6" s="1" a="1"/>
  <c r="D737" i="6" s="1"/>
  <c r="E736" i="6"/>
  <c r="F736" i="6" s="1"/>
  <c r="G737" i="6" s="1"/>
  <c r="I737" i="6" s="1"/>
  <c r="B738" i="6"/>
  <c r="H738" i="6" l="1"/>
  <c r="C738" i="6"/>
  <c r="D738" i="6" s="1" a="1"/>
  <c r="D738" i="6" s="1"/>
  <c r="E737" i="6"/>
  <c r="F737" i="6" s="1"/>
  <c r="G738" i="6" s="1"/>
  <c r="I738" i="6" s="1"/>
  <c r="B739" i="6"/>
  <c r="H739" i="6" l="1"/>
  <c r="C739" i="6"/>
  <c r="D739" i="6" s="1" a="1"/>
  <c r="D739" i="6" s="1"/>
  <c r="E738" i="6"/>
  <c r="F738" i="6" s="1"/>
  <c r="G739" i="6" s="1"/>
  <c r="I739" i="6" s="1"/>
  <c r="B740" i="6"/>
  <c r="H740" i="6" l="1"/>
  <c r="C740" i="6"/>
  <c r="D740" i="6" s="1" a="1"/>
  <c r="D740" i="6" s="1"/>
  <c r="E739" i="6"/>
  <c r="F739" i="6" s="1"/>
  <c r="G740" i="6" s="1"/>
  <c r="I740" i="6" s="1"/>
  <c r="B741" i="6"/>
  <c r="H741" i="6" l="1"/>
  <c r="C741" i="6"/>
  <c r="D741" i="6" s="1" a="1"/>
  <c r="D741" i="6" s="1"/>
  <c r="E740" i="6"/>
  <c r="F740" i="6" s="1"/>
  <c r="G741" i="6" s="1"/>
  <c r="I741" i="6" s="1"/>
  <c r="B742" i="6"/>
  <c r="H742" i="6" l="1"/>
  <c r="C742" i="6"/>
  <c r="D742" i="6" s="1" a="1"/>
  <c r="D742" i="6" s="1"/>
  <c r="E741" i="6"/>
  <c r="F741" i="6" s="1"/>
  <c r="G742" i="6" s="1"/>
  <c r="I742" i="6" s="1"/>
  <c r="B743" i="6"/>
  <c r="H743" i="6" l="1"/>
  <c r="C743" i="6"/>
  <c r="D743" i="6" s="1" a="1"/>
  <c r="D743" i="6" s="1"/>
  <c r="E742" i="6"/>
  <c r="F742" i="6" s="1"/>
  <c r="G743" i="6" s="1"/>
  <c r="I743" i="6" s="1"/>
  <c r="B744" i="6"/>
  <c r="H744" i="6" l="1"/>
  <c r="C744" i="6"/>
  <c r="D744" i="6" s="1" a="1"/>
  <c r="D744" i="6" s="1"/>
  <c r="E743" i="6"/>
  <c r="F743" i="6" s="1"/>
  <c r="G744" i="6" s="1"/>
  <c r="I744" i="6" s="1"/>
  <c r="B745" i="6"/>
  <c r="H745" i="6" l="1"/>
  <c r="C745" i="6"/>
  <c r="D745" i="6" s="1" a="1"/>
  <c r="D745" i="6" s="1"/>
  <c r="E744" i="6"/>
  <c r="F744" i="6" s="1"/>
  <c r="G745" i="6" s="1"/>
  <c r="I745" i="6" s="1"/>
  <c r="B746" i="6"/>
  <c r="H746" i="6" l="1"/>
  <c r="C746" i="6"/>
  <c r="D746" i="6" s="1" a="1"/>
  <c r="D746" i="6" s="1"/>
  <c r="E745" i="6"/>
  <c r="F745" i="6" s="1"/>
  <c r="G746" i="6" s="1"/>
  <c r="I746" i="6" s="1"/>
  <c r="B747" i="6"/>
  <c r="H747" i="6" l="1"/>
  <c r="C747" i="6"/>
  <c r="D747" i="6" s="1" a="1"/>
  <c r="D747" i="6" s="1"/>
  <c r="E746" i="6"/>
  <c r="F746" i="6" s="1"/>
  <c r="G747" i="6" s="1"/>
  <c r="I747" i="6" s="1"/>
  <c r="B748" i="6"/>
  <c r="H748" i="6" l="1"/>
  <c r="C748" i="6"/>
  <c r="D748" i="6" s="1" a="1"/>
  <c r="D748" i="6" s="1"/>
  <c r="E747" i="6"/>
  <c r="F747" i="6" s="1"/>
  <c r="G748" i="6" s="1"/>
  <c r="I748" i="6" s="1"/>
  <c r="B749" i="6"/>
  <c r="H749" i="6" l="1"/>
  <c r="C749" i="6"/>
  <c r="D749" i="6" s="1" a="1"/>
  <c r="D749" i="6" s="1"/>
  <c r="E748" i="6"/>
  <c r="F748" i="6" s="1"/>
  <c r="G749" i="6" s="1"/>
  <c r="I749" i="6" s="1"/>
  <c r="B750" i="6"/>
  <c r="H750" i="6" l="1"/>
  <c r="C750" i="6"/>
  <c r="D750" i="6" s="1" a="1"/>
  <c r="D750" i="6" s="1"/>
  <c r="E749" i="6"/>
  <c r="F749" i="6" s="1"/>
  <c r="G750" i="6" s="1"/>
  <c r="I750" i="6" s="1"/>
  <c r="B751" i="6"/>
  <c r="H751" i="6" l="1"/>
  <c r="C751" i="6"/>
  <c r="D751" i="6" s="1" a="1"/>
  <c r="D751" i="6" s="1"/>
  <c r="E750" i="6"/>
  <c r="F750" i="6" s="1"/>
  <c r="G751" i="6" s="1"/>
  <c r="I751" i="6" s="1"/>
  <c r="B752" i="6"/>
  <c r="H752" i="6" l="1"/>
  <c r="C752" i="6"/>
  <c r="D752" i="6" s="1" a="1"/>
  <c r="D752" i="6" s="1"/>
  <c r="E751" i="6"/>
  <c r="F751" i="6" s="1"/>
  <c r="G752" i="6" s="1"/>
  <c r="I752" i="6" s="1"/>
  <c r="B753" i="6"/>
  <c r="H753" i="6" l="1"/>
  <c r="C753" i="6"/>
  <c r="D753" i="6" s="1" a="1"/>
  <c r="D753" i="6" s="1"/>
  <c r="E752" i="6"/>
  <c r="F752" i="6" s="1"/>
  <c r="G753" i="6" s="1"/>
  <c r="I753" i="6" s="1"/>
  <c r="B754" i="6"/>
  <c r="H754" i="6" l="1"/>
  <c r="C754" i="6"/>
  <c r="D754" i="6" s="1" a="1"/>
  <c r="D754" i="6" s="1"/>
  <c r="E753" i="6"/>
  <c r="F753" i="6" s="1"/>
  <c r="G754" i="6" s="1"/>
  <c r="I754" i="6" s="1"/>
  <c r="B755" i="6"/>
  <c r="H755" i="6" l="1"/>
  <c r="C755" i="6"/>
  <c r="D755" i="6" s="1" a="1"/>
  <c r="D755" i="6" s="1"/>
  <c r="E754" i="6"/>
  <c r="F754" i="6" s="1"/>
  <c r="G755" i="6" s="1"/>
  <c r="I755" i="6" s="1"/>
  <c r="B756" i="6"/>
  <c r="H756" i="6" l="1"/>
  <c r="C756" i="6"/>
  <c r="D756" i="6" s="1" a="1"/>
  <c r="D756" i="6" s="1"/>
  <c r="E755" i="6"/>
  <c r="F755" i="6" s="1"/>
  <c r="G756" i="6" s="1"/>
  <c r="I756" i="6" s="1"/>
  <c r="B757" i="6"/>
  <c r="H757" i="6" l="1"/>
  <c r="C757" i="6"/>
  <c r="D757" i="6" s="1" a="1"/>
  <c r="D757" i="6" s="1"/>
  <c r="E756" i="6"/>
  <c r="F756" i="6" s="1"/>
  <c r="G757" i="6" s="1"/>
  <c r="I757" i="6" s="1"/>
  <c r="B758" i="6"/>
  <c r="H758" i="6" l="1"/>
  <c r="C758" i="6"/>
  <c r="D758" i="6" s="1" a="1"/>
  <c r="D758" i="6" s="1"/>
  <c r="E757" i="6"/>
  <c r="F757" i="6" s="1"/>
  <c r="G758" i="6" s="1"/>
  <c r="I758" i="6" s="1"/>
  <c r="B759" i="6"/>
  <c r="H759" i="6" l="1"/>
  <c r="C759" i="6"/>
  <c r="D759" i="6" s="1" a="1"/>
  <c r="D759" i="6" s="1"/>
  <c r="E758" i="6"/>
  <c r="F758" i="6" s="1"/>
  <c r="G759" i="6" s="1"/>
  <c r="I759" i="6" s="1"/>
  <c r="B760" i="6"/>
  <c r="H760" i="6" l="1"/>
  <c r="C760" i="6"/>
  <c r="D760" i="6" s="1" a="1"/>
  <c r="D760" i="6" s="1"/>
  <c r="E759" i="6"/>
  <c r="F759" i="6" s="1"/>
  <c r="G760" i="6" s="1"/>
  <c r="I760" i="6" s="1"/>
  <c r="B761" i="6"/>
  <c r="H761" i="6" l="1"/>
  <c r="C761" i="6"/>
  <c r="D761" i="6" s="1" a="1"/>
  <c r="D761" i="6" s="1"/>
  <c r="E760" i="6"/>
  <c r="F760" i="6" s="1"/>
  <c r="G761" i="6" s="1"/>
  <c r="I761" i="6" s="1"/>
  <c r="B762" i="6"/>
  <c r="H762" i="6" l="1"/>
  <c r="C762" i="6"/>
  <c r="D762" i="6" s="1" a="1"/>
  <c r="D762" i="6" s="1"/>
  <c r="E761" i="6"/>
  <c r="F761" i="6" s="1"/>
  <c r="G762" i="6" s="1"/>
  <c r="I762" i="6" s="1"/>
  <c r="B763" i="6"/>
  <c r="H763" i="6" l="1"/>
  <c r="C763" i="6"/>
  <c r="D763" i="6" s="1" a="1"/>
  <c r="D763" i="6" s="1"/>
  <c r="E762" i="6"/>
  <c r="F762" i="6" s="1"/>
  <c r="G763" i="6" s="1"/>
  <c r="I763" i="6" s="1"/>
  <c r="B764" i="6"/>
  <c r="H764" i="6" l="1"/>
  <c r="C764" i="6"/>
  <c r="D764" i="6" s="1" a="1"/>
  <c r="D764" i="6" s="1"/>
  <c r="E763" i="6"/>
  <c r="F763" i="6" s="1"/>
  <c r="G764" i="6" s="1"/>
  <c r="B765" i="6"/>
  <c r="H765" i="6" l="1"/>
  <c r="C765" i="6"/>
  <c r="D765" i="6" s="1" a="1"/>
  <c r="D765" i="6" s="1"/>
  <c r="I764" i="6"/>
  <c r="E764" i="6"/>
  <c r="F764" i="6" s="1"/>
  <c r="G765" i="6" s="1"/>
  <c r="I765" i="6" s="1"/>
  <c r="B766" i="6"/>
  <c r="H766" i="6" l="1"/>
  <c r="C766" i="6"/>
  <c r="D766" i="6" s="1" a="1"/>
  <c r="D766" i="6" s="1"/>
  <c r="E765" i="6"/>
  <c r="F765" i="6" s="1"/>
  <c r="G766" i="6" s="1"/>
  <c r="I766" i="6" s="1"/>
  <c r="B767" i="6"/>
  <c r="H767" i="6" l="1"/>
  <c r="C767" i="6"/>
  <c r="D767" i="6" s="1" a="1"/>
  <c r="D767" i="6" s="1"/>
  <c r="E766" i="6"/>
  <c r="F766" i="6" s="1"/>
  <c r="G767" i="6" s="1"/>
  <c r="I767" i="6" s="1"/>
  <c r="B768" i="6"/>
  <c r="H768" i="6" l="1"/>
  <c r="C768" i="6"/>
  <c r="D768" i="6" s="1" a="1"/>
  <c r="D768" i="6" s="1"/>
  <c r="E767" i="6"/>
  <c r="F767" i="6" s="1"/>
  <c r="G768" i="6" s="1"/>
  <c r="I768" i="6" s="1"/>
  <c r="B769" i="6"/>
  <c r="H769" i="6" l="1"/>
  <c r="C769" i="6"/>
  <c r="D769" i="6" s="1" a="1"/>
  <c r="D769" i="6" s="1"/>
  <c r="E768" i="6"/>
  <c r="F768" i="6" s="1"/>
  <c r="G769" i="6" s="1"/>
  <c r="I769" i="6" s="1"/>
  <c r="B770" i="6"/>
  <c r="H770" i="6" l="1"/>
  <c r="C770" i="6"/>
  <c r="D770" i="6" s="1" a="1"/>
  <c r="D770" i="6" s="1"/>
  <c r="E769" i="6"/>
  <c r="F769" i="6" s="1"/>
  <c r="G770" i="6" s="1"/>
  <c r="I770" i="6" s="1"/>
  <c r="B771" i="6"/>
  <c r="H771" i="6" l="1"/>
  <c r="C771" i="6"/>
  <c r="D771" i="6" s="1" a="1"/>
  <c r="D771" i="6" s="1"/>
  <c r="E770" i="6"/>
  <c r="F770" i="6" s="1"/>
  <c r="G771" i="6" s="1"/>
  <c r="I771" i="6" s="1"/>
  <c r="B772" i="6"/>
  <c r="H772" i="6" l="1"/>
  <c r="C772" i="6"/>
  <c r="D772" i="6" s="1" a="1"/>
  <c r="D772" i="6" s="1"/>
  <c r="E771" i="6"/>
  <c r="F771" i="6" s="1"/>
  <c r="G772" i="6" s="1"/>
  <c r="I772" i="6" s="1"/>
  <c r="B773" i="6"/>
  <c r="H773" i="6" l="1"/>
  <c r="C773" i="6"/>
  <c r="D773" i="6" s="1" a="1"/>
  <c r="D773" i="6" s="1"/>
  <c r="E772" i="6"/>
  <c r="F772" i="6" s="1"/>
  <c r="G773" i="6" s="1"/>
  <c r="I773" i="6" s="1"/>
  <c r="B774" i="6"/>
  <c r="H774" i="6" l="1"/>
  <c r="C774" i="6"/>
  <c r="D774" i="6" s="1" a="1"/>
  <c r="D774" i="6" s="1"/>
  <c r="E773" i="6"/>
  <c r="F773" i="6" s="1"/>
  <c r="G774" i="6" s="1"/>
  <c r="I774" i="6" s="1"/>
  <c r="B775" i="6"/>
  <c r="H775" i="6" l="1"/>
  <c r="C775" i="6"/>
  <c r="D775" i="6" s="1" a="1"/>
  <c r="D775" i="6" s="1"/>
  <c r="E774" i="6"/>
  <c r="F774" i="6" s="1"/>
  <c r="G775" i="6" s="1"/>
  <c r="I775" i="6" s="1"/>
  <c r="B776" i="6"/>
  <c r="H776" i="6" l="1"/>
  <c r="C776" i="6"/>
  <c r="D776" i="6" s="1" a="1"/>
  <c r="D776" i="6" s="1"/>
  <c r="E775" i="6"/>
  <c r="F775" i="6" s="1"/>
  <c r="G776" i="6" s="1"/>
  <c r="I776" i="6" s="1"/>
  <c r="B777" i="6"/>
  <c r="H777" i="6" l="1"/>
  <c r="C777" i="6"/>
  <c r="D777" i="6" s="1" a="1"/>
  <c r="D777" i="6" s="1"/>
  <c r="E776" i="6"/>
  <c r="F776" i="6" s="1"/>
  <c r="G777" i="6" s="1"/>
  <c r="I777" i="6" s="1"/>
  <c r="B778" i="6"/>
  <c r="H778" i="6" l="1"/>
  <c r="C778" i="6"/>
  <c r="D778" i="6" s="1" a="1"/>
  <c r="D778" i="6" s="1"/>
  <c r="E777" i="6"/>
  <c r="F777" i="6" s="1"/>
  <c r="G778" i="6" s="1"/>
  <c r="I778" i="6" s="1"/>
  <c r="B779" i="6"/>
  <c r="H779" i="6" l="1"/>
  <c r="C779" i="6"/>
  <c r="D779" i="6" s="1" a="1"/>
  <c r="D779" i="6" s="1"/>
  <c r="E778" i="6"/>
  <c r="F778" i="6" s="1"/>
  <c r="G779" i="6" s="1"/>
  <c r="I779" i="6" s="1"/>
  <c r="B780" i="6"/>
  <c r="H780" i="6" l="1"/>
  <c r="C780" i="6"/>
  <c r="D780" i="6" s="1" a="1"/>
  <c r="D780" i="6" s="1"/>
  <c r="E779" i="6"/>
  <c r="F779" i="6" s="1"/>
  <c r="G780" i="6" s="1"/>
  <c r="I780" i="6" s="1"/>
  <c r="B781" i="6"/>
  <c r="H781" i="6" l="1"/>
  <c r="C781" i="6"/>
  <c r="D781" i="6" s="1" a="1"/>
  <c r="D781" i="6" s="1"/>
  <c r="E780" i="6"/>
  <c r="F780" i="6" s="1"/>
  <c r="G781" i="6" s="1"/>
  <c r="I781" i="6" s="1"/>
  <c r="B782" i="6"/>
  <c r="H782" i="6" l="1"/>
  <c r="C782" i="6"/>
  <c r="D782" i="6" s="1" a="1"/>
  <c r="D782" i="6" s="1"/>
  <c r="E781" i="6"/>
  <c r="F781" i="6" s="1"/>
  <c r="G782" i="6" s="1"/>
  <c r="I782" i="6" s="1"/>
  <c r="B783" i="6"/>
  <c r="H783" i="6" l="1"/>
  <c r="C783" i="6"/>
  <c r="D783" i="6" s="1" a="1"/>
  <c r="D783" i="6" s="1"/>
  <c r="E782" i="6"/>
  <c r="F782" i="6" s="1"/>
  <c r="G783" i="6" s="1"/>
  <c r="I783" i="6" s="1"/>
  <c r="B784" i="6"/>
  <c r="H784" i="6" l="1"/>
  <c r="C784" i="6"/>
  <c r="D784" i="6" s="1" a="1"/>
  <c r="D784" i="6" s="1"/>
  <c r="E783" i="6"/>
  <c r="F783" i="6" s="1"/>
  <c r="G784" i="6" s="1"/>
  <c r="I784" i="6" s="1"/>
  <c r="B785" i="6"/>
  <c r="H785" i="6" l="1"/>
  <c r="C785" i="6"/>
  <c r="D785" i="6" s="1" a="1"/>
  <c r="D785" i="6" s="1"/>
  <c r="E784" i="6"/>
  <c r="F784" i="6" s="1"/>
  <c r="G785" i="6" s="1"/>
  <c r="I785" i="6" s="1"/>
  <c r="B786" i="6"/>
  <c r="H786" i="6" l="1"/>
  <c r="C786" i="6"/>
  <c r="D786" i="6" s="1" a="1"/>
  <c r="D786" i="6" s="1"/>
  <c r="E785" i="6"/>
  <c r="F785" i="6" s="1"/>
  <c r="G786" i="6" s="1"/>
  <c r="I786" i="6" s="1"/>
  <c r="B787" i="6"/>
  <c r="H787" i="6" l="1"/>
  <c r="C787" i="6"/>
  <c r="D787" i="6" s="1" a="1"/>
  <c r="D787" i="6" s="1"/>
  <c r="E786" i="6"/>
  <c r="F786" i="6" s="1"/>
  <c r="G787" i="6" s="1"/>
  <c r="I787" i="6" s="1"/>
  <c r="B788" i="6"/>
  <c r="H788" i="6" l="1"/>
  <c r="C788" i="6"/>
  <c r="D788" i="6" s="1" a="1"/>
  <c r="D788" i="6" s="1"/>
  <c r="E787" i="6"/>
  <c r="F787" i="6" s="1"/>
  <c r="G788" i="6" s="1"/>
  <c r="I788" i="6" s="1"/>
  <c r="B789" i="6"/>
  <c r="H789" i="6" l="1"/>
  <c r="C789" i="6"/>
  <c r="D789" i="6" s="1" a="1"/>
  <c r="D789" i="6" s="1"/>
  <c r="E788" i="6"/>
  <c r="F788" i="6" s="1"/>
  <c r="G789" i="6" s="1"/>
  <c r="I789" i="6" s="1"/>
  <c r="B790" i="6"/>
  <c r="H790" i="6" l="1"/>
  <c r="C790" i="6"/>
  <c r="D790" i="6" s="1" a="1"/>
  <c r="D790" i="6" s="1"/>
  <c r="E789" i="6"/>
  <c r="F789" i="6" s="1"/>
  <c r="G790" i="6" s="1"/>
  <c r="I790" i="6" s="1"/>
  <c r="B791" i="6"/>
  <c r="H791" i="6" l="1"/>
  <c r="C791" i="6"/>
  <c r="D791" i="6" s="1" a="1"/>
  <c r="D791" i="6" s="1"/>
  <c r="E790" i="6"/>
  <c r="F790" i="6" s="1"/>
  <c r="G791" i="6" s="1"/>
  <c r="I791" i="6" s="1"/>
  <c r="B792" i="6"/>
  <c r="H792" i="6" l="1"/>
  <c r="C792" i="6"/>
  <c r="D792" i="6" s="1" a="1"/>
  <c r="D792" i="6" s="1"/>
  <c r="E791" i="6"/>
  <c r="F791" i="6" s="1"/>
  <c r="G792" i="6" s="1"/>
  <c r="I792" i="6" s="1"/>
  <c r="B793" i="6"/>
  <c r="H793" i="6" l="1"/>
  <c r="C793" i="6"/>
  <c r="D793" i="6" s="1" a="1"/>
  <c r="D793" i="6" s="1"/>
  <c r="E792" i="6"/>
  <c r="F792" i="6" s="1"/>
  <c r="G793" i="6" s="1"/>
  <c r="I793" i="6" s="1"/>
  <c r="B794" i="6"/>
  <c r="H794" i="6" l="1"/>
  <c r="C794" i="6"/>
  <c r="D794" i="6" s="1" a="1"/>
  <c r="D794" i="6" s="1"/>
  <c r="E793" i="6"/>
  <c r="F793" i="6" s="1"/>
  <c r="G794" i="6" s="1"/>
  <c r="I794" i="6" s="1"/>
  <c r="B795" i="6"/>
  <c r="H795" i="6" l="1"/>
  <c r="C795" i="6"/>
  <c r="D795" i="6" s="1" a="1"/>
  <c r="D795" i="6" s="1"/>
  <c r="E794" i="6"/>
  <c r="F794" i="6" s="1"/>
  <c r="G795" i="6" s="1"/>
  <c r="I795" i="6" s="1"/>
  <c r="B796" i="6"/>
  <c r="H796" i="6" l="1"/>
  <c r="C796" i="6"/>
  <c r="D796" i="6" s="1" a="1"/>
  <c r="D796" i="6" s="1"/>
  <c r="E795" i="6"/>
  <c r="F795" i="6" s="1"/>
  <c r="G796" i="6" s="1"/>
  <c r="I796" i="6" s="1"/>
  <c r="B797" i="6"/>
  <c r="H797" i="6" l="1"/>
  <c r="C797" i="6"/>
  <c r="D797" i="6" s="1" a="1"/>
  <c r="D797" i="6" s="1"/>
  <c r="E796" i="6"/>
  <c r="F796" i="6" s="1"/>
  <c r="G797" i="6" s="1"/>
  <c r="I797" i="6" s="1"/>
  <c r="B798" i="6"/>
  <c r="H798" i="6" l="1"/>
  <c r="C798" i="6"/>
  <c r="D798" i="6" s="1" a="1"/>
  <c r="D798" i="6" s="1"/>
  <c r="E797" i="6"/>
  <c r="F797" i="6" s="1"/>
  <c r="G798" i="6" s="1"/>
  <c r="I798" i="6" s="1"/>
  <c r="B799" i="6"/>
  <c r="H799" i="6" l="1"/>
  <c r="C799" i="6"/>
  <c r="D799" i="6" s="1" a="1"/>
  <c r="D799" i="6" s="1"/>
  <c r="E798" i="6"/>
  <c r="F798" i="6" s="1"/>
  <c r="G799" i="6" s="1"/>
  <c r="I799" i="6" s="1"/>
  <c r="B800" i="6"/>
  <c r="H800" i="6" l="1"/>
  <c r="C800" i="6"/>
  <c r="D800" i="6" s="1" a="1"/>
  <c r="D800" i="6" s="1"/>
  <c r="E799" i="6"/>
  <c r="F799" i="6" s="1"/>
  <c r="G800" i="6" s="1"/>
  <c r="I800" i="6" s="1"/>
  <c r="B801" i="6"/>
  <c r="H801" i="6" l="1"/>
  <c r="C801" i="6"/>
  <c r="D801" i="6" s="1" a="1"/>
  <c r="D801" i="6" s="1"/>
  <c r="E800" i="6"/>
  <c r="F800" i="6" s="1"/>
  <c r="G801" i="6" s="1"/>
  <c r="I801" i="6" s="1"/>
  <c r="B802" i="6"/>
  <c r="H802" i="6" l="1"/>
  <c r="C802" i="6"/>
  <c r="D802" i="6" s="1" a="1"/>
  <c r="D802" i="6" s="1"/>
  <c r="E801" i="6"/>
  <c r="F801" i="6" s="1"/>
  <c r="G802" i="6" s="1"/>
  <c r="I802" i="6" s="1"/>
  <c r="B803" i="6"/>
  <c r="H803" i="6" l="1"/>
  <c r="C803" i="6"/>
  <c r="D803" i="6" s="1" a="1"/>
  <c r="D803" i="6" s="1"/>
  <c r="E802" i="6"/>
  <c r="F802" i="6" s="1"/>
  <c r="G803" i="6" s="1"/>
  <c r="I803" i="6" s="1"/>
  <c r="B804" i="6"/>
  <c r="H804" i="6" l="1"/>
  <c r="C804" i="6"/>
  <c r="D804" i="6" s="1" a="1"/>
  <c r="D804" i="6" s="1"/>
  <c r="E803" i="6"/>
  <c r="F803" i="6" s="1"/>
  <c r="G804" i="6" s="1"/>
  <c r="I804" i="6" s="1"/>
  <c r="B805" i="6"/>
  <c r="H805" i="6" l="1"/>
  <c r="C805" i="6"/>
  <c r="D805" i="6" s="1" a="1"/>
  <c r="D805" i="6" s="1"/>
  <c r="E804" i="6"/>
  <c r="F804" i="6" s="1"/>
  <c r="G805" i="6" s="1"/>
  <c r="I805" i="6" s="1"/>
  <c r="B806" i="6"/>
  <c r="H806" i="6" l="1"/>
  <c r="C806" i="6"/>
  <c r="D806" i="6" s="1" a="1"/>
  <c r="D806" i="6" s="1"/>
  <c r="E805" i="6"/>
  <c r="F805" i="6" s="1"/>
  <c r="G806" i="6" s="1"/>
  <c r="I806" i="6" s="1"/>
  <c r="B807" i="6"/>
  <c r="H807" i="6" l="1"/>
  <c r="C807" i="6"/>
  <c r="D807" i="6" s="1" a="1"/>
  <c r="D807" i="6" s="1"/>
  <c r="E806" i="6"/>
  <c r="F806" i="6" s="1"/>
  <c r="G807" i="6" s="1"/>
  <c r="I807" i="6" s="1"/>
  <c r="B808" i="6"/>
  <c r="H808" i="6" l="1"/>
  <c r="C808" i="6"/>
  <c r="D808" i="6" s="1" a="1"/>
  <c r="D808" i="6" s="1"/>
  <c r="E807" i="6"/>
  <c r="F807" i="6" s="1"/>
  <c r="G808" i="6" s="1"/>
  <c r="I808" i="6" s="1"/>
  <c r="B809" i="6"/>
  <c r="H809" i="6" l="1"/>
  <c r="C809" i="6"/>
  <c r="D809" i="6" s="1" a="1"/>
  <c r="D809" i="6" s="1"/>
  <c r="E808" i="6"/>
  <c r="F808" i="6" s="1"/>
  <c r="G809" i="6" s="1"/>
  <c r="I809" i="6" s="1"/>
  <c r="B810" i="6"/>
  <c r="H810" i="6" l="1"/>
  <c r="C810" i="6"/>
  <c r="D810" i="6" s="1" a="1"/>
  <c r="D810" i="6" s="1"/>
  <c r="E809" i="6"/>
  <c r="F809" i="6" s="1"/>
  <c r="G810" i="6" s="1"/>
  <c r="I810" i="6" s="1"/>
  <c r="B811" i="6"/>
  <c r="H811" i="6" l="1"/>
  <c r="C811" i="6"/>
  <c r="D811" i="6" s="1" a="1"/>
  <c r="D811" i="6" s="1"/>
  <c r="E810" i="6"/>
  <c r="F810" i="6" s="1"/>
  <c r="G811" i="6" s="1"/>
  <c r="I811" i="6" s="1"/>
  <c r="B812" i="6"/>
  <c r="H812" i="6" l="1"/>
  <c r="C812" i="6"/>
  <c r="D812" i="6" s="1" a="1"/>
  <c r="D812" i="6" s="1"/>
  <c r="E811" i="6"/>
  <c r="F811" i="6" s="1"/>
  <c r="G812" i="6" s="1"/>
  <c r="I812" i="6" s="1"/>
  <c r="B813" i="6"/>
  <c r="H813" i="6" l="1"/>
  <c r="C813" i="6"/>
  <c r="D813" i="6" s="1" a="1"/>
  <c r="D813" i="6" s="1"/>
  <c r="E812" i="6"/>
  <c r="F812" i="6" s="1"/>
  <c r="G813" i="6" s="1"/>
  <c r="I813" i="6" s="1"/>
  <c r="B814" i="6"/>
  <c r="H814" i="6" l="1"/>
  <c r="C814" i="6"/>
  <c r="D814" i="6" s="1" a="1"/>
  <c r="D814" i="6" s="1"/>
  <c r="E813" i="6"/>
  <c r="F813" i="6" s="1"/>
  <c r="G814" i="6" s="1"/>
  <c r="I814" i="6" s="1"/>
  <c r="B815" i="6"/>
  <c r="H815" i="6" l="1"/>
  <c r="C815" i="6"/>
  <c r="D815" i="6" s="1" a="1"/>
  <c r="D815" i="6" s="1"/>
  <c r="E814" i="6"/>
  <c r="F814" i="6" s="1"/>
  <c r="G815" i="6" s="1"/>
  <c r="I815" i="6" s="1"/>
  <c r="B816" i="6"/>
  <c r="H816" i="6" l="1"/>
  <c r="C816" i="6"/>
  <c r="D816" i="6" s="1" a="1"/>
  <c r="D816" i="6" s="1"/>
  <c r="E815" i="6"/>
  <c r="F815" i="6" s="1"/>
  <c r="G816" i="6" s="1"/>
  <c r="I816" i="6" s="1"/>
  <c r="B817" i="6"/>
  <c r="H817" i="6" l="1"/>
  <c r="C817" i="6"/>
  <c r="D817" i="6" s="1" a="1"/>
  <c r="D817" i="6" s="1"/>
  <c r="E816" i="6"/>
  <c r="F816" i="6" s="1"/>
  <c r="G817" i="6" s="1"/>
  <c r="I817" i="6" s="1"/>
  <c r="B818" i="6"/>
  <c r="H818" i="6" l="1"/>
  <c r="C818" i="6"/>
  <c r="D818" i="6" s="1" a="1"/>
  <c r="D818" i="6" s="1"/>
  <c r="E817" i="6"/>
  <c r="F817" i="6" s="1"/>
  <c r="G818" i="6" s="1"/>
  <c r="I818" i="6" s="1"/>
  <c r="B819" i="6"/>
  <c r="H819" i="6" l="1"/>
  <c r="C819" i="6"/>
  <c r="D819" i="6" s="1" a="1"/>
  <c r="D819" i="6" s="1"/>
  <c r="E818" i="6"/>
  <c r="F818" i="6" s="1"/>
  <c r="G819" i="6" s="1"/>
  <c r="I819" i="6" s="1"/>
  <c r="B820" i="6"/>
  <c r="H820" i="6" l="1"/>
  <c r="C820" i="6"/>
  <c r="D820" i="6" s="1" a="1"/>
  <c r="D820" i="6" s="1"/>
  <c r="E819" i="6"/>
  <c r="F819" i="6" s="1"/>
  <c r="G820" i="6" s="1"/>
  <c r="I820" i="6" s="1"/>
  <c r="B821" i="6"/>
  <c r="H821" i="6" l="1"/>
  <c r="C821" i="6"/>
  <c r="D821" i="6" s="1" a="1"/>
  <c r="D821" i="6" s="1"/>
  <c r="E820" i="6"/>
  <c r="F820" i="6" s="1"/>
  <c r="G821" i="6" s="1"/>
  <c r="I821" i="6" s="1"/>
  <c r="B822" i="6"/>
  <c r="H822" i="6" l="1"/>
  <c r="C822" i="6"/>
  <c r="D822" i="6" s="1" a="1"/>
  <c r="D822" i="6" s="1"/>
  <c r="E821" i="6"/>
  <c r="F821" i="6" s="1"/>
  <c r="G822" i="6" s="1"/>
  <c r="I822" i="6" s="1"/>
  <c r="B823" i="6"/>
  <c r="H823" i="6" l="1"/>
  <c r="C823" i="6"/>
  <c r="D823" i="6" s="1" a="1"/>
  <c r="D823" i="6" s="1"/>
  <c r="E822" i="6"/>
  <c r="F822" i="6" s="1"/>
  <c r="G823" i="6" s="1"/>
  <c r="I823" i="6" s="1"/>
  <c r="B824" i="6"/>
  <c r="H824" i="6" l="1"/>
  <c r="C824" i="6"/>
  <c r="D824" i="6" s="1" a="1"/>
  <c r="D824" i="6" s="1"/>
  <c r="E823" i="6"/>
  <c r="F823" i="6" s="1"/>
  <c r="G824" i="6" s="1"/>
  <c r="I824" i="6" s="1"/>
  <c r="B825" i="6"/>
  <c r="H825" i="6" l="1"/>
  <c r="C825" i="6"/>
  <c r="D825" i="6" s="1" a="1"/>
  <c r="D825" i="6" s="1"/>
  <c r="E824" i="6"/>
  <c r="F824" i="6" s="1"/>
  <c r="G825" i="6" s="1"/>
  <c r="I825" i="6" s="1"/>
  <c r="B826" i="6"/>
  <c r="H826" i="6" l="1"/>
  <c r="C826" i="6"/>
  <c r="D826" i="6" s="1" a="1"/>
  <c r="D826" i="6" s="1"/>
  <c r="E825" i="6"/>
  <c r="F825" i="6" s="1"/>
  <c r="G826" i="6" s="1"/>
  <c r="I826" i="6" s="1"/>
  <c r="B827" i="6"/>
  <c r="H827" i="6" l="1"/>
  <c r="C827" i="6"/>
  <c r="D827" i="6" s="1" a="1"/>
  <c r="D827" i="6" s="1"/>
  <c r="E826" i="6"/>
  <c r="F826" i="6" s="1"/>
  <c r="G827" i="6" s="1"/>
  <c r="I827" i="6" s="1"/>
  <c r="B828" i="6"/>
  <c r="H828" i="6" l="1"/>
  <c r="C828" i="6"/>
  <c r="D828" i="6" s="1" a="1"/>
  <c r="D828" i="6" s="1"/>
  <c r="E827" i="6"/>
  <c r="F827" i="6" s="1"/>
  <c r="G828" i="6" s="1"/>
  <c r="I828" i="6" s="1"/>
  <c r="B829" i="6"/>
  <c r="H829" i="6" l="1"/>
  <c r="C829" i="6"/>
  <c r="D829" i="6" s="1" a="1"/>
  <c r="D829" i="6" s="1"/>
  <c r="E828" i="6"/>
  <c r="F828" i="6" s="1"/>
  <c r="G829" i="6" s="1"/>
  <c r="I829" i="6" s="1"/>
  <c r="B830" i="6"/>
  <c r="H830" i="6" l="1"/>
  <c r="C830" i="6"/>
  <c r="D830" i="6" s="1" a="1"/>
  <c r="D830" i="6" s="1"/>
  <c r="E829" i="6"/>
  <c r="F829" i="6" s="1"/>
  <c r="G830" i="6" s="1"/>
  <c r="I830" i="6" s="1"/>
  <c r="B831" i="6"/>
  <c r="H831" i="6" l="1"/>
  <c r="C831" i="6"/>
  <c r="D831" i="6" s="1" a="1"/>
  <c r="D831" i="6" s="1"/>
  <c r="E830" i="6"/>
  <c r="F830" i="6" s="1"/>
  <c r="G831" i="6" s="1"/>
  <c r="I831" i="6" s="1"/>
  <c r="B832" i="6"/>
  <c r="H832" i="6" l="1"/>
  <c r="C832" i="6"/>
  <c r="D832" i="6" s="1" a="1"/>
  <c r="D832" i="6" s="1"/>
  <c r="E831" i="6"/>
  <c r="F831" i="6" s="1"/>
  <c r="G832" i="6" s="1"/>
  <c r="I832" i="6" s="1"/>
  <c r="B833" i="6"/>
  <c r="H833" i="6" l="1"/>
  <c r="C833" i="6"/>
  <c r="D833" i="6" s="1" a="1"/>
  <c r="D833" i="6" s="1"/>
  <c r="E832" i="6"/>
  <c r="F832" i="6" s="1"/>
  <c r="G833" i="6" s="1"/>
  <c r="I833" i="6" s="1"/>
  <c r="B834" i="6"/>
  <c r="H834" i="6" l="1"/>
  <c r="C834" i="6"/>
  <c r="D834" i="6" s="1" a="1"/>
  <c r="D834" i="6" s="1"/>
  <c r="E833" i="6"/>
  <c r="F833" i="6" s="1"/>
  <c r="G834" i="6" s="1"/>
  <c r="I834" i="6" s="1"/>
  <c r="B835" i="6"/>
  <c r="H835" i="6" l="1"/>
  <c r="C835" i="6"/>
  <c r="D835" i="6" s="1" a="1"/>
  <c r="D835" i="6" s="1"/>
  <c r="E834" i="6"/>
  <c r="F834" i="6" s="1"/>
  <c r="G835" i="6" s="1"/>
  <c r="I835" i="6" s="1"/>
  <c r="B836" i="6"/>
  <c r="H836" i="6" l="1"/>
  <c r="C836" i="6"/>
  <c r="D836" i="6" s="1" a="1"/>
  <c r="D836" i="6" s="1"/>
  <c r="E835" i="6"/>
  <c r="F835" i="6" s="1"/>
  <c r="G836" i="6" s="1"/>
  <c r="I836" i="6" s="1"/>
  <c r="B837" i="6"/>
  <c r="H837" i="6" l="1"/>
  <c r="C837" i="6"/>
  <c r="D837" i="6" s="1" a="1"/>
  <c r="D837" i="6" s="1"/>
  <c r="E836" i="6"/>
  <c r="F836" i="6" s="1"/>
  <c r="G837" i="6" s="1"/>
  <c r="I837" i="6" s="1"/>
  <c r="B838" i="6"/>
  <c r="H838" i="6" l="1"/>
  <c r="C838" i="6"/>
  <c r="D838" i="6" s="1" a="1"/>
  <c r="D838" i="6" s="1"/>
  <c r="E837" i="6"/>
  <c r="F837" i="6" s="1"/>
  <c r="G838" i="6" s="1"/>
  <c r="I838" i="6" s="1"/>
  <c r="B839" i="6"/>
  <c r="H839" i="6" l="1"/>
  <c r="C839" i="6"/>
  <c r="D839" i="6" s="1" a="1"/>
  <c r="D839" i="6" s="1"/>
  <c r="E838" i="6"/>
  <c r="F838" i="6" s="1"/>
  <c r="G839" i="6" s="1"/>
  <c r="I839" i="6" s="1"/>
  <c r="B840" i="6"/>
  <c r="H840" i="6" l="1"/>
  <c r="C840" i="6"/>
  <c r="D840" i="6" s="1" a="1"/>
  <c r="D840" i="6" s="1"/>
  <c r="E839" i="6"/>
  <c r="F839" i="6" s="1"/>
  <c r="G840" i="6" s="1"/>
  <c r="I840" i="6" s="1"/>
  <c r="B841" i="6"/>
  <c r="H841" i="6" l="1"/>
  <c r="C841" i="6"/>
  <c r="D841" i="6" s="1" a="1"/>
  <c r="D841" i="6" s="1"/>
  <c r="E840" i="6"/>
  <c r="F840" i="6" s="1"/>
  <c r="G841" i="6" s="1"/>
  <c r="I841" i="6" s="1"/>
  <c r="B842" i="6"/>
  <c r="H842" i="6" l="1"/>
  <c r="C842" i="6"/>
  <c r="D842" i="6" s="1" a="1"/>
  <c r="D842" i="6" s="1"/>
  <c r="E841" i="6"/>
  <c r="F841" i="6" s="1"/>
  <c r="G842" i="6" s="1"/>
  <c r="I842" i="6" s="1"/>
  <c r="B843" i="6"/>
  <c r="H843" i="6" l="1"/>
  <c r="C843" i="6"/>
  <c r="D843" i="6" s="1" a="1"/>
  <c r="D843" i="6" s="1"/>
  <c r="E842" i="6"/>
  <c r="F842" i="6" s="1"/>
  <c r="G843" i="6" s="1"/>
  <c r="I843" i="6" s="1"/>
  <c r="B844" i="6"/>
  <c r="H844" i="6" l="1"/>
  <c r="C844" i="6"/>
  <c r="D844" i="6" s="1" a="1"/>
  <c r="D844" i="6" s="1"/>
  <c r="E843" i="6"/>
  <c r="F843" i="6" s="1"/>
  <c r="G844" i="6" s="1"/>
  <c r="I844" i="6" s="1"/>
  <c r="B845" i="6"/>
  <c r="H845" i="6" l="1"/>
  <c r="C845" i="6"/>
  <c r="D845" i="6" s="1" a="1"/>
  <c r="D845" i="6" s="1"/>
  <c r="E844" i="6"/>
  <c r="F844" i="6" s="1"/>
  <c r="G845" i="6" s="1"/>
  <c r="I845" i="6" s="1"/>
  <c r="B846" i="6"/>
  <c r="H846" i="6" l="1"/>
  <c r="C846" i="6"/>
  <c r="D846" i="6" s="1" a="1"/>
  <c r="D846" i="6" s="1"/>
  <c r="E845" i="6"/>
  <c r="F845" i="6" s="1"/>
  <c r="G846" i="6" s="1"/>
  <c r="I846" i="6" s="1"/>
  <c r="B847" i="6"/>
  <c r="H847" i="6" l="1"/>
  <c r="C847" i="6"/>
  <c r="D847" i="6" s="1" a="1"/>
  <c r="D847" i="6" s="1"/>
  <c r="E846" i="6"/>
  <c r="F846" i="6" s="1"/>
  <c r="G847" i="6" s="1"/>
  <c r="I847" i="6" s="1"/>
  <c r="B848" i="6"/>
  <c r="H848" i="6" l="1"/>
  <c r="C848" i="6"/>
  <c r="D848" i="6" s="1" a="1"/>
  <c r="D848" i="6" s="1"/>
  <c r="E847" i="6"/>
  <c r="F847" i="6" s="1"/>
  <c r="G848" i="6" s="1"/>
  <c r="I848" i="6" s="1"/>
  <c r="B849" i="6"/>
  <c r="H849" i="6" l="1"/>
  <c r="C849" i="6"/>
  <c r="D849" i="6" s="1" a="1"/>
  <c r="D849" i="6" s="1"/>
  <c r="E848" i="6"/>
  <c r="F848" i="6" s="1"/>
  <c r="G849" i="6" s="1"/>
  <c r="I849" i="6" s="1"/>
  <c r="B850" i="6"/>
  <c r="H850" i="6" l="1"/>
  <c r="C850" i="6"/>
  <c r="D850" i="6" s="1" a="1"/>
  <c r="D850" i="6" s="1"/>
  <c r="E849" i="6"/>
  <c r="F849" i="6" s="1"/>
  <c r="G850" i="6" s="1"/>
  <c r="I850" i="6" s="1"/>
  <c r="B851" i="6"/>
  <c r="H851" i="6" l="1"/>
  <c r="C851" i="6"/>
  <c r="D851" i="6" s="1" a="1"/>
  <c r="D851" i="6" s="1"/>
  <c r="E850" i="6"/>
  <c r="F850" i="6" s="1"/>
  <c r="G851" i="6" s="1"/>
  <c r="I851" i="6" s="1"/>
  <c r="B852" i="6"/>
  <c r="H852" i="6" l="1"/>
  <c r="C852" i="6"/>
  <c r="D852" i="6" s="1" a="1"/>
  <c r="D852" i="6" s="1"/>
  <c r="E851" i="6"/>
  <c r="F851" i="6" s="1"/>
  <c r="G852" i="6" s="1"/>
  <c r="I852" i="6" s="1"/>
  <c r="B853" i="6"/>
  <c r="H853" i="6" l="1"/>
  <c r="C853" i="6"/>
  <c r="D853" i="6" s="1" a="1"/>
  <c r="D853" i="6" s="1"/>
  <c r="E852" i="6"/>
  <c r="F852" i="6" s="1"/>
  <c r="G853" i="6" s="1"/>
  <c r="I853" i="6" s="1"/>
  <c r="B854" i="6"/>
  <c r="H854" i="6" l="1"/>
  <c r="C854" i="6"/>
  <c r="D854" i="6" s="1" a="1"/>
  <c r="D854" i="6" s="1"/>
  <c r="E853" i="6"/>
  <c r="F853" i="6" s="1"/>
  <c r="G854" i="6" s="1"/>
  <c r="I854" i="6" s="1"/>
  <c r="B855" i="6"/>
  <c r="H855" i="6" l="1"/>
  <c r="C855" i="6"/>
  <c r="D855" i="6" s="1" a="1"/>
  <c r="D855" i="6" s="1"/>
  <c r="E854" i="6"/>
  <c r="F854" i="6" s="1"/>
  <c r="G855" i="6" s="1"/>
  <c r="I855" i="6" s="1"/>
  <c r="B856" i="6"/>
  <c r="H856" i="6" l="1"/>
  <c r="C856" i="6"/>
  <c r="D856" i="6" s="1" a="1"/>
  <c r="D856" i="6" s="1"/>
  <c r="E855" i="6"/>
  <c r="F855" i="6" s="1"/>
  <c r="G856" i="6" s="1"/>
  <c r="I856" i="6" s="1"/>
  <c r="B857" i="6"/>
  <c r="H857" i="6" l="1"/>
  <c r="C857" i="6"/>
  <c r="D857" i="6" s="1" a="1"/>
  <c r="D857" i="6" s="1"/>
  <c r="E856" i="6"/>
  <c r="F856" i="6" s="1"/>
  <c r="G857" i="6" s="1"/>
  <c r="I857" i="6" s="1"/>
  <c r="B858" i="6"/>
  <c r="H858" i="6" l="1"/>
  <c r="C858" i="6"/>
  <c r="D858" i="6" s="1" a="1"/>
  <c r="D858" i="6" s="1"/>
  <c r="E857" i="6"/>
  <c r="F857" i="6" s="1"/>
  <c r="G858" i="6" s="1"/>
  <c r="I858" i="6" s="1"/>
  <c r="B859" i="6"/>
  <c r="H859" i="6" l="1"/>
  <c r="C859" i="6"/>
  <c r="D859" i="6" s="1" a="1"/>
  <c r="D859" i="6" s="1"/>
  <c r="E858" i="6"/>
  <c r="F858" i="6" s="1"/>
  <c r="G859" i="6" s="1"/>
  <c r="I859" i="6" s="1"/>
  <c r="B860" i="6"/>
  <c r="H860" i="6" l="1"/>
  <c r="C860" i="6"/>
  <c r="D860" i="6" s="1" a="1"/>
  <c r="D860" i="6" s="1"/>
  <c r="E859" i="6"/>
  <c r="F859" i="6" s="1"/>
  <c r="G860" i="6" s="1"/>
  <c r="I860" i="6" s="1"/>
  <c r="B861" i="6"/>
  <c r="H861" i="6" l="1"/>
  <c r="C861" i="6"/>
  <c r="D861" i="6" s="1" a="1"/>
  <c r="D861" i="6" s="1"/>
  <c r="E860" i="6"/>
  <c r="F860" i="6" s="1"/>
  <c r="G861" i="6" s="1"/>
  <c r="I861" i="6" s="1"/>
  <c r="B862" i="6"/>
  <c r="H862" i="6" l="1"/>
  <c r="C862" i="6"/>
  <c r="D862" i="6" s="1" a="1"/>
  <c r="D862" i="6" s="1"/>
  <c r="E861" i="6"/>
  <c r="F861" i="6" s="1"/>
  <c r="G862" i="6" s="1"/>
  <c r="I862" i="6" s="1"/>
  <c r="B863" i="6"/>
  <c r="H863" i="6" l="1"/>
  <c r="C863" i="6"/>
  <c r="D863" i="6" s="1" a="1"/>
  <c r="D863" i="6" s="1"/>
  <c r="E862" i="6"/>
  <c r="F862" i="6" s="1"/>
  <c r="G863" i="6" s="1"/>
  <c r="I863" i="6" s="1"/>
  <c r="B864" i="6"/>
  <c r="H864" i="6" l="1"/>
  <c r="C864" i="6"/>
  <c r="D864" i="6" s="1" a="1"/>
  <c r="D864" i="6" s="1"/>
  <c r="E863" i="6"/>
  <c r="F863" i="6" s="1"/>
  <c r="G864" i="6" s="1"/>
  <c r="I864" i="6" s="1"/>
  <c r="B865" i="6"/>
  <c r="H865" i="6" l="1"/>
  <c r="C865" i="6"/>
  <c r="D865" i="6" s="1" a="1"/>
  <c r="D865" i="6" s="1"/>
  <c r="E864" i="6"/>
  <c r="F864" i="6" s="1"/>
  <c r="G865" i="6" s="1"/>
  <c r="I865" i="6" s="1"/>
  <c r="B866" i="6"/>
  <c r="H866" i="6" l="1"/>
  <c r="C866" i="6"/>
  <c r="D866" i="6" s="1" a="1"/>
  <c r="D866" i="6" s="1"/>
  <c r="E865" i="6"/>
  <c r="F865" i="6" s="1"/>
  <c r="G866" i="6" s="1"/>
  <c r="I866" i="6" s="1"/>
  <c r="B867" i="6"/>
  <c r="H867" i="6" l="1"/>
  <c r="C867" i="6"/>
  <c r="D867" i="6" s="1" a="1"/>
  <c r="D867" i="6" s="1"/>
  <c r="E866" i="6"/>
  <c r="F866" i="6" s="1"/>
  <c r="G867" i="6" s="1"/>
  <c r="I867" i="6" s="1"/>
  <c r="B868" i="6"/>
  <c r="H868" i="6" l="1"/>
  <c r="C868" i="6"/>
  <c r="D868" i="6" s="1" a="1"/>
  <c r="D868" i="6" s="1"/>
  <c r="E867" i="6"/>
  <c r="F867" i="6" s="1"/>
  <c r="G868" i="6" s="1"/>
  <c r="I868" i="6" s="1"/>
  <c r="B869" i="6"/>
  <c r="H869" i="6" l="1"/>
  <c r="C869" i="6"/>
  <c r="D869" i="6" s="1" a="1"/>
  <c r="D869" i="6" s="1"/>
  <c r="E868" i="6"/>
  <c r="F868" i="6" s="1"/>
  <c r="G869" i="6" s="1"/>
  <c r="I869" i="6" s="1"/>
  <c r="B870" i="6"/>
  <c r="H870" i="6" l="1"/>
  <c r="C870" i="6"/>
  <c r="D870" i="6" s="1" a="1"/>
  <c r="D870" i="6" s="1"/>
  <c r="E869" i="6"/>
  <c r="F869" i="6" s="1"/>
  <c r="G870" i="6" s="1"/>
  <c r="I870" i="6" s="1"/>
  <c r="B871" i="6"/>
  <c r="H871" i="6" l="1"/>
  <c r="C871" i="6"/>
  <c r="D871" i="6" s="1" a="1"/>
  <c r="D871" i="6" s="1"/>
  <c r="E870" i="6"/>
  <c r="F870" i="6" s="1"/>
  <c r="G871" i="6" s="1"/>
  <c r="I871" i="6" s="1"/>
  <c r="B872" i="6"/>
  <c r="H872" i="6" l="1"/>
  <c r="C872" i="6"/>
  <c r="D872" i="6" s="1" a="1"/>
  <c r="D872" i="6" s="1"/>
  <c r="E871" i="6"/>
  <c r="F871" i="6" s="1"/>
  <c r="G872" i="6" s="1"/>
  <c r="I872" i="6" s="1"/>
  <c r="B873" i="6"/>
  <c r="H873" i="6" l="1"/>
  <c r="C873" i="6"/>
  <c r="D873" i="6" s="1" a="1"/>
  <c r="D873" i="6" s="1"/>
  <c r="E872" i="6"/>
  <c r="F872" i="6" s="1"/>
  <c r="G873" i="6" s="1"/>
  <c r="I873" i="6" s="1"/>
  <c r="B874" i="6"/>
  <c r="H874" i="6" l="1"/>
  <c r="C874" i="6"/>
  <c r="D874" i="6" s="1" a="1"/>
  <c r="D874" i="6" s="1"/>
  <c r="E873" i="6"/>
  <c r="F873" i="6" s="1"/>
  <c r="G874" i="6" s="1"/>
  <c r="I874" i="6" s="1"/>
  <c r="B875" i="6"/>
  <c r="H875" i="6" l="1"/>
  <c r="C875" i="6"/>
  <c r="D875" i="6" s="1" a="1"/>
  <c r="D875" i="6" s="1"/>
  <c r="E874" i="6"/>
  <c r="F874" i="6" s="1"/>
  <c r="G875" i="6" s="1"/>
  <c r="I875" i="6" s="1"/>
  <c r="B876" i="6"/>
  <c r="H876" i="6" l="1"/>
  <c r="C876" i="6"/>
  <c r="D876" i="6" s="1" a="1"/>
  <c r="D876" i="6" s="1"/>
  <c r="E875" i="6"/>
  <c r="F875" i="6" s="1"/>
  <c r="G876" i="6" s="1"/>
  <c r="I876" i="6" s="1"/>
  <c r="B877" i="6"/>
  <c r="H877" i="6" l="1"/>
  <c r="C877" i="6"/>
  <c r="D877" i="6" s="1" a="1"/>
  <c r="D877" i="6" s="1"/>
  <c r="E876" i="6"/>
  <c r="F876" i="6" s="1"/>
  <c r="G877" i="6" s="1"/>
  <c r="I877" i="6" s="1"/>
  <c r="B878" i="6"/>
  <c r="H878" i="6" l="1"/>
  <c r="C878" i="6"/>
  <c r="D878" i="6" s="1" a="1"/>
  <c r="D878" i="6" s="1"/>
  <c r="E877" i="6"/>
  <c r="F877" i="6" s="1"/>
  <c r="G878" i="6" s="1"/>
  <c r="I878" i="6" s="1"/>
  <c r="B879" i="6"/>
  <c r="H879" i="6" l="1"/>
  <c r="C879" i="6"/>
  <c r="D879" i="6" s="1" a="1"/>
  <c r="D879" i="6" s="1"/>
  <c r="E878" i="6"/>
  <c r="F878" i="6" s="1"/>
  <c r="G879" i="6" s="1"/>
  <c r="I879" i="6" s="1"/>
  <c r="B880" i="6"/>
  <c r="H880" i="6" l="1"/>
  <c r="C880" i="6"/>
  <c r="D880" i="6" s="1" a="1"/>
  <c r="D880" i="6" s="1"/>
  <c r="E879" i="6"/>
  <c r="F879" i="6" s="1"/>
  <c r="G880" i="6" s="1"/>
  <c r="I880" i="6" s="1"/>
  <c r="B881" i="6"/>
  <c r="H881" i="6" l="1"/>
  <c r="C881" i="6"/>
  <c r="D881" i="6" s="1" a="1"/>
  <c r="D881" i="6" s="1"/>
  <c r="E880" i="6"/>
  <c r="F880" i="6" s="1"/>
  <c r="G881" i="6" s="1"/>
  <c r="I881" i="6" s="1"/>
  <c r="B882" i="6"/>
  <c r="H882" i="6" l="1"/>
  <c r="C882" i="6"/>
  <c r="D882" i="6" s="1" a="1"/>
  <c r="D882" i="6" s="1"/>
  <c r="E881" i="6"/>
  <c r="F881" i="6" s="1"/>
  <c r="G882" i="6" s="1"/>
  <c r="I882" i="6" s="1"/>
  <c r="B883" i="6"/>
  <c r="H883" i="6" l="1"/>
  <c r="C883" i="6"/>
  <c r="D883" i="6" s="1" a="1"/>
  <c r="D883" i="6" s="1"/>
  <c r="E882" i="6"/>
  <c r="F882" i="6" s="1"/>
  <c r="G883" i="6" s="1"/>
  <c r="I883" i="6" s="1"/>
  <c r="B884" i="6"/>
  <c r="H884" i="6" l="1"/>
  <c r="C884" i="6"/>
  <c r="D884" i="6" s="1" a="1"/>
  <c r="D884" i="6" s="1"/>
  <c r="E883" i="6"/>
  <c r="F883" i="6" s="1"/>
  <c r="G884" i="6" s="1"/>
  <c r="I884" i="6" s="1"/>
  <c r="B885" i="6"/>
  <c r="H885" i="6" l="1"/>
  <c r="C885" i="6"/>
  <c r="D885" i="6" s="1" a="1"/>
  <c r="D885" i="6" s="1"/>
  <c r="E884" i="6"/>
  <c r="F884" i="6" s="1"/>
  <c r="G885" i="6" s="1"/>
  <c r="I885" i="6" s="1"/>
  <c r="B886" i="6"/>
  <c r="H886" i="6" l="1"/>
  <c r="C886" i="6"/>
  <c r="D886" i="6" s="1" a="1"/>
  <c r="D886" i="6" s="1"/>
  <c r="E885" i="6"/>
  <c r="F885" i="6" s="1"/>
  <c r="G886" i="6" s="1"/>
  <c r="I886" i="6" s="1"/>
  <c r="B887" i="6"/>
  <c r="H887" i="6" l="1"/>
  <c r="C887" i="6"/>
  <c r="D887" i="6" s="1" a="1"/>
  <c r="D887" i="6" s="1"/>
  <c r="E886" i="6"/>
  <c r="F886" i="6" s="1"/>
  <c r="G887" i="6" s="1"/>
  <c r="I887" i="6" s="1"/>
  <c r="B888" i="6"/>
  <c r="H888" i="6" l="1"/>
  <c r="C888" i="6"/>
  <c r="D888" i="6" s="1" a="1"/>
  <c r="D888" i="6" s="1"/>
  <c r="E887" i="6"/>
  <c r="F887" i="6" s="1"/>
  <c r="G888" i="6" s="1"/>
  <c r="I888" i="6" s="1"/>
  <c r="B889" i="6"/>
  <c r="H889" i="6" l="1"/>
  <c r="C889" i="6"/>
  <c r="D889" i="6" s="1" a="1"/>
  <c r="D889" i="6" s="1"/>
  <c r="E888" i="6"/>
  <c r="F888" i="6" s="1"/>
  <c r="G889" i="6" s="1"/>
  <c r="I889" i="6" s="1"/>
  <c r="B890" i="6"/>
  <c r="H890" i="6" l="1"/>
  <c r="C890" i="6"/>
  <c r="D890" i="6" s="1" a="1"/>
  <c r="D890" i="6" s="1"/>
  <c r="E889" i="6"/>
  <c r="F889" i="6" s="1"/>
  <c r="G890" i="6" s="1"/>
  <c r="I890" i="6" s="1"/>
  <c r="B891" i="6"/>
  <c r="H891" i="6" l="1"/>
  <c r="C891" i="6"/>
  <c r="D891" i="6" s="1" a="1"/>
  <c r="D891" i="6" s="1"/>
  <c r="E890" i="6"/>
  <c r="F890" i="6" s="1"/>
  <c r="G891" i="6" s="1"/>
  <c r="I891" i="6" s="1"/>
  <c r="B892" i="6"/>
  <c r="H892" i="6" l="1"/>
  <c r="C892" i="6"/>
  <c r="D892" i="6" s="1" a="1"/>
  <c r="D892" i="6" s="1"/>
  <c r="E891" i="6"/>
  <c r="F891" i="6" s="1"/>
  <c r="G892" i="6" s="1"/>
  <c r="I892" i="6" s="1"/>
  <c r="B893" i="6"/>
  <c r="H893" i="6" l="1"/>
  <c r="C893" i="6"/>
  <c r="D893" i="6" s="1" a="1"/>
  <c r="D893" i="6" s="1"/>
  <c r="E892" i="6"/>
  <c r="F892" i="6" s="1"/>
  <c r="G893" i="6" s="1"/>
  <c r="I893" i="6" s="1"/>
  <c r="B894" i="6"/>
  <c r="H894" i="6" l="1"/>
  <c r="C894" i="6"/>
  <c r="D894" i="6" s="1" a="1"/>
  <c r="D894" i="6" s="1"/>
  <c r="E893" i="6"/>
  <c r="F893" i="6" s="1"/>
  <c r="G894" i="6" s="1"/>
  <c r="I894" i="6" s="1"/>
  <c r="B895" i="6"/>
  <c r="H895" i="6" l="1"/>
  <c r="C895" i="6"/>
  <c r="D895" i="6" s="1" a="1"/>
  <c r="D895" i="6" s="1"/>
  <c r="E894" i="6"/>
  <c r="F894" i="6" s="1"/>
  <c r="G895" i="6" s="1"/>
  <c r="I895" i="6" s="1"/>
  <c r="B896" i="6"/>
  <c r="H896" i="6" l="1"/>
  <c r="C896" i="6"/>
  <c r="D896" i="6" s="1" a="1"/>
  <c r="D896" i="6" s="1"/>
  <c r="E895" i="6"/>
  <c r="F895" i="6" s="1"/>
  <c r="G896" i="6" s="1"/>
  <c r="I896" i="6" s="1"/>
  <c r="B897" i="6"/>
  <c r="H897" i="6" l="1"/>
  <c r="C897" i="6"/>
  <c r="D897" i="6" s="1" a="1"/>
  <c r="D897" i="6" s="1"/>
  <c r="E896" i="6"/>
  <c r="F896" i="6" s="1"/>
  <c r="G897" i="6" s="1"/>
  <c r="I897" i="6" s="1"/>
  <c r="B898" i="6"/>
  <c r="H898" i="6" l="1"/>
  <c r="C898" i="6"/>
  <c r="D898" i="6" s="1" a="1"/>
  <c r="D898" i="6" s="1"/>
  <c r="E897" i="6"/>
  <c r="F897" i="6" s="1"/>
  <c r="G898" i="6" s="1"/>
  <c r="I898" i="6" s="1"/>
  <c r="B899" i="6"/>
  <c r="H899" i="6" l="1"/>
  <c r="C899" i="6"/>
  <c r="D899" i="6" s="1" a="1"/>
  <c r="D899" i="6" s="1"/>
  <c r="E898" i="6"/>
  <c r="F898" i="6" s="1"/>
  <c r="G899" i="6" s="1"/>
  <c r="I899" i="6" s="1"/>
  <c r="B900" i="6"/>
  <c r="H900" i="6" l="1"/>
  <c r="C900" i="6"/>
  <c r="D900" i="6" s="1" a="1"/>
  <c r="D900" i="6" s="1"/>
  <c r="E899" i="6"/>
  <c r="F899" i="6" s="1"/>
  <c r="G900" i="6" s="1"/>
  <c r="I900" i="6" s="1"/>
  <c r="B901" i="6"/>
  <c r="H901" i="6" l="1"/>
  <c r="C901" i="6"/>
  <c r="D901" i="6" s="1" a="1"/>
  <c r="D901" i="6" s="1"/>
  <c r="E900" i="6"/>
  <c r="F900" i="6" s="1"/>
  <c r="G901" i="6" s="1"/>
  <c r="I901" i="6" s="1"/>
  <c r="B902" i="6"/>
  <c r="H902" i="6" l="1"/>
  <c r="C902" i="6"/>
  <c r="D902" i="6" s="1" a="1"/>
  <c r="D902" i="6" s="1"/>
  <c r="E901" i="6"/>
  <c r="F901" i="6" s="1"/>
  <c r="G902" i="6" s="1"/>
  <c r="I902" i="6" s="1"/>
  <c r="B903" i="6"/>
  <c r="H903" i="6" l="1"/>
  <c r="C903" i="6"/>
  <c r="D903" i="6" s="1" a="1"/>
  <c r="D903" i="6" s="1"/>
  <c r="E902" i="6"/>
  <c r="F902" i="6" s="1"/>
  <c r="G903" i="6" s="1"/>
  <c r="I903" i="6" s="1"/>
  <c r="B904" i="6"/>
  <c r="H904" i="6" l="1"/>
  <c r="C904" i="6"/>
  <c r="D904" i="6" s="1" a="1"/>
  <c r="D904" i="6" s="1"/>
  <c r="E903" i="6"/>
  <c r="F903" i="6" s="1"/>
  <c r="G904" i="6" s="1"/>
  <c r="I904" i="6" s="1"/>
  <c r="B905" i="6"/>
  <c r="H905" i="6" l="1"/>
  <c r="C905" i="6"/>
  <c r="D905" i="6" s="1" a="1"/>
  <c r="D905" i="6" s="1"/>
  <c r="E904" i="6"/>
  <c r="F904" i="6" s="1"/>
  <c r="G905" i="6" s="1"/>
  <c r="I905" i="6" s="1"/>
  <c r="B906" i="6"/>
  <c r="H906" i="6" l="1"/>
  <c r="C906" i="6"/>
  <c r="D906" i="6" s="1" a="1"/>
  <c r="D906" i="6" s="1"/>
  <c r="E905" i="6"/>
  <c r="F905" i="6" s="1"/>
  <c r="G906" i="6" s="1"/>
  <c r="I906" i="6" s="1"/>
  <c r="B907" i="6"/>
  <c r="H907" i="6" l="1"/>
  <c r="C907" i="6"/>
  <c r="D907" i="6" s="1" a="1"/>
  <c r="D907" i="6" s="1"/>
  <c r="E906" i="6"/>
  <c r="F906" i="6" s="1"/>
  <c r="G907" i="6" s="1"/>
  <c r="I907" i="6" s="1"/>
  <c r="B908" i="6"/>
  <c r="H908" i="6" l="1"/>
  <c r="C908" i="6"/>
  <c r="D908" i="6" s="1" a="1"/>
  <c r="D908" i="6" s="1"/>
  <c r="E907" i="6"/>
  <c r="F907" i="6" s="1"/>
  <c r="G908" i="6" s="1"/>
  <c r="I908" i="6" s="1"/>
  <c r="B909" i="6"/>
  <c r="H909" i="6" l="1"/>
  <c r="C909" i="6"/>
  <c r="D909" i="6" s="1" a="1"/>
  <c r="D909" i="6" s="1"/>
  <c r="E908" i="6"/>
  <c r="F908" i="6" s="1"/>
  <c r="G909" i="6" s="1"/>
  <c r="I909" i="6" s="1"/>
  <c r="B910" i="6"/>
  <c r="H910" i="6" l="1"/>
  <c r="C910" i="6"/>
  <c r="D910" i="6" s="1" a="1"/>
  <c r="D910" i="6" s="1"/>
  <c r="E909" i="6"/>
  <c r="F909" i="6" s="1"/>
  <c r="G910" i="6" s="1"/>
  <c r="I910" i="6" s="1"/>
  <c r="B911" i="6"/>
  <c r="H911" i="6" l="1"/>
  <c r="C911" i="6"/>
  <c r="D911" i="6" s="1" a="1"/>
  <c r="D911" i="6" s="1"/>
  <c r="E910" i="6"/>
  <c r="F910" i="6" s="1"/>
  <c r="G911" i="6" s="1"/>
  <c r="I911" i="6" s="1"/>
  <c r="B912" i="6"/>
  <c r="H912" i="6" l="1"/>
  <c r="C912" i="6"/>
  <c r="D912" i="6" s="1" a="1"/>
  <c r="D912" i="6" s="1"/>
  <c r="E911" i="6"/>
  <c r="F911" i="6" s="1"/>
  <c r="G912" i="6" s="1"/>
  <c r="I912" i="6" s="1"/>
  <c r="B913" i="6"/>
  <c r="H913" i="6" l="1"/>
  <c r="C913" i="6"/>
  <c r="D913" i="6" s="1" a="1"/>
  <c r="D913" i="6" s="1"/>
  <c r="E912" i="6"/>
  <c r="F912" i="6" s="1"/>
  <c r="G913" i="6" s="1"/>
  <c r="I913" i="6" s="1"/>
  <c r="B914" i="6"/>
  <c r="H914" i="6" l="1"/>
  <c r="C914" i="6"/>
  <c r="D914" i="6" s="1" a="1"/>
  <c r="D914" i="6" s="1"/>
  <c r="E913" i="6"/>
  <c r="F913" i="6" s="1"/>
  <c r="G914" i="6" s="1"/>
  <c r="I914" i="6" s="1"/>
  <c r="B915" i="6"/>
  <c r="H915" i="6" l="1"/>
  <c r="C915" i="6"/>
  <c r="D915" i="6" s="1" a="1"/>
  <c r="D915" i="6" s="1"/>
  <c r="E914" i="6"/>
  <c r="F914" i="6" s="1"/>
  <c r="G915" i="6" s="1"/>
  <c r="I915" i="6" s="1"/>
  <c r="B916" i="6"/>
  <c r="H916" i="6" l="1"/>
  <c r="C916" i="6"/>
  <c r="D916" i="6" s="1" a="1"/>
  <c r="D916" i="6" s="1"/>
  <c r="E915" i="6"/>
  <c r="F915" i="6" s="1"/>
  <c r="G916" i="6" s="1"/>
  <c r="I916" i="6" s="1"/>
  <c r="B917" i="6"/>
  <c r="H917" i="6" l="1"/>
  <c r="C917" i="6"/>
  <c r="D917" i="6" s="1" a="1"/>
  <c r="D917" i="6" s="1"/>
  <c r="E916" i="6"/>
  <c r="F916" i="6" s="1"/>
  <c r="G917" i="6" s="1"/>
  <c r="I917" i="6" s="1"/>
  <c r="B918" i="6"/>
  <c r="H918" i="6" l="1"/>
  <c r="C918" i="6"/>
  <c r="D918" i="6" s="1" a="1"/>
  <c r="D918" i="6" s="1"/>
  <c r="E917" i="6"/>
  <c r="F917" i="6" s="1"/>
  <c r="G918" i="6" s="1"/>
  <c r="I918" i="6" s="1"/>
  <c r="B919" i="6"/>
  <c r="H919" i="6" l="1"/>
  <c r="C919" i="6"/>
  <c r="D919" i="6" s="1" a="1"/>
  <c r="D919" i="6" s="1"/>
  <c r="E918" i="6"/>
  <c r="F918" i="6" s="1"/>
  <c r="G919" i="6" s="1"/>
  <c r="I919" i="6" s="1"/>
  <c r="B920" i="6"/>
  <c r="H920" i="6" l="1"/>
  <c r="C920" i="6"/>
  <c r="D920" i="6" s="1" a="1"/>
  <c r="D920" i="6" s="1"/>
  <c r="E919" i="6"/>
  <c r="F919" i="6" s="1"/>
  <c r="G920" i="6" s="1"/>
  <c r="I920" i="6" s="1"/>
  <c r="B921" i="6"/>
  <c r="H921" i="6" l="1"/>
  <c r="C921" i="6"/>
  <c r="D921" i="6" s="1" a="1"/>
  <c r="D921" i="6" s="1"/>
  <c r="E920" i="6"/>
  <c r="F920" i="6" s="1"/>
  <c r="G921" i="6" s="1"/>
  <c r="I921" i="6" s="1"/>
  <c r="B922" i="6"/>
  <c r="H922" i="6" l="1"/>
  <c r="C922" i="6"/>
  <c r="D922" i="6" s="1" a="1"/>
  <c r="D922" i="6" s="1"/>
  <c r="E921" i="6"/>
  <c r="F921" i="6" s="1"/>
  <c r="G922" i="6" s="1"/>
  <c r="I922" i="6" s="1"/>
  <c r="B923" i="6"/>
  <c r="H923" i="6" l="1"/>
  <c r="C923" i="6"/>
  <c r="D923" i="6" s="1" a="1"/>
  <c r="D923" i="6" s="1"/>
  <c r="E922" i="6"/>
  <c r="F922" i="6" s="1"/>
  <c r="G923" i="6" s="1"/>
  <c r="I923" i="6" s="1"/>
  <c r="B924" i="6"/>
  <c r="H924" i="6" l="1"/>
  <c r="C924" i="6"/>
  <c r="D924" i="6" s="1" a="1"/>
  <c r="D924" i="6" s="1"/>
  <c r="E923" i="6"/>
  <c r="F923" i="6" s="1"/>
  <c r="G924" i="6" s="1"/>
  <c r="I924" i="6" s="1"/>
  <c r="B925" i="6"/>
  <c r="H925" i="6" l="1"/>
  <c r="C925" i="6"/>
  <c r="D925" i="6" s="1" a="1"/>
  <c r="D925" i="6" s="1"/>
  <c r="E924" i="6"/>
  <c r="F924" i="6" s="1"/>
  <c r="G925" i="6" s="1"/>
  <c r="I925" i="6" s="1"/>
  <c r="B926" i="6"/>
  <c r="H926" i="6" l="1"/>
  <c r="C926" i="6"/>
  <c r="D926" i="6" s="1" a="1"/>
  <c r="D926" i="6" s="1"/>
  <c r="E925" i="6"/>
  <c r="F925" i="6" s="1"/>
  <c r="G926" i="6" s="1"/>
  <c r="I926" i="6" s="1"/>
  <c r="B927" i="6"/>
  <c r="H927" i="6" l="1"/>
  <c r="C927" i="6"/>
  <c r="D927" i="6" s="1" a="1"/>
  <c r="D927" i="6" s="1"/>
  <c r="E926" i="6"/>
  <c r="F926" i="6" s="1"/>
  <c r="G927" i="6" s="1"/>
  <c r="I927" i="6" s="1"/>
  <c r="B928" i="6"/>
  <c r="H928" i="6" l="1"/>
  <c r="C928" i="6"/>
  <c r="D928" i="6" s="1" a="1"/>
  <c r="D928" i="6" s="1"/>
  <c r="E927" i="6"/>
  <c r="F927" i="6" s="1"/>
  <c r="G928" i="6" s="1"/>
  <c r="I928" i="6" s="1"/>
  <c r="B929" i="6"/>
  <c r="H929" i="6" l="1"/>
  <c r="C929" i="6"/>
  <c r="D929" i="6" s="1" a="1"/>
  <c r="D929" i="6" s="1"/>
  <c r="E928" i="6"/>
  <c r="F928" i="6" s="1"/>
  <c r="G929" i="6" s="1"/>
  <c r="I929" i="6" s="1"/>
  <c r="B930" i="6"/>
  <c r="H930" i="6" l="1"/>
  <c r="C930" i="6"/>
  <c r="D930" i="6" s="1" a="1"/>
  <c r="D930" i="6" s="1"/>
  <c r="E929" i="6"/>
  <c r="F929" i="6" s="1"/>
  <c r="G930" i="6" s="1"/>
  <c r="I930" i="6" s="1"/>
  <c r="B931" i="6"/>
  <c r="H931" i="6" l="1"/>
  <c r="C931" i="6"/>
  <c r="D931" i="6" s="1" a="1"/>
  <c r="D931" i="6" s="1"/>
  <c r="E930" i="6"/>
  <c r="F930" i="6" s="1"/>
  <c r="G931" i="6" s="1"/>
  <c r="I931" i="6" s="1"/>
  <c r="B932" i="6"/>
  <c r="H932" i="6" l="1"/>
  <c r="C932" i="6"/>
  <c r="D932" i="6" s="1" a="1"/>
  <c r="D932" i="6" s="1"/>
  <c r="E931" i="6"/>
  <c r="F931" i="6" s="1"/>
  <c r="G932" i="6" s="1"/>
  <c r="I932" i="6" s="1"/>
  <c r="B933" i="6"/>
  <c r="H933" i="6" l="1"/>
  <c r="C933" i="6"/>
  <c r="D933" i="6" s="1" a="1"/>
  <c r="D933" i="6" s="1"/>
  <c r="E932" i="6"/>
  <c r="F932" i="6" s="1"/>
  <c r="G933" i="6" s="1"/>
  <c r="I933" i="6" s="1"/>
  <c r="B934" i="6"/>
  <c r="H934" i="6" l="1"/>
  <c r="C934" i="6"/>
  <c r="D934" i="6" s="1" a="1"/>
  <c r="D934" i="6" s="1"/>
  <c r="E933" i="6"/>
  <c r="F933" i="6" s="1"/>
  <c r="G934" i="6" s="1"/>
  <c r="I934" i="6" s="1"/>
  <c r="B935" i="6"/>
  <c r="H935" i="6" l="1"/>
  <c r="C935" i="6"/>
  <c r="D935" i="6" s="1" a="1"/>
  <c r="D935" i="6" s="1"/>
  <c r="E934" i="6"/>
  <c r="F934" i="6" s="1"/>
  <c r="G935" i="6" s="1"/>
  <c r="I935" i="6" s="1"/>
  <c r="B936" i="6"/>
  <c r="H936" i="6" l="1"/>
  <c r="C936" i="6"/>
  <c r="D936" i="6" s="1" a="1"/>
  <c r="D936" i="6" s="1"/>
  <c r="E935" i="6"/>
  <c r="F935" i="6" s="1"/>
  <c r="G936" i="6" s="1"/>
  <c r="I936" i="6" s="1"/>
  <c r="B937" i="6"/>
  <c r="H937" i="6" l="1"/>
  <c r="C937" i="6"/>
  <c r="D937" i="6" s="1" a="1"/>
  <c r="D937" i="6" s="1"/>
  <c r="E936" i="6"/>
  <c r="F936" i="6" s="1"/>
  <c r="G937" i="6" s="1"/>
  <c r="I937" i="6" s="1"/>
  <c r="B938" i="6"/>
  <c r="H938" i="6" l="1"/>
  <c r="C938" i="6"/>
  <c r="D938" i="6" s="1" a="1"/>
  <c r="D938" i="6" s="1"/>
  <c r="E937" i="6"/>
  <c r="F937" i="6" s="1"/>
  <c r="G938" i="6" s="1"/>
  <c r="I938" i="6" s="1"/>
  <c r="B939" i="6"/>
  <c r="H939" i="6" l="1"/>
  <c r="C939" i="6"/>
  <c r="D939" i="6" s="1" a="1"/>
  <c r="D939" i="6" s="1"/>
  <c r="E938" i="6"/>
  <c r="F938" i="6" s="1"/>
  <c r="G939" i="6" s="1"/>
  <c r="I939" i="6" s="1"/>
  <c r="B940" i="6"/>
  <c r="H940" i="6" l="1"/>
  <c r="C940" i="6"/>
  <c r="D940" i="6" s="1" a="1"/>
  <c r="D940" i="6" s="1"/>
  <c r="E939" i="6"/>
  <c r="F939" i="6" s="1"/>
  <c r="G940" i="6" s="1"/>
  <c r="I940" i="6" s="1"/>
  <c r="B941" i="6"/>
  <c r="H941" i="6" l="1"/>
  <c r="C941" i="6"/>
  <c r="D941" i="6" s="1" a="1"/>
  <c r="D941" i="6" s="1"/>
  <c r="E940" i="6"/>
  <c r="F940" i="6" s="1"/>
  <c r="G941" i="6" s="1"/>
  <c r="I941" i="6" s="1"/>
  <c r="B942" i="6"/>
  <c r="H942" i="6" l="1"/>
  <c r="C942" i="6"/>
  <c r="D942" i="6" s="1" a="1"/>
  <c r="D942" i="6" s="1"/>
  <c r="E941" i="6"/>
  <c r="F941" i="6" s="1"/>
  <c r="G942" i="6" s="1"/>
  <c r="I942" i="6" s="1"/>
  <c r="B943" i="6"/>
  <c r="H943" i="6" l="1"/>
  <c r="C943" i="6"/>
  <c r="D943" i="6" s="1" a="1"/>
  <c r="D943" i="6" s="1"/>
  <c r="E942" i="6"/>
  <c r="F942" i="6" s="1"/>
  <c r="G943" i="6" s="1"/>
  <c r="I943" i="6" s="1"/>
  <c r="B944" i="6"/>
  <c r="H944" i="6" l="1"/>
  <c r="C944" i="6"/>
  <c r="D944" i="6" s="1" a="1"/>
  <c r="D944" i="6" s="1"/>
  <c r="E943" i="6"/>
  <c r="F943" i="6" s="1"/>
  <c r="G944" i="6" s="1"/>
  <c r="I944" i="6" s="1"/>
  <c r="B945" i="6"/>
  <c r="H945" i="6" l="1"/>
  <c r="C945" i="6"/>
  <c r="D945" i="6" s="1" a="1"/>
  <c r="D945" i="6" s="1"/>
  <c r="E944" i="6"/>
  <c r="F944" i="6" s="1"/>
  <c r="G945" i="6" s="1"/>
  <c r="I945" i="6" s="1"/>
  <c r="B946" i="6"/>
  <c r="H946" i="6" l="1"/>
  <c r="C946" i="6"/>
  <c r="D946" i="6" s="1" a="1"/>
  <c r="D946" i="6" s="1"/>
  <c r="E945" i="6"/>
  <c r="F945" i="6" s="1"/>
  <c r="G946" i="6" s="1"/>
  <c r="I946" i="6" s="1"/>
  <c r="B947" i="6"/>
  <c r="H947" i="6" l="1"/>
  <c r="C947" i="6"/>
  <c r="D947" i="6" s="1" a="1"/>
  <c r="D947" i="6" s="1"/>
  <c r="E946" i="6"/>
  <c r="F946" i="6" s="1"/>
  <c r="G947" i="6" s="1"/>
  <c r="I947" i="6" s="1"/>
  <c r="B948" i="6"/>
  <c r="H948" i="6" l="1"/>
  <c r="C948" i="6"/>
  <c r="D948" i="6" s="1" a="1"/>
  <c r="D948" i="6" s="1"/>
  <c r="E947" i="6"/>
  <c r="F947" i="6" s="1"/>
  <c r="G948" i="6" s="1"/>
  <c r="I948" i="6" s="1"/>
  <c r="B949" i="6"/>
  <c r="H949" i="6" l="1"/>
  <c r="C949" i="6"/>
  <c r="D949" i="6" s="1" a="1"/>
  <c r="D949" i="6" s="1"/>
  <c r="E948" i="6"/>
  <c r="F948" i="6" s="1"/>
  <c r="G949" i="6" s="1"/>
  <c r="I949" i="6" s="1"/>
  <c r="B950" i="6"/>
  <c r="H950" i="6" l="1"/>
  <c r="C950" i="6"/>
  <c r="D950" i="6" s="1" a="1"/>
  <c r="D950" i="6" s="1"/>
  <c r="E949" i="6"/>
  <c r="F949" i="6" s="1"/>
  <c r="G950" i="6" s="1"/>
  <c r="I950" i="6" s="1"/>
  <c r="B951" i="6"/>
  <c r="H951" i="6" l="1"/>
  <c r="C951" i="6"/>
  <c r="D951" i="6" s="1" a="1"/>
  <c r="D951" i="6" s="1"/>
  <c r="E950" i="6"/>
  <c r="F950" i="6" s="1"/>
  <c r="G951" i="6" s="1"/>
  <c r="I951" i="6" s="1"/>
  <c r="B952" i="6"/>
  <c r="H952" i="6" l="1"/>
  <c r="C952" i="6"/>
  <c r="D952" i="6" s="1" a="1"/>
  <c r="D952" i="6" s="1"/>
  <c r="E951" i="6"/>
  <c r="F951" i="6" s="1"/>
  <c r="G952" i="6" s="1"/>
  <c r="I952" i="6" s="1"/>
  <c r="B953" i="6"/>
  <c r="H953" i="6" l="1"/>
  <c r="C953" i="6"/>
  <c r="D953" i="6" s="1" a="1"/>
  <c r="D953" i="6" s="1"/>
  <c r="E952" i="6"/>
  <c r="F952" i="6" s="1"/>
  <c r="G953" i="6" s="1"/>
  <c r="I953" i="6" s="1"/>
  <c r="B954" i="6"/>
  <c r="H954" i="6" l="1"/>
  <c r="C954" i="6"/>
  <c r="D954" i="6" s="1" a="1"/>
  <c r="D954" i="6" s="1"/>
  <c r="E953" i="6"/>
  <c r="F953" i="6" s="1"/>
  <c r="G954" i="6" s="1"/>
  <c r="I954" i="6" s="1"/>
  <c r="B955" i="6"/>
  <c r="H955" i="6" l="1"/>
  <c r="C955" i="6"/>
  <c r="D955" i="6" s="1" a="1"/>
  <c r="D955" i="6" s="1"/>
  <c r="E954" i="6"/>
  <c r="F954" i="6" s="1"/>
  <c r="G955" i="6" s="1"/>
  <c r="I955" i="6" s="1"/>
  <c r="B956" i="6"/>
  <c r="H956" i="6" l="1"/>
  <c r="C956" i="6"/>
  <c r="D956" i="6" s="1" a="1"/>
  <c r="D956" i="6" s="1"/>
  <c r="E955" i="6"/>
  <c r="F955" i="6" s="1"/>
  <c r="G956" i="6" s="1"/>
  <c r="I956" i="6" s="1"/>
  <c r="B957" i="6"/>
  <c r="H957" i="6" l="1"/>
  <c r="C957" i="6"/>
  <c r="D957" i="6" s="1" a="1"/>
  <c r="D957" i="6" s="1"/>
  <c r="E956" i="6"/>
  <c r="F956" i="6" s="1"/>
  <c r="G957" i="6" s="1"/>
  <c r="I957" i="6" s="1"/>
  <c r="B958" i="6"/>
  <c r="H958" i="6" l="1"/>
  <c r="C958" i="6"/>
  <c r="D958" i="6" s="1" a="1"/>
  <c r="D958" i="6" s="1"/>
  <c r="E957" i="6"/>
  <c r="F957" i="6" s="1"/>
  <c r="G958" i="6" s="1"/>
  <c r="I958" i="6" s="1"/>
  <c r="B959" i="6"/>
  <c r="H959" i="6" l="1"/>
  <c r="C959" i="6"/>
  <c r="D959" i="6" s="1" a="1"/>
  <c r="D959" i="6" s="1"/>
  <c r="E958" i="6"/>
  <c r="F958" i="6" s="1"/>
  <c r="G959" i="6" s="1"/>
  <c r="I959" i="6" s="1"/>
  <c r="B960" i="6"/>
  <c r="H960" i="6" l="1"/>
  <c r="C960" i="6"/>
  <c r="D960" i="6" s="1" a="1"/>
  <c r="D960" i="6" s="1"/>
  <c r="E959" i="6"/>
  <c r="F959" i="6" s="1"/>
  <c r="G960" i="6" s="1"/>
  <c r="I960" i="6" s="1"/>
  <c r="B961" i="6"/>
  <c r="H961" i="6" l="1"/>
  <c r="C961" i="6"/>
  <c r="D961" i="6" s="1" a="1"/>
  <c r="D961" i="6" s="1"/>
  <c r="E960" i="6"/>
  <c r="F960" i="6" s="1"/>
  <c r="G961" i="6" s="1"/>
  <c r="I961" i="6" s="1"/>
  <c r="B962" i="6"/>
  <c r="H962" i="6" l="1"/>
  <c r="C962" i="6"/>
  <c r="D962" i="6" s="1" a="1"/>
  <c r="D962" i="6" s="1"/>
  <c r="E961" i="6"/>
  <c r="F961" i="6" s="1"/>
  <c r="G962" i="6" s="1"/>
  <c r="I962" i="6" s="1"/>
  <c r="B963" i="6"/>
  <c r="H963" i="6" l="1"/>
  <c r="C963" i="6"/>
  <c r="D963" i="6" s="1" a="1"/>
  <c r="D963" i="6" s="1"/>
  <c r="E962" i="6"/>
  <c r="F962" i="6" s="1"/>
  <c r="G963" i="6" s="1"/>
  <c r="I963" i="6" s="1"/>
  <c r="B964" i="6"/>
  <c r="H964" i="6" l="1"/>
  <c r="C964" i="6"/>
  <c r="D964" i="6" s="1" a="1"/>
  <c r="D964" i="6" s="1"/>
  <c r="E963" i="6"/>
  <c r="F963" i="6" s="1"/>
  <c r="G964" i="6" s="1"/>
  <c r="I964" i="6" s="1"/>
  <c r="B965" i="6"/>
  <c r="H965" i="6" l="1"/>
  <c r="C965" i="6"/>
  <c r="D965" i="6" s="1" a="1"/>
  <c r="D965" i="6" s="1"/>
  <c r="E964" i="6"/>
  <c r="F964" i="6" s="1"/>
  <c r="G965" i="6" s="1"/>
  <c r="I965" i="6" s="1"/>
  <c r="B966" i="6"/>
  <c r="H966" i="6" l="1"/>
  <c r="C966" i="6"/>
  <c r="D966" i="6" s="1" a="1"/>
  <c r="D966" i="6" s="1"/>
  <c r="E965" i="6"/>
  <c r="F965" i="6" s="1"/>
  <c r="G966" i="6" s="1"/>
  <c r="I966" i="6" s="1"/>
  <c r="B967" i="6"/>
  <c r="H967" i="6" l="1"/>
  <c r="C967" i="6"/>
  <c r="D967" i="6" s="1" a="1"/>
  <c r="D967" i="6" s="1"/>
  <c r="E966" i="6"/>
  <c r="F966" i="6" s="1"/>
  <c r="G967" i="6" s="1"/>
  <c r="I967" i="6" s="1"/>
  <c r="B968" i="6"/>
  <c r="H968" i="6" l="1"/>
  <c r="C968" i="6"/>
  <c r="D968" i="6" s="1" a="1"/>
  <c r="D968" i="6" s="1"/>
  <c r="E967" i="6"/>
  <c r="F967" i="6" s="1"/>
  <c r="G968" i="6" s="1"/>
  <c r="I968" i="6" s="1"/>
  <c r="B969" i="6"/>
  <c r="H969" i="6" l="1"/>
  <c r="C969" i="6"/>
  <c r="D969" i="6" s="1" a="1"/>
  <c r="D969" i="6" s="1"/>
  <c r="E968" i="6"/>
  <c r="F968" i="6" s="1"/>
  <c r="G969" i="6" s="1"/>
  <c r="I969" i="6" s="1"/>
  <c r="B970" i="6"/>
  <c r="H970" i="6" l="1"/>
  <c r="C970" i="6"/>
  <c r="D970" i="6" s="1" a="1"/>
  <c r="D970" i="6" s="1"/>
  <c r="E969" i="6"/>
  <c r="F969" i="6" s="1"/>
  <c r="G970" i="6" s="1"/>
  <c r="I970" i="6" s="1"/>
  <c r="B971" i="6"/>
  <c r="H971" i="6" l="1"/>
  <c r="C971" i="6"/>
  <c r="D971" i="6" s="1" a="1"/>
  <c r="D971" i="6" s="1"/>
  <c r="E970" i="6"/>
  <c r="F970" i="6" s="1"/>
  <c r="G971" i="6" s="1"/>
  <c r="I971" i="6" s="1"/>
  <c r="B972" i="6"/>
  <c r="H972" i="6" l="1"/>
  <c r="C972" i="6"/>
  <c r="D972" i="6" s="1" a="1"/>
  <c r="D972" i="6" s="1"/>
  <c r="E971" i="6"/>
  <c r="F971" i="6" s="1"/>
  <c r="G972" i="6" s="1"/>
  <c r="I972" i="6" s="1"/>
  <c r="B973" i="6"/>
  <c r="H973" i="6" l="1"/>
  <c r="C973" i="6"/>
  <c r="D973" i="6" s="1" a="1"/>
  <c r="D973" i="6" s="1"/>
  <c r="E972" i="6"/>
  <c r="F972" i="6" s="1"/>
  <c r="G973" i="6" s="1"/>
  <c r="I973" i="6" s="1"/>
  <c r="B974" i="6"/>
  <c r="H974" i="6" l="1"/>
  <c r="C974" i="6"/>
  <c r="D974" i="6" s="1" a="1"/>
  <c r="D974" i="6" s="1"/>
  <c r="E973" i="6"/>
  <c r="F973" i="6" s="1"/>
  <c r="G974" i="6" s="1"/>
  <c r="I974" i="6" s="1"/>
  <c r="B975" i="6"/>
  <c r="H975" i="6" l="1"/>
  <c r="C975" i="6"/>
  <c r="D975" i="6" s="1" a="1"/>
  <c r="D975" i="6" s="1"/>
  <c r="E974" i="6"/>
  <c r="F974" i="6" s="1"/>
  <c r="G975" i="6" s="1"/>
  <c r="I975" i="6" s="1"/>
  <c r="B976" i="6"/>
  <c r="H976" i="6" l="1"/>
  <c r="C976" i="6"/>
  <c r="D976" i="6" s="1" a="1"/>
  <c r="D976" i="6" s="1"/>
  <c r="E975" i="6"/>
  <c r="F975" i="6" s="1"/>
  <c r="G976" i="6" s="1"/>
  <c r="I976" i="6" s="1"/>
  <c r="B977" i="6"/>
  <c r="H977" i="6" l="1"/>
  <c r="C977" i="6"/>
  <c r="D977" i="6" s="1" a="1"/>
  <c r="D977" i="6" s="1"/>
  <c r="E976" i="6"/>
  <c r="F976" i="6" s="1"/>
  <c r="G977" i="6" s="1"/>
  <c r="I977" i="6" s="1"/>
  <c r="B978" i="6"/>
  <c r="H978" i="6" l="1"/>
  <c r="C978" i="6"/>
  <c r="D978" i="6" s="1" a="1"/>
  <c r="D978" i="6" s="1"/>
  <c r="E977" i="6"/>
  <c r="F977" i="6" s="1"/>
  <c r="G978" i="6" s="1"/>
  <c r="I978" i="6" s="1"/>
  <c r="B979" i="6"/>
  <c r="H979" i="6" l="1"/>
  <c r="C979" i="6"/>
  <c r="D979" i="6" s="1" a="1"/>
  <c r="D979" i="6" s="1"/>
  <c r="E978" i="6"/>
  <c r="F978" i="6" s="1"/>
  <c r="G979" i="6" s="1"/>
  <c r="I979" i="6" s="1"/>
  <c r="B980" i="6"/>
  <c r="H980" i="6" l="1"/>
  <c r="C980" i="6"/>
  <c r="D980" i="6" s="1" a="1"/>
  <c r="D980" i="6" s="1"/>
  <c r="E979" i="6"/>
  <c r="F979" i="6" s="1"/>
  <c r="G980" i="6" s="1"/>
  <c r="I980" i="6" s="1"/>
  <c r="B981" i="6"/>
  <c r="H981" i="6" l="1"/>
  <c r="C981" i="6"/>
  <c r="D981" i="6" s="1" a="1"/>
  <c r="D981" i="6" s="1"/>
  <c r="E980" i="6"/>
  <c r="F980" i="6" s="1"/>
  <c r="G981" i="6" s="1"/>
  <c r="I981" i="6" s="1"/>
  <c r="B982" i="6"/>
  <c r="H982" i="6" l="1"/>
  <c r="C982" i="6"/>
  <c r="D982" i="6" s="1" a="1"/>
  <c r="D982" i="6" s="1"/>
  <c r="E981" i="6"/>
  <c r="F981" i="6" s="1"/>
  <c r="G982" i="6" s="1"/>
  <c r="I982" i="6" s="1"/>
  <c r="B983" i="6"/>
  <c r="H983" i="6" l="1"/>
  <c r="C983" i="6"/>
  <c r="D983" i="6" s="1" a="1"/>
  <c r="D983" i="6" s="1"/>
  <c r="E982" i="6"/>
  <c r="F982" i="6" s="1"/>
  <c r="G983" i="6" s="1"/>
  <c r="I983" i="6" s="1"/>
  <c r="B984" i="6"/>
  <c r="H984" i="6" l="1"/>
  <c r="C984" i="6"/>
  <c r="D984" i="6" s="1" a="1"/>
  <c r="D984" i="6" s="1"/>
  <c r="E983" i="6"/>
  <c r="F983" i="6" s="1"/>
  <c r="G984" i="6" s="1"/>
  <c r="I984" i="6" s="1"/>
  <c r="B985" i="6"/>
  <c r="H985" i="6" l="1"/>
  <c r="C985" i="6"/>
  <c r="D985" i="6" s="1" a="1"/>
  <c r="D985" i="6" s="1"/>
  <c r="E984" i="6"/>
  <c r="F984" i="6" s="1"/>
  <c r="G985" i="6" s="1"/>
  <c r="I985" i="6" s="1"/>
  <c r="B986" i="6"/>
  <c r="H986" i="6" l="1"/>
  <c r="C986" i="6"/>
  <c r="D986" i="6" s="1" a="1"/>
  <c r="D986" i="6" s="1"/>
  <c r="E985" i="6"/>
  <c r="F985" i="6" s="1"/>
  <c r="G986" i="6" s="1"/>
  <c r="I986" i="6" s="1"/>
  <c r="B987" i="6"/>
  <c r="H987" i="6" l="1"/>
  <c r="C987" i="6"/>
  <c r="D987" i="6" s="1" a="1"/>
  <c r="D987" i="6" s="1"/>
  <c r="E986" i="6"/>
  <c r="F986" i="6" s="1"/>
  <c r="G987" i="6" s="1"/>
  <c r="I987" i="6" s="1"/>
  <c r="B988" i="6"/>
  <c r="H988" i="6" l="1"/>
  <c r="C988" i="6"/>
  <c r="D988" i="6" s="1" a="1"/>
  <c r="D988" i="6" s="1"/>
  <c r="E987" i="6"/>
  <c r="F987" i="6" s="1"/>
  <c r="G988" i="6" s="1"/>
  <c r="I988" i="6" s="1"/>
  <c r="B989" i="6"/>
  <c r="H989" i="6" l="1"/>
  <c r="C989" i="6"/>
  <c r="D989" i="6" s="1" a="1"/>
  <c r="D989" i="6" s="1"/>
  <c r="E988" i="6"/>
  <c r="F988" i="6" s="1"/>
  <c r="G989" i="6" s="1"/>
  <c r="I989" i="6" s="1"/>
  <c r="B990" i="6"/>
  <c r="H990" i="6" l="1"/>
  <c r="C990" i="6"/>
  <c r="D990" i="6" s="1" a="1"/>
  <c r="D990" i="6" s="1"/>
  <c r="E989" i="6"/>
  <c r="F989" i="6" s="1"/>
  <c r="G990" i="6" s="1"/>
  <c r="I990" i="6" s="1"/>
  <c r="B991" i="6"/>
  <c r="H991" i="6" l="1"/>
  <c r="C991" i="6"/>
  <c r="D991" i="6" s="1" a="1"/>
  <c r="D991" i="6" s="1"/>
  <c r="E990" i="6"/>
  <c r="F990" i="6" s="1"/>
  <c r="G991" i="6" s="1"/>
  <c r="I991" i="6" s="1"/>
  <c r="B992" i="6"/>
  <c r="H992" i="6" l="1"/>
  <c r="C992" i="6"/>
  <c r="D992" i="6" s="1" a="1"/>
  <c r="D992" i="6" s="1"/>
  <c r="E991" i="6"/>
  <c r="F991" i="6" s="1"/>
  <c r="G992" i="6" s="1"/>
  <c r="I992" i="6" s="1"/>
  <c r="B993" i="6"/>
  <c r="H993" i="6" l="1"/>
  <c r="C993" i="6"/>
  <c r="D993" i="6" s="1" a="1"/>
  <c r="D993" i="6" s="1"/>
  <c r="E992" i="6"/>
  <c r="F992" i="6" s="1"/>
  <c r="G993" i="6" s="1"/>
  <c r="I993" i="6" s="1"/>
  <c r="B994" i="6"/>
  <c r="H994" i="6" l="1"/>
  <c r="C994" i="6"/>
  <c r="D994" i="6" s="1" a="1"/>
  <c r="D994" i="6" s="1"/>
  <c r="E993" i="6"/>
  <c r="F993" i="6" s="1"/>
  <c r="G994" i="6" s="1"/>
  <c r="I994" i="6" s="1"/>
  <c r="B995" i="6"/>
  <c r="H995" i="6" l="1"/>
  <c r="C995" i="6"/>
  <c r="D995" i="6" s="1" a="1"/>
  <c r="D995" i="6" s="1"/>
  <c r="E994" i="6"/>
  <c r="F994" i="6" s="1"/>
  <c r="G995" i="6" s="1"/>
  <c r="I995" i="6" s="1"/>
  <c r="B996" i="6"/>
  <c r="H996" i="6" l="1"/>
  <c r="C996" i="6"/>
  <c r="D996" i="6" s="1" a="1"/>
  <c r="D996" i="6" s="1"/>
  <c r="E995" i="6"/>
  <c r="F995" i="6" s="1"/>
  <c r="G996" i="6" s="1"/>
  <c r="I996" i="6" s="1"/>
  <c r="B997" i="6"/>
  <c r="H997" i="6" l="1"/>
  <c r="C997" i="6"/>
  <c r="D997" i="6" s="1" a="1"/>
  <c r="D997" i="6" s="1"/>
  <c r="E996" i="6"/>
  <c r="F996" i="6" s="1"/>
  <c r="G997" i="6" s="1"/>
  <c r="I997" i="6" s="1"/>
  <c r="B998" i="6"/>
  <c r="H998" i="6" l="1"/>
  <c r="C998" i="6"/>
  <c r="D998" i="6" s="1" a="1"/>
  <c r="D998" i="6" s="1"/>
  <c r="E997" i="6"/>
  <c r="F997" i="6" s="1"/>
  <c r="G998" i="6" s="1"/>
  <c r="I998" i="6" s="1"/>
  <c r="B999" i="6"/>
  <c r="H999" i="6" l="1"/>
  <c r="C999" i="6"/>
  <c r="D999" i="6" s="1" a="1"/>
  <c r="D999" i="6" s="1"/>
  <c r="E998" i="6"/>
  <c r="F998" i="6" s="1"/>
  <c r="G999" i="6" s="1"/>
  <c r="I999" i="6" s="1"/>
  <c r="B1000" i="6"/>
  <c r="H1000" i="6" l="1"/>
  <c r="C1000" i="6"/>
  <c r="D1000" i="6" s="1" a="1"/>
  <c r="D1000" i="6" s="1"/>
  <c r="E999" i="6"/>
  <c r="F999" i="6" s="1"/>
  <c r="G1000" i="6" s="1"/>
  <c r="I1000" i="6" s="1"/>
  <c r="B1001" i="6"/>
  <c r="H1001" i="6" l="1"/>
  <c r="C1001" i="6"/>
  <c r="D1001" i="6" s="1" a="1"/>
  <c r="D1001" i="6" s="1"/>
  <c r="E1000" i="6"/>
  <c r="F1000" i="6" s="1"/>
  <c r="G1001" i="6" s="1"/>
  <c r="I1001" i="6" s="1"/>
  <c r="B1002" i="6"/>
  <c r="H1002" i="6" l="1"/>
  <c r="C1002" i="6"/>
  <c r="D1002" i="6" s="1" a="1"/>
  <c r="D1002" i="6" s="1"/>
  <c r="E1001" i="6"/>
  <c r="F1001" i="6" s="1"/>
  <c r="G1002" i="6" s="1"/>
  <c r="I1002" i="6" s="1"/>
  <c r="B1003" i="6"/>
  <c r="H1003" i="6" l="1"/>
  <c r="C1003" i="6"/>
  <c r="D1003" i="6" s="1" a="1"/>
  <c r="D1003" i="6" s="1"/>
  <c r="E1002" i="6"/>
  <c r="F1002" i="6" s="1"/>
  <c r="G1003" i="6" s="1"/>
  <c r="I1003" i="6" s="1"/>
  <c r="B1004" i="6"/>
  <c r="H1004" i="6" l="1"/>
  <c r="C1004" i="6"/>
  <c r="D1004" i="6" s="1" a="1"/>
  <c r="D1004" i="6" s="1"/>
  <c r="E1003" i="6"/>
  <c r="F1003" i="6" s="1"/>
  <c r="G1004" i="6" s="1"/>
  <c r="I1004" i="6" s="1"/>
  <c r="B1005" i="6"/>
  <c r="H1005" i="6" l="1"/>
  <c r="C1005" i="6"/>
  <c r="D1005" i="6" s="1" a="1"/>
  <c r="D1005" i="6" s="1"/>
  <c r="E1004" i="6"/>
  <c r="F1004" i="6" s="1"/>
  <c r="G1005" i="6" s="1"/>
  <c r="I1005" i="6" s="1"/>
  <c r="B1006" i="6"/>
  <c r="H1006" i="6" l="1"/>
  <c r="C1006" i="6"/>
  <c r="D1006" i="6" s="1" a="1"/>
  <c r="D1006" i="6" s="1"/>
  <c r="E1005" i="6"/>
  <c r="F1005" i="6" s="1"/>
  <c r="G1006" i="6" s="1"/>
  <c r="I1006" i="6" s="1"/>
  <c r="B1007" i="6"/>
  <c r="H1007" i="6" l="1"/>
  <c r="C1007" i="6"/>
  <c r="D1007" i="6" s="1" a="1"/>
  <c r="D1007" i="6" s="1"/>
  <c r="E1006" i="6"/>
  <c r="F1006" i="6" s="1"/>
  <c r="G1007" i="6" s="1"/>
  <c r="I1007" i="6" s="1"/>
  <c r="B1008" i="6"/>
  <c r="H1008" i="6" l="1"/>
  <c r="C1008" i="6"/>
  <c r="D1008" i="6" s="1" a="1"/>
  <c r="D1008" i="6" s="1"/>
  <c r="E1007" i="6"/>
  <c r="F1007" i="6" s="1"/>
  <c r="G1008" i="6" s="1"/>
  <c r="I1008" i="6" s="1"/>
  <c r="B1009" i="6"/>
  <c r="H1009" i="6" l="1"/>
  <c r="C1009" i="6"/>
  <c r="D1009" i="6" s="1" a="1"/>
  <c r="D1009" i="6" s="1"/>
  <c r="E1008" i="6"/>
  <c r="F1008" i="6" s="1"/>
  <c r="G1009" i="6" s="1"/>
  <c r="I1009" i="6" s="1"/>
  <c r="B1010" i="6"/>
  <c r="H1010" i="6" l="1"/>
  <c r="C1010" i="6"/>
  <c r="D1010" i="6" s="1" a="1"/>
  <c r="D1010" i="6" s="1"/>
  <c r="E1009" i="6"/>
  <c r="F1009" i="6" s="1"/>
  <c r="G1010" i="6" s="1"/>
  <c r="I1010" i="6" s="1"/>
  <c r="B1011" i="6"/>
  <c r="H1011" i="6" l="1"/>
  <c r="C1011" i="6"/>
  <c r="D1011" i="6" s="1" a="1"/>
  <c r="D1011" i="6" s="1"/>
  <c r="E1010" i="6"/>
  <c r="F1010" i="6" s="1"/>
  <c r="G1011" i="6" s="1"/>
  <c r="I1011" i="6" s="1"/>
  <c r="B1012" i="6"/>
  <c r="H1012" i="6" l="1"/>
  <c r="C1012" i="6"/>
  <c r="D1012" i="6" s="1" a="1"/>
  <c r="D1012" i="6" s="1"/>
  <c r="E1011" i="6"/>
  <c r="F1011" i="6" s="1"/>
  <c r="G1012" i="6" s="1"/>
  <c r="I1012" i="6" s="1"/>
  <c r="B1013" i="6"/>
  <c r="H1013" i="6" l="1"/>
  <c r="C1013" i="6"/>
  <c r="D1013" i="6" s="1" a="1"/>
  <c r="D1013" i="6" s="1"/>
  <c r="E1012" i="6"/>
  <c r="F1012" i="6" s="1"/>
  <c r="G1013" i="6" s="1"/>
  <c r="I1013" i="6" s="1"/>
  <c r="B1014" i="6"/>
  <c r="H1014" i="6" l="1"/>
  <c r="C1014" i="6"/>
  <c r="D1014" i="6" s="1" a="1"/>
  <c r="D1014" i="6" s="1"/>
  <c r="E1013" i="6"/>
  <c r="F1013" i="6" s="1"/>
  <c r="G1014" i="6" s="1"/>
  <c r="I1014" i="6" s="1"/>
  <c r="B1015" i="6"/>
  <c r="H1015" i="6" l="1"/>
  <c r="C1015" i="6"/>
  <c r="D1015" i="6" s="1" a="1"/>
  <c r="D1015" i="6" s="1"/>
  <c r="E1014" i="6"/>
  <c r="F1014" i="6" s="1"/>
  <c r="G1015" i="6" s="1"/>
  <c r="I1015" i="6" s="1"/>
  <c r="B1016" i="6"/>
  <c r="H1016" i="6" l="1"/>
  <c r="C1016" i="6"/>
  <c r="D1016" i="6" s="1" a="1"/>
  <c r="D1016" i="6" s="1"/>
  <c r="E1015" i="6"/>
  <c r="F1015" i="6" s="1"/>
  <c r="G1016" i="6" s="1"/>
  <c r="I1016" i="6" s="1"/>
  <c r="B1017" i="6"/>
  <c r="H1017" i="6" l="1"/>
  <c r="C1017" i="6"/>
  <c r="D1017" i="6" s="1" a="1"/>
  <c r="D1017" i="6" s="1"/>
  <c r="E1016" i="6"/>
  <c r="F1016" i="6" s="1"/>
  <c r="G1017" i="6" s="1"/>
  <c r="I1017" i="6" s="1"/>
  <c r="B1018" i="6"/>
  <c r="H1018" i="6" l="1"/>
  <c r="C1018" i="6"/>
  <c r="D1018" i="6" s="1" a="1"/>
  <c r="D1018" i="6" s="1"/>
  <c r="E1017" i="6"/>
  <c r="F1017" i="6" s="1"/>
  <c r="G1018" i="6" s="1"/>
  <c r="I1018" i="6" s="1"/>
  <c r="B1019" i="6"/>
  <c r="H1019" i="6" l="1"/>
  <c r="C1019" i="6"/>
  <c r="D1019" i="6" s="1" a="1"/>
  <c r="D1019" i="6" s="1"/>
  <c r="E1018" i="6"/>
  <c r="F1018" i="6" s="1"/>
  <c r="G1019" i="6" s="1"/>
  <c r="I1019" i="6" s="1"/>
  <c r="B1020" i="6"/>
  <c r="H1020" i="6" l="1"/>
  <c r="C1020" i="6"/>
  <c r="D1020" i="6" s="1" a="1"/>
  <c r="D1020" i="6" s="1"/>
  <c r="E1019" i="6"/>
  <c r="F1019" i="6" s="1"/>
  <c r="G1020" i="6" s="1"/>
  <c r="I1020" i="6" s="1"/>
  <c r="B1021" i="6"/>
  <c r="H1021" i="6" l="1"/>
  <c r="C1021" i="6"/>
  <c r="D1021" i="6" s="1" a="1"/>
  <c r="D1021" i="6" s="1"/>
  <c r="E1020" i="6"/>
  <c r="F1020" i="6" s="1"/>
  <c r="G1021" i="6" s="1"/>
  <c r="I1021" i="6" s="1"/>
  <c r="B1022" i="6"/>
  <c r="H1022" i="6" l="1"/>
  <c r="C1022" i="6"/>
  <c r="D1022" i="6" s="1" a="1"/>
  <c r="D1022" i="6" s="1"/>
  <c r="E1021" i="6"/>
  <c r="F1021" i="6" s="1"/>
  <c r="G1022" i="6" s="1"/>
  <c r="I1022" i="6" s="1"/>
  <c r="B1023" i="6"/>
  <c r="H1023" i="6" l="1"/>
  <c r="C1023" i="6"/>
  <c r="D1023" i="6" s="1" a="1"/>
  <c r="D1023" i="6" s="1"/>
  <c r="E1022" i="6"/>
  <c r="F1022" i="6" s="1"/>
  <c r="G1023" i="6" s="1"/>
  <c r="I1023" i="6" s="1"/>
  <c r="B1024" i="6"/>
  <c r="H1024" i="6" l="1"/>
  <c r="C1024" i="6"/>
  <c r="D1024" i="6" s="1" a="1"/>
  <c r="D1024" i="6" s="1"/>
  <c r="E1023" i="6"/>
  <c r="F1023" i="6" s="1"/>
  <c r="G1024" i="6" s="1"/>
  <c r="I1024" i="6" s="1"/>
  <c r="B1025" i="6"/>
  <c r="H1025" i="6" l="1"/>
  <c r="C1025" i="6"/>
  <c r="D1025" i="6" s="1" a="1"/>
  <c r="D1025" i="6" s="1"/>
  <c r="E1024" i="6"/>
  <c r="F1024" i="6" s="1"/>
  <c r="G1025" i="6" s="1"/>
  <c r="I1025" i="6" s="1"/>
  <c r="B1026" i="6"/>
  <c r="H1026" i="6" l="1"/>
  <c r="C1026" i="6"/>
  <c r="D1026" i="6" s="1" a="1"/>
  <c r="D1026" i="6" s="1"/>
  <c r="E1025" i="6"/>
  <c r="F1025" i="6" s="1"/>
  <c r="G1026" i="6" s="1"/>
  <c r="I1026" i="6" s="1"/>
  <c r="B1027" i="6"/>
  <c r="H1027" i="6" l="1"/>
  <c r="C1027" i="6"/>
  <c r="D1027" i="6" s="1" a="1"/>
  <c r="D1027" i="6" s="1"/>
  <c r="E1026" i="6"/>
  <c r="F1026" i="6" s="1"/>
  <c r="G1027" i="6" s="1"/>
  <c r="I1027" i="6" s="1"/>
  <c r="B1028" i="6"/>
  <c r="H1028" i="6" l="1"/>
  <c r="C1028" i="6"/>
  <c r="D1028" i="6" s="1" a="1"/>
  <c r="D1028" i="6" s="1"/>
  <c r="E1027" i="6"/>
  <c r="F1027" i="6" s="1"/>
  <c r="G1028" i="6" s="1"/>
  <c r="I1028" i="6" s="1"/>
  <c r="B1029" i="6"/>
  <c r="H1029" i="6" l="1"/>
  <c r="C1029" i="6"/>
  <c r="D1029" i="6" s="1" a="1"/>
  <c r="D1029" i="6" s="1"/>
  <c r="E1028" i="6"/>
  <c r="F1028" i="6" s="1"/>
  <c r="G1029" i="6" s="1"/>
  <c r="I1029" i="6" s="1"/>
  <c r="B1030" i="6"/>
  <c r="H1030" i="6" l="1"/>
  <c r="C1030" i="6"/>
  <c r="D1030" i="6" s="1" a="1"/>
  <c r="D1030" i="6" s="1"/>
  <c r="E1029" i="6"/>
  <c r="F1029" i="6" s="1"/>
  <c r="G1030" i="6" s="1"/>
  <c r="I1030" i="6" s="1"/>
  <c r="B1031" i="6"/>
  <c r="H1031" i="6" l="1"/>
  <c r="C1031" i="6"/>
  <c r="D1031" i="6" s="1" a="1"/>
  <c r="D1031" i="6" s="1"/>
  <c r="E1030" i="6"/>
  <c r="F1030" i="6" s="1"/>
  <c r="G1031" i="6" s="1"/>
  <c r="I1031" i="6" s="1"/>
  <c r="B1032" i="6"/>
  <c r="H1032" i="6" l="1"/>
  <c r="C1032" i="6"/>
  <c r="D1032" i="6" s="1" a="1"/>
  <c r="D1032" i="6" s="1"/>
  <c r="E1031" i="6"/>
  <c r="F1031" i="6" s="1"/>
  <c r="G1032" i="6" s="1"/>
  <c r="I1032" i="6" s="1"/>
  <c r="B1033" i="6"/>
  <c r="H1033" i="6" l="1"/>
  <c r="C1033" i="6"/>
  <c r="D1033" i="6" s="1" a="1"/>
  <c r="D1033" i="6" s="1"/>
  <c r="E1032" i="6"/>
  <c r="F1032" i="6" s="1"/>
  <c r="G1033" i="6" s="1"/>
  <c r="I1033" i="6" s="1"/>
  <c r="B1034" i="6"/>
  <c r="H1034" i="6" l="1"/>
  <c r="C1034" i="6"/>
  <c r="D1034" i="6" s="1" a="1"/>
  <c r="D1034" i="6" s="1"/>
  <c r="E1033" i="6"/>
  <c r="F1033" i="6" s="1"/>
  <c r="G1034" i="6" s="1"/>
  <c r="I1034" i="6" s="1"/>
  <c r="B1035" i="6"/>
  <c r="H1035" i="6" l="1"/>
  <c r="C1035" i="6"/>
  <c r="D1035" i="6" s="1" a="1"/>
  <c r="D1035" i="6" s="1"/>
  <c r="E1034" i="6"/>
  <c r="F1034" i="6" s="1"/>
  <c r="G1035" i="6" s="1"/>
  <c r="I1035" i="6" s="1"/>
  <c r="B1036" i="6"/>
  <c r="H1036" i="6" l="1"/>
  <c r="C1036" i="6"/>
  <c r="D1036" i="6" s="1" a="1"/>
  <c r="D1036" i="6" s="1"/>
  <c r="E1035" i="6"/>
  <c r="F1035" i="6" s="1"/>
  <c r="G1036" i="6" s="1"/>
  <c r="I1036" i="6" s="1"/>
  <c r="B1037" i="6"/>
  <c r="H1037" i="6" l="1"/>
  <c r="C1037" i="6"/>
  <c r="D1037" i="6" s="1" a="1"/>
  <c r="D1037" i="6" s="1"/>
  <c r="E1036" i="6"/>
  <c r="F1036" i="6" s="1"/>
  <c r="G1037" i="6" s="1"/>
  <c r="I1037" i="6" s="1"/>
  <c r="B1038" i="6"/>
  <c r="H1038" i="6" l="1"/>
  <c r="C1038" i="6"/>
  <c r="D1038" i="6" s="1" a="1"/>
  <c r="D1038" i="6" s="1"/>
  <c r="E1037" i="6"/>
  <c r="F1037" i="6" s="1"/>
  <c r="G1038" i="6" s="1"/>
  <c r="I1038" i="6" s="1"/>
  <c r="B1039" i="6"/>
  <c r="H1039" i="6" l="1"/>
  <c r="C1039" i="6"/>
  <c r="D1039" i="6" s="1" a="1"/>
  <c r="D1039" i="6" s="1"/>
  <c r="E1038" i="6"/>
  <c r="F1038" i="6" s="1"/>
  <c r="G1039" i="6" s="1"/>
  <c r="I1039" i="6" s="1"/>
  <c r="B1040" i="6"/>
  <c r="H1040" i="6" l="1"/>
  <c r="C1040" i="6"/>
  <c r="D1040" i="6" s="1" a="1"/>
  <c r="D1040" i="6" s="1"/>
  <c r="E1039" i="6"/>
  <c r="F1039" i="6" s="1"/>
  <c r="G1040" i="6" s="1"/>
  <c r="I1040" i="6" s="1"/>
  <c r="B1041" i="6"/>
  <c r="H1041" i="6" l="1"/>
  <c r="C1041" i="6"/>
  <c r="D1041" i="6" s="1" a="1"/>
  <c r="D1041" i="6" s="1"/>
  <c r="E1040" i="6"/>
  <c r="F1040" i="6" s="1"/>
  <c r="G1041" i="6" s="1"/>
  <c r="I1041" i="6" s="1"/>
  <c r="B1042" i="6"/>
  <c r="H1042" i="6" l="1"/>
  <c r="C1042" i="6"/>
  <c r="D1042" i="6" s="1" a="1"/>
  <c r="D1042" i="6" s="1"/>
  <c r="E1041" i="6"/>
  <c r="F1041" i="6" s="1"/>
  <c r="G1042" i="6" s="1"/>
  <c r="I1042" i="6" s="1"/>
  <c r="B1043" i="6"/>
  <c r="H1043" i="6" l="1"/>
  <c r="C1043" i="6"/>
  <c r="D1043" i="6" s="1" a="1"/>
  <c r="D1043" i="6" s="1"/>
  <c r="E1042" i="6"/>
  <c r="F1042" i="6" s="1"/>
  <c r="G1043" i="6" s="1"/>
  <c r="I1043" i="6" s="1"/>
  <c r="B1044" i="6"/>
  <c r="H1044" i="6" l="1"/>
  <c r="C1044" i="6"/>
  <c r="D1044" i="6" s="1" a="1"/>
  <c r="D1044" i="6" s="1"/>
  <c r="E1043" i="6"/>
  <c r="F1043" i="6" s="1"/>
  <c r="G1044" i="6" s="1"/>
  <c r="I1044" i="6" s="1"/>
  <c r="B1045" i="6"/>
  <c r="H1045" i="6" l="1"/>
  <c r="C1045" i="6"/>
  <c r="D1045" i="6" s="1" a="1"/>
  <c r="D1045" i="6" s="1"/>
  <c r="E1044" i="6"/>
  <c r="F1044" i="6" s="1"/>
  <c r="G1045" i="6" s="1"/>
  <c r="I1045" i="6" s="1"/>
  <c r="B1046" i="6"/>
  <c r="H1046" i="6" l="1"/>
  <c r="C1046" i="6"/>
  <c r="D1046" i="6" s="1" a="1"/>
  <c r="D1046" i="6" s="1"/>
  <c r="E1045" i="6"/>
  <c r="F1045" i="6" s="1"/>
  <c r="G1046" i="6" s="1"/>
  <c r="I1046" i="6" s="1"/>
  <c r="B1047" i="6"/>
  <c r="H1047" i="6" l="1"/>
  <c r="C1047" i="6"/>
  <c r="D1047" i="6" s="1" a="1"/>
  <c r="D1047" i="6" s="1"/>
  <c r="E1046" i="6"/>
  <c r="F1046" i="6" s="1"/>
  <c r="G1047" i="6" s="1"/>
  <c r="I1047" i="6" s="1"/>
  <c r="B1048" i="6"/>
  <c r="H1048" i="6" l="1"/>
  <c r="C1048" i="6"/>
  <c r="D1048" i="6" s="1" a="1"/>
  <c r="D1048" i="6" s="1"/>
  <c r="E1047" i="6"/>
  <c r="F1047" i="6" s="1"/>
  <c r="G1048" i="6" s="1"/>
  <c r="I1048" i="6" s="1"/>
  <c r="B1049" i="6"/>
  <c r="H1049" i="6" l="1"/>
  <c r="C1049" i="6"/>
  <c r="D1049" i="6" s="1" a="1"/>
  <c r="D1049" i="6" s="1"/>
  <c r="E1048" i="6"/>
  <c r="F1048" i="6" s="1"/>
  <c r="G1049" i="6" s="1"/>
  <c r="I1049" i="6" s="1"/>
  <c r="B1050" i="6"/>
  <c r="H1050" i="6" l="1"/>
  <c r="C1050" i="6"/>
  <c r="D1050" i="6" s="1" a="1"/>
  <c r="D1050" i="6" s="1"/>
  <c r="E1049" i="6"/>
  <c r="F1049" i="6" s="1"/>
  <c r="G1050" i="6" s="1"/>
  <c r="I1050" i="6" s="1"/>
  <c r="B1051" i="6"/>
  <c r="H1051" i="6" l="1"/>
  <c r="C1051" i="6"/>
  <c r="D1051" i="6" s="1" a="1"/>
  <c r="D1051" i="6" s="1"/>
  <c r="E1050" i="6"/>
  <c r="F1050" i="6" s="1"/>
  <c r="G1051" i="6" s="1"/>
  <c r="I1051" i="6" s="1"/>
  <c r="B1052" i="6"/>
  <c r="H1052" i="6" l="1"/>
  <c r="C1052" i="6"/>
  <c r="D1052" i="6" s="1" a="1"/>
  <c r="D1052" i="6" s="1"/>
  <c r="E1051" i="6"/>
  <c r="F1051" i="6" s="1"/>
  <c r="G1052" i="6" s="1"/>
  <c r="I1052" i="6" s="1"/>
  <c r="B1053" i="6"/>
  <c r="H1053" i="6" l="1"/>
  <c r="C1053" i="6"/>
  <c r="D1053" i="6" s="1" a="1"/>
  <c r="D1053" i="6" s="1"/>
  <c r="E1052" i="6"/>
  <c r="F1052" i="6" s="1"/>
  <c r="G1053" i="6" s="1"/>
  <c r="I1053" i="6" s="1"/>
  <c r="B1054" i="6"/>
  <c r="H1054" i="6" l="1"/>
  <c r="C1054" i="6"/>
  <c r="D1054" i="6" s="1" a="1"/>
  <c r="D1054" i="6" s="1"/>
  <c r="E1053" i="6"/>
  <c r="F1053" i="6" s="1"/>
  <c r="G1054" i="6" s="1"/>
  <c r="I1054" i="6" s="1"/>
  <c r="B1055" i="6"/>
  <c r="H1055" i="6" l="1"/>
  <c r="C1055" i="6"/>
  <c r="D1055" i="6" s="1" a="1"/>
  <c r="D1055" i="6" s="1"/>
  <c r="E1054" i="6"/>
  <c r="F1054" i="6" s="1"/>
  <c r="G1055" i="6" s="1"/>
  <c r="I1055" i="6" s="1"/>
  <c r="B1056" i="6"/>
  <c r="H1056" i="6" l="1"/>
  <c r="C1056" i="6"/>
  <c r="D1056" i="6" s="1" a="1"/>
  <c r="D1056" i="6" s="1"/>
  <c r="E1055" i="6"/>
  <c r="F1055" i="6" s="1"/>
  <c r="G1056" i="6" s="1"/>
  <c r="I1056" i="6" s="1"/>
  <c r="B1057" i="6"/>
  <c r="H1057" i="6" l="1"/>
  <c r="C1057" i="6"/>
  <c r="D1057" i="6" s="1" a="1"/>
  <c r="D1057" i="6" s="1"/>
  <c r="E1056" i="6"/>
  <c r="F1056" i="6" s="1"/>
  <c r="G1057" i="6" s="1"/>
  <c r="I1057" i="6" s="1"/>
  <c r="B1058" i="6"/>
  <c r="H1058" i="6" l="1"/>
  <c r="C1058" i="6"/>
  <c r="D1058" i="6" s="1" a="1"/>
  <c r="D1058" i="6" s="1"/>
  <c r="E1057" i="6"/>
  <c r="F1057" i="6" s="1"/>
  <c r="G1058" i="6" s="1"/>
  <c r="I1058" i="6" s="1"/>
  <c r="B1059" i="6"/>
  <c r="H1059" i="6" l="1"/>
  <c r="C1059" i="6"/>
  <c r="D1059" i="6" s="1" a="1"/>
  <c r="D1059" i="6" s="1"/>
  <c r="E1058" i="6"/>
  <c r="F1058" i="6" s="1"/>
  <c r="G1059" i="6" s="1"/>
  <c r="I1059" i="6" s="1"/>
  <c r="B1060" i="6"/>
  <c r="H1060" i="6" l="1"/>
  <c r="C1060" i="6"/>
  <c r="D1060" i="6" s="1" a="1"/>
  <c r="D1060" i="6" s="1"/>
  <c r="E1059" i="6"/>
  <c r="F1059" i="6" s="1"/>
  <c r="G1060" i="6" s="1"/>
  <c r="I1060" i="6" s="1"/>
  <c r="B1061" i="6"/>
  <c r="H1061" i="6" l="1"/>
  <c r="C1061" i="6"/>
  <c r="D1061" i="6" s="1" a="1"/>
  <c r="D1061" i="6" s="1"/>
  <c r="E1060" i="6"/>
  <c r="F1060" i="6" s="1"/>
  <c r="G1061" i="6" s="1"/>
  <c r="I1061" i="6" s="1"/>
  <c r="B1062" i="6"/>
  <c r="H1062" i="6" l="1"/>
  <c r="C1062" i="6"/>
  <c r="D1062" i="6" s="1" a="1"/>
  <c r="D1062" i="6" s="1"/>
  <c r="E1061" i="6"/>
  <c r="F1061" i="6" s="1"/>
  <c r="G1062" i="6" s="1"/>
  <c r="I1062" i="6" s="1"/>
  <c r="B1063" i="6"/>
  <c r="H1063" i="6" l="1"/>
  <c r="C1063" i="6"/>
  <c r="D1063" i="6" s="1" a="1"/>
  <c r="D1063" i="6" s="1"/>
  <c r="E1062" i="6"/>
  <c r="F1062" i="6" s="1"/>
  <c r="G1063" i="6" s="1"/>
  <c r="I1063" i="6" s="1"/>
  <c r="B1064" i="6"/>
  <c r="H1064" i="6" l="1"/>
  <c r="C1064" i="6"/>
  <c r="D1064" i="6" s="1" a="1"/>
  <c r="D1064" i="6" s="1"/>
  <c r="E1063" i="6"/>
  <c r="F1063" i="6" s="1"/>
  <c r="G1064" i="6" s="1"/>
  <c r="I1064" i="6" s="1"/>
  <c r="B1065" i="6"/>
  <c r="H1065" i="6" l="1"/>
  <c r="C1065" i="6"/>
  <c r="D1065" i="6" s="1" a="1"/>
  <c r="D1065" i="6" s="1"/>
  <c r="E1064" i="6"/>
  <c r="F1064" i="6" s="1"/>
  <c r="G1065" i="6" s="1"/>
  <c r="I1065" i="6" s="1"/>
  <c r="B1066" i="6"/>
  <c r="H1066" i="6" l="1"/>
  <c r="C1066" i="6"/>
  <c r="D1066" i="6" s="1" a="1"/>
  <c r="D1066" i="6" s="1"/>
  <c r="E1065" i="6"/>
  <c r="F1065" i="6" s="1"/>
  <c r="G1066" i="6" s="1"/>
  <c r="I1066" i="6" s="1"/>
  <c r="B1067" i="6"/>
  <c r="H1067" i="6" l="1"/>
  <c r="C1067" i="6"/>
  <c r="D1067" i="6" s="1" a="1"/>
  <c r="D1067" i="6" s="1"/>
  <c r="E1066" i="6"/>
  <c r="F1066" i="6" s="1"/>
  <c r="G1067" i="6" s="1"/>
  <c r="I1067" i="6" s="1"/>
  <c r="B1068" i="6"/>
  <c r="H1068" i="6" l="1"/>
  <c r="C1068" i="6"/>
  <c r="D1068" i="6" s="1" a="1"/>
  <c r="D1068" i="6" s="1"/>
  <c r="E1067" i="6"/>
  <c r="F1067" i="6" s="1"/>
  <c r="G1068" i="6" s="1"/>
  <c r="I1068" i="6" s="1"/>
  <c r="B1069" i="6"/>
  <c r="H1069" i="6" l="1"/>
  <c r="C1069" i="6"/>
  <c r="D1069" i="6" s="1" a="1"/>
  <c r="D1069" i="6" s="1"/>
  <c r="E1068" i="6"/>
  <c r="F1068" i="6" s="1"/>
  <c r="G1069" i="6" s="1"/>
  <c r="I1069" i="6" s="1"/>
  <c r="B1070" i="6"/>
  <c r="H1070" i="6" l="1"/>
  <c r="C1070" i="6"/>
  <c r="D1070" i="6" s="1" a="1"/>
  <c r="D1070" i="6" s="1"/>
  <c r="E1069" i="6"/>
  <c r="F1069" i="6" s="1"/>
  <c r="G1070" i="6" s="1"/>
  <c r="I1070" i="6" s="1"/>
  <c r="B1071" i="6"/>
  <c r="H1071" i="6" l="1"/>
  <c r="C1071" i="6"/>
  <c r="D1071" i="6" s="1" a="1"/>
  <c r="D1071" i="6" s="1"/>
  <c r="E1070" i="6"/>
  <c r="F1070" i="6" s="1"/>
  <c r="G1071" i="6" s="1"/>
  <c r="I1071" i="6" s="1"/>
  <c r="B1072" i="6"/>
  <c r="H1072" i="6" l="1"/>
  <c r="C1072" i="6"/>
  <c r="D1072" i="6" s="1" a="1"/>
  <c r="D1072" i="6" s="1"/>
  <c r="E1071" i="6"/>
  <c r="F1071" i="6" s="1"/>
  <c r="G1072" i="6" s="1"/>
  <c r="I1072" i="6" s="1"/>
  <c r="B1073" i="6"/>
  <c r="H1073" i="6" l="1"/>
  <c r="C1073" i="6"/>
  <c r="D1073" i="6" s="1" a="1"/>
  <c r="D1073" i="6" s="1"/>
  <c r="E1072" i="6"/>
  <c r="F1072" i="6" s="1"/>
  <c r="G1073" i="6" s="1"/>
  <c r="I1073" i="6" s="1"/>
  <c r="B1074" i="6"/>
  <c r="H1074" i="6" l="1"/>
  <c r="C1074" i="6"/>
  <c r="D1074" i="6" s="1" a="1"/>
  <c r="D1074" i="6" s="1"/>
  <c r="E1073" i="6"/>
  <c r="F1073" i="6" s="1"/>
  <c r="G1074" i="6" s="1"/>
  <c r="I1074" i="6" s="1"/>
  <c r="B1075" i="6"/>
  <c r="H1075" i="6" l="1"/>
  <c r="C1075" i="6"/>
  <c r="D1075" i="6" s="1" a="1"/>
  <c r="D1075" i="6" s="1"/>
  <c r="E1074" i="6"/>
  <c r="F1074" i="6" s="1"/>
  <c r="G1075" i="6" s="1"/>
  <c r="I1075" i="6" s="1"/>
  <c r="B1076" i="6"/>
  <c r="H1076" i="6" l="1"/>
  <c r="C1076" i="6"/>
  <c r="D1076" i="6" s="1" a="1"/>
  <c r="D1076" i="6" s="1"/>
  <c r="E1075" i="6"/>
  <c r="F1075" i="6" s="1"/>
  <c r="G1076" i="6" s="1"/>
  <c r="I1076" i="6" s="1"/>
  <c r="B1077" i="6"/>
  <c r="H1077" i="6" l="1"/>
  <c r="C1077" i="6"/>
  <c r="D1077" i="6" s="1" a="1"/>
  <c r="D1077" i="6" s="1"/>
  <c r="E1076" i="6"/>
  <c r="F1076" i="6" s="1"/>
  <c r="G1077" i="6" s="1"/>
  <c r="I1077" i="6" s="1"/>
  <c r="B1078" i="6"/>
  <c r="H1078" i="6" l="1"/>
  <c r="C1078" i="6"/>
  <c r="D1078" i="6" s="1" a="1"/>
  <c r="D1078" i="6" s="1"/>
  <c r="E1077" i="6"/>
  <c r="F1077" i="6" s="1"/>
  <c r="G1078" i="6" s="1"/>
  <c r="I1078" i="6" s="1"/>
  <c r="B1079" i="6"/>
  <c r="H1079" i="6" l="1"/>
  <c r="C1079" i="6"/>
  <c r="D1079" i="6" s="1" a="1"/>
  <c r="D1079" i="6" s="1"/>
  <c r="E1078" i="6"/>
  <c r="F1078" i="6" s="1"/>
  <c r="G1079" i="6" s="1"/>
  <c r="I1079" i="6" s="1"/>
  <c r="B1080" i="6"/>
  <c r="H1080" i="6" l="1"/>
  <c r="C1080" i="6"/>
  <c r="D1080" i="6" s="1" a="1"/>
  <c r="D1080" i="6" s="1"/>
  <c r="E1079" i="6"/>
  <c r="F1079" i="6" s="1"/>
  <c r="G1080" i="6" s="1"/>
  <c r="I1080" i="6" s="1"/>
  <c r="B1081" i="6"/>
  <c r="H1081" i="6" l="1"/>
  <c r="C1081" i="6"/>
  <c r="D1081" i="6" s="1" a="1"/>
  <c r="D1081" i="6" s="1"/>
  <c r="E1080" i="6"/>
  <c r="F1080" i="6" s="1"/>
  <c r="G1081" i="6" s="1"/>
  <c r="I1081" i="6" s="1"/>
  <c r="B1082" i="6"/>
  <c r="H1082" i="6" l="1"/>
  <c r="C1082" i="6"/>
  <c r="D1082" i="6" s="1" a="1"/>
  <c r="D1082" i="6" s="1"/>
  <c r="E1081" i="6"/>
  <c r="F1081" i="6" s="1"/>
  <c r="G1082" i="6" s="1"/>
  <c r="I1082" i="6" s="1"/>
  <c r="B1083" i="6"/>
  <c r="H1083" i="6" l="1"/>
  <c r="C1083" i="6"/>
  <c r="D1083" i="6" s="1" a="1"/>
  <c r="D1083" i="6" s="1"/>
  <c r="E1082" i="6"/>
  <c r="F1082" i="6" s="1"/>
  <c r="G1083" i="6" s="1"/>
  <c r="I1083" i="6" s="1"/>
  <c r="B1084" i="6"/>
  <c r="H1084" i="6" l="1"/>
  <c r="C1084" i="6"/>
  <c r="D1084" i="6" s="1" a="1"/>
  <c r="D1084" i="6" s="1"/>
  <c r="E1083" i="6"/>
  <c r="F1083" i="6" s="1"/>
  <c r="G1084" i="6" s="1"/>
  <c r="I1084" i="6" s="1"/>
  <c r="B1085" i="6"/>
  <c r="H1085" i="6" l="1"/>
  <c r="C1085" i="6"/>
  <c r="D1085" i="6" s="1" a="1"/>
  <c r="D1085" i="6" s="1"/>
  <c r="E1084" i="6"/>
  <c r="F1084" i="6" s="1"/>
  <c r="G1085" i="6" s="1"/>
  <c r="I1085" i="6" s="1"/>
  <c r="B1086" i="6"/>
  <c r="H1086" i="6" l="1"/>
  <c r="C1086" i="6"/>
  <c r="D1086" i="6" s="1" a="1"/>
  <c r="D1086" i="6" s="1"/>
  <c r="E1085" i="6"/>
  <c r="F1085" i="6" s="1"/>
  <c r="G1086" i="6" s="1"/>
  <c r="I1086" i="6" s="1"/>
  <c r="B1087" i="6"/>
  <c r="H1087" i="6" l="1"/>
  <c r="C1087" i="6"/>
  <c r="D1087" i="6" s="1" a="1"/>
  <c r="D1087" i="6" s="1"/>
  <c r="E1086" i="6"/>
  <c r="F1086" i="6" s="1"/>
  <c r="G1087" i="6" s="1"/>
  <c r="I1087" i="6" s="1"/>
  <c r="B1088" i="6"/>
  <c r="H1088" i="6" l="1"/>
  <c r="C1088" i="6"/>
  <c r="D1088" i="6" s="1" a="1"/>
  <c r="D1088" i="6" s="1"/>
  <c r="E1087" i="6"/>
  <c r="F1087" i="6" s="1"/>
  <c r="G1088" i="6" s="1"/>
  <c r="I1088" i="6" s="1"/>
  <c r="B1089" i="6"/>
  <c r="C1089" i="6" s="1"/>
  <c r="D1089" i="6" s="1" a="1"/>
  <c r="D1089" i="6" s="1"/>
  <c r="H1089" i="6" l="1"/>
  <c r="B1090" i="6"/>
  <c r="C1090" i="6" s="1"/>
  <c r="D1090" i="6" s="1" a="1"/>
  <c r="D1090" i="6" s="1"/>
  <c r="E1088" i="6"/>
  <c r="F1088" i="6" s="1"/>
  <c r="G1089" i="6" s="1"/>
  <c r="I1089" i="6" s="1"/>
  <c r="B1091" i="6" l="1"/>
  <c r="C1091" i="6" s="1"/>
  <c r="D1091" i="6" s="1" a="1"/>
  <c r="D1091" i="6" s="1"/>
  <c r="H1090" i="6"/>
  <c r="I5" i="6" a="1"/>
  <c r="I5" i="6" s="1"/>
  <c r="E1089" i="6"/>
  <c r="F1089" i="6" s="1"/>
  <c r="G1090" i="6" s="1"/>
  <c r="I1090" i="6" s="1"/>
  <c r="I4" i="6"/>
  <c r="E1090" i="6" l="1"/>
  <c r="F1090" i="6" s="1"/>
  <c r="G1091" i="6" s="1"/>
  <c r="B1092" i="6"/>
  <c r="C1092" i="6" s="1"/>
  <c r="D1092" i="6" s="1" a="1"/>
  <c r="D1092" i="6" s="1"/>
  <c r="H1091" i="6"/>
  <c r="C19" i="5" a="1"/>
  <c r="C19" i="5" s="1"/>
  <c r="I1091" i="6" l="1"/>
  <c r="E1091" i="6"/>
  <c r="F1091" i="6" s="1"/>
  <c r="G1092" i="6" s="1"/>
  <c r="B1093" i="6"/>
  <c r="C1093" i="6" s="1"/>
  <c r="D1093" i="6" s="1" a="1"/>
  <c r="D1093" i="6" s="1"/>
  <c r="H1092" i="6"/>
  <c r="I1092" i="6" l="1"/>
  <c r="E1092" i="6"/>
  <c r="F1092" i="6" s="1"/>
  <c r="G1093" i="6" s="1"/>
  <c r="B1094" i="6"/>
  <c r="C1094" i="6" s="1"/>
  <c r="D1094" i="6" s="1" a="1"/>
  <c r="D1094" i="6" s="1"/>
  <c r="H1093" i="6"/>
  <c r="I1093" i="6" l="1"/>
  <c r="E1093" i="6"/>
  <c r="F1093" i="6" s="1"/>
  <c r="G1094" i="6" s="1"/>
  <c r="B1095" i="6"/>
  <c r="C1095" i="6" s="1"/>
  <c r="D1095" i="6" s="1" a="1"/>
  <c r="D1095" i="6" s="1"/>
  <c r="H1094" i="6"/>
  <c r="I1094" i="6" l="1"/>
  <c r="E1094" i="6"/>
  <c r="F1094" i="6" s="1"/>
  <c r="G1095" i="6" s="1"/>
  <c r="B1096" i="6"/>
  <c r="C1096" i="6" s="1"/>
  <c r="D1096" i="6" s="1" a="1"/>
  <c r="D1096" i="6" s="1"/>
  <c r="H1095" i="6"/>
  <c r="I1095" i="6" l="1"/>
  <c r="E1095" i="6"/>
  <c r="F1095" i="6" s="1"/>
  <c r="B1097" i="6"/>
  <c r="C1097" i="6" s="1"/>
  <c r="D1097" i="6" s="1" a="1"/>
  <c r="D1097" i="6" s="1"/>
  <c r="H1096" i="6"/>
  <c r="G1096" i="6"/>
  <c r="I1096" i="6" s="1"/>
  <c r="E1096" i="6" l="1"/>
  <c r="F1096" i="6" s="1"/>
  <c r="G1097" i="6" s="1"/>
  <c r="B1098" i="6"/>
  <c r="C1098" i="6" s="1"/>
  <c r="D1098" i="6" s="1" a="1"/>
  <c r="D1098" i="6" s="1"/>
  <c r="H1097" i="6"/>
  <c r="I1097" i="6" l="1"/>
  <c r="E1097" i="6"/>
  <c r="F1097" i="6" s="1"/>
  <c r="G1098" i="6" s="1"/>
  <c r="B1099" i="6"/>
  <c r="C1099" i="6" s="1"/>
  <c r="D1099" i="6" s="1" a="1"/>
  <c r="D1099" i="6" s="1"/>
  <c r="H1098" i="6"/>
  <c r="I1098" i="6" l="1"/>
  <c r="E1098" i="6"/>
  <c r="F1098" i="6" s="1"/>
  <c r="G1099" i="6" s="1"/>
  <c r="B1100" i="6"/>
  <c r="C1100" i="6" s="1"/>
  <c r="D1100" i="6" s="1" a="1"/>
  <c r="D1100" i="6" s="1"/>
  <c r="H1099" i="6"/>
  <c r="I1099" i="6" l="1"/>
  <c r="E1099" i="6"/>
  <c r="F1099" i="6" s="1"/>
  <c r="B1101" i="6"/>
  <c r="C1101" i="6" s="1"/>
  <c r="D1101" i="6" s="1" a="1"/>
  <c r="D1101" i="6" s="1"/>
  <c r="H1100" i="6"/>
  <c r="G1100" i="6"/>
  <c r="I1100" i="6" s="1"/>
  <c r="E1100" i="6" l="1"/>
  <c r="F1100" i="6" s="1"/>
  <c r="G1101" i="6" s="1"/>
  <c r="B1102" i="6"/>
  <c r="C1102" i="6" s="1"/>
  <c r="D1102" i="6" s="1" a="1"/>
  <c r="D1102" i="6" s="1"/>
  <c r="H1101" i="6"/>
  <c r="I1101" i="6" l="1"/>
  <c r="E1101" i="6"/>
  <c r="F1101" i="6" s="1"/>
  <c r="G1102" i="6" s="1"/>
  <c r="B1103" i="6"/>
  <c r="C1103" i="6" s="1"/>
  <c r="D1103" i="6" s="1" a="1"/>
  <c r="D1103" i="6" s="1"/>
  <c r="H1102" i="6"/>
  <c r="I1102" i="6" l="1"/>
  <c r="E1102" i="6"/>
  <c r="F1102" i="6" s="1"/>
  <c r="G1103" i="6" s="1"/>
  <c r="B1104" i="6"/>
  <c r="C1104" i="6" s="1"/>
  <c r="D1104" i="6" s="1" a="1"/>
  <c r="D1104" i="6" s="1"/>
  <c r="H1103" i="6"/>
  <c r="I1103" i="6" l="1"/>
  <c r="E1103" i="6"/>
  <c r="F1103" i="6" s="1"/>
  <c r="G1104" i="6" s="1"/>
  <c r="B1105" i="6"/>
  <c r="C1105" i="6" s="1"/>
  <c r="D1105" i="6" s="1" a="1"/>
  <c r="D1105" i="6" s="1"/>
  <c r="H1104" i="6"/>
  <c r="I1104" i="6" l="1"/>
  <c r="E1104" i="6"/>
  <c r="F1104" i="6" s="1"/>
  <c r="G1105" i="6" s="1"/>
  <c r="B1106" i="6"/>
  <c r="C1106" i="6" s="1"/>
  <c r="D1106" i="6" s="1" a="1"/>
  <c r="D1106" i="6" s="1"/>
  <c r="H1105" i="6"/>
  <c r="I1105" i="6" l="1"/>
  <c r="E1105" i="6"/>
  <c r="F1105" i="6" s="1"/>
  <c r="G1106" i="6" s="1"/>
  <c r="B1107" i="6"/>
  <c r="C1107" i="6" s="1"/>
  <c r="D1107" i="6" s="1" a="1"/>
  <c r="D1107" i="6" s="1"/>
  <c r="H1106" i="6"/>
  <c r="I1106" i="6" l="1"/>
  <c r="E1106" i="6"/>
  <c r="F1106" i="6" s="1"/>
  <c r="G1107" i="6" s="1"/>
  <c r="B1108" i="6"/>
  <c r="C1108" i="6" s="1"/>
  <c r="D1108" i="6" s="1" a="1"/>
  <c r="D1108" i="6" s="1"/>
  <c r="H1107" i="6"/>
  <c r="I1107" i="6" l="1"/>
  <c r="E1107" i="6"/>
  <c r="F1107" i="6" s="1"/>
  <c r="G1108" i="6" s="1"/>
  <c r="B1109" i="6"/>
  <c r="C1109" i="6" s="1"/>
  <c r="D1109" i="6" s="1" a="1"/>
  <c r="D1109" i="6" s="1"/>
  <c r="H1108" i="6"/>
  <c r="I1108" i="6" l="1"/>
  <c r="E1108" i="6"/>
  <c r="F1108" i="6" s="1"/>
  <c r="G1109" i="6" s="1"/>
  <c r="B1110" i="6"/>
  <c r="C1110" i="6" s="1"/>
  <c r="D1110" i="6" s="1" a="1"/>
  <c r="D1110" i="6" s="1"/>
  <c r="H1109" i="6"/>
  <c r="I1109" i="6" l="1"/>
  <c r="E1109" i="6"/>
  <c r="F1109" i="6" s="1"/>
  <c r="G1110" i="6" s="1"/>
  <c r="B1111" i="6"/>
  <c r="C1111" i="6" s="1"/>
  <c r="D1111" i="6" s="1" a="1"/>
  <c r="D1111" i="6" s="1"/>
  <c r="H1110" i="6"/>
  <c r="I1110" i="6" l="1"/>
  <c r="E1110" i="6"/>
  <c r="F1110" i="6" s="1"/>
  <c r="G1111" i="6" s="1"/>
  <c r="B1112" i="6"/>
  <c r="C1112" i="6" s="1"/>
  <c r="D1112" i="6" s="1" a="1"/>
  <c r="D1112" i="6" s="1"/>
  <c r="H1111" i="6"/>
  <c r="I1111" i="6" l="1"/>
  <c r="E1111" i="6"/>
  <c r="F1111" i="6" s="1"/>
  <c r="G1112" i="6" s="1"/>
  <c r="B1113" i="6"/>
  <c r="C1113" i="6" s="1"/>
  <c r="D1113" i="6" s="1" a="1"/>
  <c r="D1113" i="6" s="1"/>
  <c r="H1112" i="6"/>
  <c r="I1112" i="6" l="1"/>
  <c r="E1112" i="6"/>
  <c r="F1112" i="6" s="1"/>
  <c r="G1113" i="6" s="1"/>
  <c r="H1113" i="6"/>
  <c r="B1114" i="6"/>
  <c r="C1114" i="6" s="1"/>
  <c r="D1114" i="6" s="1" a="1"/>
  <c r="D1114" i="6" s="1"/>
  <c r="I1113" i="6" l="1"/>
  <c r="E1113" i="6"/>
  <c r="F1113" i="6" s="1"/>
  <c r="B1115" i="6"/>
  <c r="C1115" i="6" s="1"/>
  <c r="D1115" i="6" s="1" a="1"/>
  <c r="D1115" i="6" s="1"/>
  <c r="H1114" i="6"/>
  <c r="G1114" i="6"/>
  <c r="I1114" i="6" s="1"/>
  <c r="E1114" i="6" l="1"/>
  <c r="F1114" i="6" s="1"/>
  <c r="G1115" i="6" s="1"/>
  <c r="B1116" i="6"/>
  <c r="C1116" i="6" s="1"/>
  <c r="D1116" i="6" s="1" a="1"/>
  <c r="D1116" i="6" s="1"/>
  <c r="H1115" i="6"/>
  <c r="I1115" i="6" l="1"/>
  <c r="E1115" i="6"/>
  <c r="F1115" i="6" s="1"/>
  <c r="G1116" i="6" s="1"/>
  <c r="B1117" i="6"/>
  <c r="C1117" i="6" s="1"/>
  <c r="D1117" i="6" s="1" a="1"/>
  <c r="D1117" i="6" s="1"/>
  <c r="H1116" i="6"/>
  <c r="I1116" i="6" l="1"/>
  <c r="E1116" i="6"/>
  <c r="F1116" i="6" s="1"/>
  <c r="G1117" i="6" s="1"/>
  <c r="B1118" i="6"/>
  <c r="C1118" i="6" s="1"/>
  <c r="D1118" i="6" s="1" a="1"/>
  <c r="D1118" i="6" s="1"/>
  <c r="H1117" i="6"/>
  <c r="I1117" i="6" l="1"/>
  <c r="E1117" i="6"/>
  <c r="F1117" i="6" s="1"/>
  <c r="G1118" i="6" s="1"/>
  <c r="B1119" i="6"/>
  <c r="C1119" i="6" s="1"/>
  <c r="D1119" i="6" s="1" a="1"/>
  <c r="D1119" i="6" s="1"/>
  <c r="H1118" i="6"/>
  <c r="I1118" i="6" l="1"/>
  <c r="E1118" i="6"/>
  <c r="F1118" i="6" s="1"/>
  <c r="G1119" i="6" s="1"/>
  <c r="B1120" i="6"/>
  <c r="C1120" i="6" s="1"/>
  <c r="D1120" i="6" s="1" a="1"/>
  <c r="D1120" i="6" s="1"/>
  <c r="H1119" i="6"/>
  <c r="I1119" i="6" l="1"/>
  <c r="E1119" i="6"/>
  <c r="F1119" i="6" s="1"/>
  <c r="G1120" i="6" s="1"/>
  <c r="B1121" i="6"/>
  <c r="C1121" i="6" s="1"/>
  <c r="D1121" i="6" s="1" a="1"/>
  <c r="D1121" i="6" s="1"/>
  <c r="H1120" i="6"/>
  <c r="I1120" i="6" l="1"/>
  <c r="E1120" i="6"/>
  <c r="F1120" i="6" s="1"/>
  <c r="G1121" i="6" s="1"/>
  <c r="B1122" i="6"/>
  <c r="C1122" i="6" s="1"/>
  <c r="D1122" i="6" s="1" a="1"/>
  <c r="D1122" i="6" s="1"/>
  <c r="H1121" i="6"/>
  <c r="I1121" i="6" l="1"/>
  <c r="E1121" i="6"/>
  <c r="F1121" i="6" s="1"/>
  <c r="G1122" i="6" s="1"/>
  <c r="B1123" i="6"/>
  <c r="C1123" i="6" s="1"/>
  <c r="D1123" i="6" s="1" a="1"/>
  <c r="D1123" i="6" s="1"/>
  <c r="H1122" i="6"/>
  <c r="I1122" i="6" l="1"/>
  <c r="E1122" i="6"/>
  <c r="F1122" i="6" s="1"/>
  <c r="B1124" i="6"/>
  <c r="C1124" i="6" s="1"/>
  <c r="D1124" i="6" s="1" a="1"/>
  <c r="D1124" i="6" s="1"/>
  <c r="H1123" i="6"/>
  <c r="G1123" i="6"/>
  <c r="I1123" i="6" s="1"/>
  <c r="E1123" i="6" l="1"/>
  <c r="F1123" i="6" s="1"/>
  <c r="G1124" i="6" s="1"/>
  <c r="B1125" i="6"/>
  <c r="C1125" i="6" s="1"/>
  <c r="D1125" i="6" s="1" a="1"/>
  <c r="D1125" i="6" s="1"/>
  <c r="H1124" i="6"/>
  <c r="I1124" i="6" l="1"/>
  <c r="E1124" i="6"/>
  <c r="F1124" i="6" s="1"/>
  <c r="G1125" i="6" s="1"/>
  <c r="B1126" i="6"/>
  <c r="C1126" i="6" s="1"/>
  <c r="D1126" i="6" s="1" a="1"/>
  <c r="D1126" i="6" s="1"/>
  <c r="H1125" i="6"/>
  <c r="I1125" i="6" l="1"/>
  <c r="E1125" i="6"/>
  <c r="F1125" i="6" s="1"/>
  <c r="G1126" i="6" s="1"/>
  <c r="B1127" i="6"/>
  <c r="C1127" i="6" s="1"/>
  <c r="D1127" i="6" s="1" a="1"/>
  <c r="D1127" i="6" s="1"/>
  <c r="H1126" i="6"/>
  <c r="I1126" i="6" l="1"/>
  <c r="E1126" i="6"/>
  <c r="F1126" i="6" s="1"/>
  <c r="G1127" i="6" s="1"/>
  <c r="B1128" i="6"/>
  <c r="C1128" i="6" s="1"/>
  <c r="D1128" i="6" s="1" a="1"/>
  <c r="D1128" i="6" s="1"/>
  <c r="H1127" i="6"/>
  <c r="I1127" i="6" l="1"/>
  <c r="E1127" i="6"/>
  <c r="F1127" i="6" s="1"/>
  <c r="G1128" i="6" s="1"/>
  <c r="B1129" i="6"/>
  <c r="C1129" i="6" s="1"/>
  <c r="D1129" i="6" s="1" a="1"/>
  <c r="D1129" i="6" s="1"/>
  <c r="H1128" i="6"/>
  <c r="I1128" i="6" l="1"/>
  <c r="E1128" i="6"/>
  <c r="F1128" i="6" s="1"/>
  <c r="G1129" i="6" s="1"/>
  <c r="B1130" i="6"/>
  <c r="C1130" i="6" s="1"/>
  <c r="D1130" i="6" s="1" a="1"/>
  <c r="D1130" i="6" s="1"/>
  <c r="H1129" i="6"/>
  <c r="I1129" i="6" l="1"/>
  <c r="E1129" i="6"/>
  <c r="F1129" i="6" s="1"/>
  <c r="G1130" i="6" s="1"/>
  <c r="B1131" i="6"/>
  <c r="C1131" i="6" s="1"/>
  <c r="D1131" i="6" s="1" a="1"/>
  <c r="D1131" i="6" s="1"/>
  <c r="H1130" i="6"/>
  <c r="I1130" i="6" l="1"/>
  <c r="E1130" i="6"/>
  <c r="F1130" i="6" s="1"/>
  <c r="G1131" i="6" s="1"/>
  <c r="B1132" i="6"/>
  <c r="C1132" i="6" s="1"/>
  <c r="D1132" i="6" s="1" a="1"/>
  <c r="D1132" i="6" s="1"/>
  <c r="H1131" i="6"/>
  <c r="I1131" i="6" l="1"/>
  <c r="E1131" i="6"/>
  <c r="F1131" i="6" s="1"/>
  <c r="G1132" i="6" s="1"/>
  <c r="B1133" i="6"/>
  <c r="C1133" i="6" s="1"/>
  <c r="D1133" i="6" s="1" a="1"/>
  <c r="D1133" i="6" s="1"/>
  <c r="H1132" i="6"/>
  <c r="I1132" i="6" l="1"/>
  <c r="E1132" i="6"/>
  <c r="F1132" i="6" s="1"/>
  <c r="G1133" i="6" s="1"/>
  <c r="B1134" i="6"/>
  <c r="C1134" i="6" s="1"/>
  <c r="D1134" i="6" s="1" a="1"/>
  <c r="D1134" i="6" s="1"/>
  <c r="H1133" i="6"/>
  <c r="I1133" i="6" l="1"/>
  <c r="E1133" i="6"/>
  <c r="F1133" i="6" s="1"/>
  <c r="G1134" i="6" s="1"/>
  <c r="B1135" i="6"/>
  <c r="C1135" i="6" s="1"/>
  <c r="D1135" i="6" s="1" a="1"/>
  <c r="D1135" i="6" s="1"/>
  <c r="H1134" i="6"/>
  <c r="I1134" i="6" l="1"/>
  <c r="E1134" i="6"/>
  <c r="F1134" i="6" s="1"/>
  <c r="G1135" i="6" s="1"/>
  <c r="B1136" i="6"/>
  <c r="C1136" i="6" s="1"/>
  <c r="D1136" i="6" s="1" a="1"/>
  <c r="D1136" i="6" s="1"/>
  <c r="H1135" i="6"/>
  <c r="I1135" i="6" l="1"/>
  <c r="E1135" i="6"/>
  <c r="F1135" i="6" s="1"/>
  <c r="G1136" i="6" s="1"/>
  <c r="B1137" i="6"/>
  <c r="C1137" i="6" s="1"/>
  <c r="D1137" i="6" s="1" a="1"/>
  <c r="D1137" i="6" s="1"/>
  <c r="H1136" i="6"/>
  <c r="I1136" i="6" l="1"/>
  <c r="E1136" i="6"/>
  <c r="F1136" i="6" s="1"/>
  <c r="G1137" i="6" s="1"/>
  <c r="B1138" i="6"/>
  <c r="C1138" i="6" s="1"/>
  <c r="D1138" i="6" s="1" a="1"/>
  <c r="D1138" i="6" s="1"/>
  <c r="H1137" i="6"/>
  <c r="I1137" i="6" l="1"/>
  <c r="E1137" i="6"/>
  <c r="F1137" i="6" s="1"/>
  <c r="G1138" i="6" s="1"/>
  <c r="B1139" i="6"/>
  <c r="C1139" i="6" s="1"/>
  <c r="D1139" i="6" s="1" a="1"/>
  <c r="D1139" i="6" s="1"/>
  <c r="H1138" i="6"/>
  <c r="I1138" i="6" l="1"/>
  <c r="E1138" i="6"/>
  <c r="F1138" i="6" s="1"/>
  <c r="G1139" i="6" s="1"/>
  <c r="B1140" i="6"/>
  <c r="C1140" i="6" s="1"/>
  <c r="D1140" i="6" s="1" a="1"/>
  <c r="D1140" i="6" s="1"/>
  <c r="H1139" i="6"/>
  <c r="I1139" i="6" l="1"/>
  <c r="E1139" i="6"/>
  <c r="F1139" i="6" s="1"/>
  <c r="G1140" i="6" s="1"/>
  <c r="B1141" i="6"/>
  <c r="C1141" i="6" s="1"/>
  <c r="D1141" i="6" s="1" a="1"/>
  <c r="D1141" i="6" s="1"/>
  <c r="H1140" i="6"/>
  <c r="I1140" i="6" l="1"/>
  <c r="E1140" i="6"/>
  <c r="F1140" i="6" s="1"/>
  <c r="G1141" i="6" s="1"/>
  <c r="B1142" i="6"/>
  <c r="C1142" i="6" s="1"/>
  <c r="D1142" i="6" s="1" a="1"/>
  <c r="D1142" i="6" s="1"/>
  <c r="H1141" i="6"/>
  <c r="I1141" i="6" l="1"/>
  <c r="E1141" i="6"/>
  <c r="F1141" i="6" s="1"/>
  <c r="G1142" i="6" s="1"/>
  <c r="B1143" i="6"/>
  <c r="C1143" i="6" s="1"/>
  <c r="D1143" i="6" s="1" a="1"/>
  <c r="D1143" i="6" s="1"/>
  <c r="H1142" i="6"/>
  <c r="I1142" i="6" l="1"/>
  <c r="E1142" i="6"/>
  <c r="F1142" i="6" s="1"/>
  <c r="G1143" i="6" s="1"/>
  <c r="B1144" i="6"/>
  <c r="C1144" i="6" s="1"/>
  <c r="D1144" i="6" s="1" a="1"/>
  <c r="D1144" i="6" s="1"/>
  <c r="H1143" i="6"/>
  <c r="I1143" i="6" l="1"/>
  <c r="E1143" i="6"/>
  <c r="F1143" i="6" s="1"/>
  <c r="G1144" i="6" s="1"/>
  <c r="B1145" i="6"/>
  <c r="C1145" i="6" s="1"/>
  <c r="D1145" i="6" s="1" a="1"/>
  <c r="D1145" i="6" s="1"/>
  <c r="H1144" i="6"/>
  <c r="I1144" i="6" l="1"/>
  <c r="E1144" i="6"/>
  <c r="F1144" i="6" s="1"/>
  <c r="G1145" i="6" s="1"/>
  <c r="B1146" i="6"/>
  <c r="C1146" i="6" s="1"/>
  <c r="D1146" i="6" s="1" a="1"/>
  <c r="D1146" i="6" s="1"/>
  <c r="H1145" i="6"/>
  <c r="I1145" i="6" l="1"/>
  <c r="E1145" i="6"/>
  <c r="F1145" i="6" s="1"/>
  <c r="G1146" i="6" s="1"/>
  <c r="B1147" i="6"/>
  <c r="C1147" i="6" s="1"/>
  <c r="D1147" i="6" s="1" a="1"/>
  <c r="D1147" i="6" s="1"/>
  <c r="H1146" i="6"/>
  <c r="I1146" i="6" l="1"/>
  <c r="E1146" i="6"/>
  <c r="F1146" i="6" s="1"/>
  <c r="G1147" i="6" s="1"/>
  <c r="B1148" i="6"/>
  <c r="C1148" i="6" s="1"/>
  <c r="D1148" i="6" s="1" a="1"/>
  <c r="D1148" i="6" s="1"/>
  <c r="H1147" i="6"/>
  <c r="I1147" i="6" l="1"/>
  <c r="E1147" i="6"/>
  <c r="F1147" i="6" s="1"/>
  <c r="G1148" i="6" s="1"/>
  <c r="B1149" i="6"/>
  <c r="C1149" i="6" s="1"/>
  <c r="D1149" i="6" s="1" a="1"/>
  <c r="D1149" i="6" s="1"/>
  <c r="H1148" i="6"/>
  <c r="I1148" i="6" l="1"/>
  <c r="E1148" i="6"/>
  <c r="F1148" i="6" s="1"/>
  <c r="G1149" i="6" s="1"/>
  <c r="B1150" i="6"/>
  <c r="C1150" i="6" s="1"/>
  <c r="D1150" i="6" s="1" a="1"/>
  <c r="D1150" i="6" s="1"/>
  <c r="H1149" i="6"/>
  <c r="I1149" i="6" l="1"/>
  <c r="E1149" i="6"/>
  <c r="F1149" i="6" s="1"/>
  <c r="G1150" i="6" s="1"/>
  <c r="B1151" i="6"/>
  <c r="C1151" i="6" s="1"/>
  <c r="D1151" i="6" s="1" a="1"/>
  <c r="D1151" i="6" s="1"/>
  <c r="H1150" i="6"/>
  <c r="I1150" i="6" l="1"/>
  <c r="E1150" i="6"/>
  <c r="F1150" i="6" s="1"/>
  <c r="G1151" i="6" s="1"/>
  <c r="B1152" i="6"/>
  <c r="C1152" i="6" s="1"/>
  <c r="D1152" i="6" s="1" a="1"/>
  <c r="D1152" i="6" s="1"/>
  <c r="H1151" i="6"/>
  <c r="I1151" i="6" l="1"/>
  <c r="E1151" i="6"/>
  <c r="F1151" i="6" s="1"/>
  <c r="G1152" i="6" s="1"/>
  <c r="B1153" i="6"/>
  <c r="C1153" i="6" s="1"/>
  <c r="D1153" i="6" s="1" a="1"/>
  <c r="D1153" i="6" s="1"/>
  <c r="H1152" i="6"/>
  <c r="I1152" i="6" l="1"/>
  <c r="E1152" i="6"/>
  <c r="F1152" i="6" s="1"/>
  <c r="G1153" i="6" s="1"/>
  <c r="B1154" i="6"/>
  <c r="C1154" i="6" s="1"/>
  <c r="D1154" i="6" s="1" a="1"/>
  <c r="D1154" i="6" s="1"/>
  <c r="H1153" i="6"/>
  <c r="I1153" i="6" l="1"/>
  <c r="E1153" i="6"/>
  <c r="F1153" i="6" s="1"/>
  <c r="G1154" i="6" s="1"/>
  <c r="B1155" i="6"/>
  <c r="C1155" i="6" s="1"/>
  <c r="D1155" i="6" s="1" a="1"/>
  <c r="D1155" i="6" s="1"/>
  <c r="H1154" i="6"/>
  <c r="I1154" i="6" l="1"/>
  <c r="E1154" i="6"/>
  <c r="F1154" i="6" s="1"/>
  <c r="G1155" i="6" s="1"/>
  <c r="B1156" i="6"/>
  <c r="C1156" i="6" s="1"/>
  <c r="D1156" i="6" s="1" a="1"/>
  <c r="D1156" i="6" s="1"/>
  <c r="H1155" i="6"/>
  <c r="I1155" i="6" l="1"/>
  <c r="E1155" i="6"/>
  <c r="F1155" i="6" s="1"/>
  <c r="G1156" i="6" s="1"/>
  <c r="B1157" i="6"/>
  <c r="C1157" i="6" s="1"/>
  <c r="D1157" i="6" s="1" a="1"/>
  <c r="D1157" i="6" s="1"/>
  <c r="H1156" i="6"/>
  <c r="I1156" i="6" l="1"/>
  <c r="E1156" i="6"/>
  <c r="F1156" i="6" s="1"/>
  <c r="G1157" i="6" s="1"/>
  <c r="B1158" i="6"/>
  <c r="C1158" i="6" s="1"/>
  <c r="D1158" i="6" s="1" a="1"/>
  <c r="D1158" i="6" s="1"/>
  <c r="H1157" i="6"/>
  <c r="I1157" i="6" l="1"/>
  <c r="E1157" i="6"/>
  <c r="F1157" i="6" s="1"/>
  <c r="G1158" i="6" s="1"/>
  <c r="B1159" i="6"/>
  <c r="C1159" i="6" s="1"/>
  <c r="D1159" i="6" s="1" a="1"/>
  <c r="D1159" i="6" s="1"/>
  <c r="H1158" i="6"/>
  <c r="I1158" i="6" l="1"/>
  <c r="E1158" i="6"/>
  <c r="F1158" i="6" s="1"/>
  <c r="G1159" i="6" s="1"/>
  <c r="B1160" i="6"/>
  <c r="C1160" i="6" s="1"/>
  <c r="D1160" i="6" s="1" a="1"/>
  <c r="D1160" i="6" s="1"/>
  <c r="H1159" i="6"/>
  <c r="I1159" i="6" l="1"/>
  <c r="E1159" i="6"/>
  <c r="F1159" i="6" s="1"/>
  <c r="G1160" i="6" s="1"/>
  <c r="B1161" i="6"/>
  <c r="C1161" i="6" s="1"/>
  <c r="D1161" i="6" s="1" a="1"/>
  <c r="D1161" i="6" s="1"/>
  <c r="H1160" i="6"/>
  <c r="I1160" i="6" l="1"/>
  <c r="E1160" i="6"/>
  <c r="F1160" i="6" s="1"/>
  <c r="G1161" i="6" s="1"/>
  <c r="B1162" i="6"/>
  <c r="C1162" i="6" s="1"/>
  <c r="D1162" i="6" s="1" a="1"/>
  <c r="D1162" i="6" s="1"/>
  <c r="H1161" i="6"/>
  <c r="I1161" i="6" l="1"/>
  <c r="E1161" i="6"/>
  <c r="F1161" i="6" s="1"/>
  <c r="G1162" i="6" s="1"/>
  <c r="B1163" i="6"/>
  <c r="C1163" i="6" s="1"/>
  <c r="D1163" i="6" s="1" a="1"/>
  <c r="D1163" i="6" s="1"/>
  <c r="H1162" i="6"/>
  <c r="I1162" i="6" l="1"/>
  <c r="E1162" i="6"/>
  <c r="F1162" i="6" s="1"/>
  <c r="G1163" i="6" s="1"/>
  <c r="B1164" i="6"/>
  <c r="C1164" i="6" s="1"/>
  <c r="D1164" i="6" s="1" a="1"/>
  <c r="D1164" i="6" s="1"/>
  <c r="H1163" i="6"/>
  <c r="I1163" i="6" l="1"/>
  <c r="E1163" i="6"/>
  <c r="F1163" i="6" s="1"/>
  <c r="G1164" i="6" s="1"/>
  <c r="B1165" i="6"/>
  <c r="C1165" i="6" s="1"/>
  <c r="D1165" i="6" s="1" a="1"/>
  <c r="D1165" i="6" s="1"/>
  <c r="H1164" i="6"/>
  <c r="I1164" i="6" l="1"/>
  <c r="E1164" i="6"/>
  <c r="F1164" i="6" s="1"/>
  <c r="G1165" i="6" s="1"/>
  <c r="B1166" i="6"/>
  <c r="C1166" i="6" s="1"/>
  <c r="D1166" i="6" s="1" a="1"/>
  <c r="D1166" i="6" s="1"/>
  <c r="H1165" i="6"/>
  <c r="I1165" i="6" l="1"/>
  <c r="E1165" i="6"/>
  <c r="F1165" i="6" s="1"/>
  <c r="G1166" i="6" s="1"/>
  <c r="B1167" i="6"/>
  <c r="C1167" i="6" s="1"/>
  <c r="D1167" i="6" s="1" a="1"/>
  <c r="D1167" i="6" s="1"/>
  <c r="H1166" i="6"/>
  <c r="I1166" i="6" l="1"/>
  <c r="E1166" i="6"/>
  <c r="F1166" i="6" s="1"/>
  <c r="G1167" i="6" s="1"/>
  <c r="B1168" i="6"/>
  <c r="C1168" i="6" s="1"/>
  <c r="D1168" i="6" s="1" a="1"/>
  <c r="D1168" i="6" s="1"/>
  <c r="H1167" i="6"/>
  <c r="I1167" i="6" l="1"/>
  <c r="E1167" i="6"/>
  <c r="F1167" i="6" s="1"/>
  <c r="G1168" i="6" s="1"/>
  <c r="B1169" i="6"/>
  <c r="C1169" i="6" s="1"/>
  <c r="D1169" i="6" s="1" a="1"/>
  <c r="D1169" i="6" s="1"/>
  <c r="H1168" i="6"/>
  <c r="I1168" i="6" l="1"/>
  <c r="E1168" i="6"/>
  <c r="F1168" i="6" s="1"/>
  <c r="G1169" i="6" s="1"/>
  <c r="B1170" i="6"/>
  <c r="C1170" i="6" s="1"/>
  <c r="D1170" i="6" s="1" a="1"/>
  <c r="D1170" i="6" s="1"/>
  <c r="H1169" i="6"/>
  <c r="I1169" i="6" l="1"/>
  <c r="E1169" i="6"/>
  <c r="F1169" i="6" s="1"/>
  <c r="G1170" i="6" s="1"/>
  <c r="B1171" i="6"/>
  <c r="C1171" i="6" s="1"/>
  <c r="D1171" i="6" s="1" a="1"/>
  <c r="D1171" i="6" s="1"/>
  <c r="H1170" i="6"/>
  <c r="I1170" i="6" l="1"/>
  <c r="E1170" i="6"/>
  <c r="F1170" i="6" s="1"/>
  <c r="G1171" i="6" s="1"/>
  <c r="B1172" i="6"/>
  <c r="C1172" i="6" s="1"/>
  <c r="D1172" i="6" s="1" a="1"/>
  <c r="D1172" i="6" s="1"/>
  <c r="H1171" i="6"/>
  <c r="I1171" i="6" l="1"/>
  <c r="E1171" i="6"/>
  <c r="F1171" i="6" s="1"/>
  <c r="G1172" i="6" s="1"/>
  <c r="B1173" i="6"/>
  <c r="C1173" i="6" s="1"/>
  <c r="D1173" i="6" s="1" a="1"/>
  <c r="D1173" i="6" s="1"/>
  <c r="H1172" i="6"/>
  <c r="I1172" i="6" l="1"/>
  <c r="E1172" i="6"/>
  <c r="F1172" i="6" s="1"/>
  <c r="B1174" i="6"/>
  <c r="C1174" i="6" s="1"/>
  <c r="D1174" i="6" s="1" a="1"/>
  <c r="D1174" i="6" s="1"/>
  <c r="H1173" i="6"/>
  <c r="G1173" i="6"/>
  <c r="I1173" i="6" s="1"/>
  <c r="E1173" i="6" l="1"/>
  <c r="F1173" i="6" s="1"/>
  <c r="B1175" i="6"/>
  <c r="C1175" i="6" s="1"/>
  <c r="D1175" i="6" s="1" a="1"/>
  <c r="D1175" i="6" s="1"/>
  <c r="H1174" i="6"/>
  <c r="G1174" i="6"/>
  <c r="I1174" i="6" s="1"/>
  <c r="E1174" i="6" l="1"/>
  <c r="F1174" i="6" s="1"/>
  <c r="G1175" i="6" s="1"/>
  <c r="B1176" i="6"/>
  <c r="C1176" i="6" s="1"/>
  <c r="D1176" i="6" s="1" a="1"/>
  <c r="D1176" i="6" s="1"/>
  <c r="H1175" i="6"/>
  <c r="I1175" i="6" l="1"/>
  <c r="E1175" i="6"/>
  <c r="F1175" i="6" s="1"/>
  <c r="G1176" i="6" s="1"/>
  <c r="B1177" i="6"/>
  <c r="C1177" i="6" s="1"/>
  <c r="D1177" i="6" s="1" a="1"/>
  <c r="D1177" i="6" s="1"/>
  <c r="H1176" i="6"/>
  <c r="I1176" i="6" l="1"/>
  <c r="E1176" i="6"/>
  <c r="F1176" i="6" s="1"/>
  <c r="G1177" i="6" s="1"/>
  <c r="B1178" i="6"/>
  <c r="C1178" i="6" s="1"/>
  <c r="D1178" i="6" s="1" a="1"/>
  <c r="D1178" i="6" s="1"/>
  <c r="H1177" i="6"/>
  <c r="I1177" i="6" l="1"/>
  <c r="E1177" i="6"/>
  <c r="F1177" i="6" s="1"/>
  <c r="G1178" i="6" s="1"/>
  <c r="B1179" i="6"/>
  <c r="C1179" i="6" s="1"/>
  <c r="D1179" i="6" s="1" a="1"/>
  <c r="D1179" i="6" s="1"/>
  <c r="H1178" i="6"/>
  <c r="I1178" i="6" l="1"/>
  <c r="E1178" i="6"/>
  <c r="F1178" i="6" s="1"/>
  <c r="G1179" i="6" s="1"/>
  <c r="B1180" i="6"/>
  <c r="C1180" i="6" s="1"/>
  <c r="D1180" i="6" s="1" a="1"/>
  <c r="D1180" i="6" s="1"/>
  <c r="H1179" i="6"/>
  <c r="I1179" i="6" l="1"/>
  <c r="E1179" i="6"/>
  <c r="F1179" i="6" s="1"/>
  <c r="G1180" i="6" s="1"/>
  <c r="B1181" i="6"/>
  <c r="C1181" i="6" s="1"/>
  <c r="D1181" i="6" s="1" a="1"/>
  <c r="D1181" i="6" s="1"/>
  <c r="H1180" i="6"/>
  <c r="I1180" i="6" l="1"/>
  <c r="E1180" i="6"/>
  <c r="F1180" i="6" s="1"/>
  <c r="G1181" i="6" s="1"/>
  <c r="B1182" i="6"/>
  <c r="C1182" i="6" s="1"/>
  <c r="D1182" i="6" s="1" a="1"/>
  <c r="D1182" i="6" s="1"/>
  <c r="H1181" i="6"/>
  <c r="I1181" i="6" l="1"/>
  <c r="E1181" i="6"/>
  <c r="F1181" i="6" s="1"/>
  <c r="G1182" i="6" s="1"/>
  <c r="B1183" i="6"/>
  <c r="C1183" i="6" s="1"/>
  <c r="D1183" i="6" s="1" a="1"/>
  <c r="D1183" i="6" s="1"/>
  <c r="H1182" i="6"/>
  <c r="I1182" i="6" l="1"/>
  <c r="E1182" i="6"/>
  <c r="F1182" i="6" s="1"/>
  <c r="G1183" i="6" s="1"/>
  <c r="B1184" i="6"/>
  <c r="C1184" i="6" s="1"/>
  <c r="D1184" i="6" s="1" a="1"/>
  <c r="D1184" i="6" s="1"/>
  <c r="H1183" i="6"/>
  <c r="I1183" i="6" l="1"/>
  <c r="E1183" i="6"/>
  <c r="F1183" i="6" s="1"/>
  <c r="G1184" i="6" s="1"/>
  <c r="B1185" i="6"/>
  <c r="C1185" i="6" s="1"/>
  <c r="D1185" i="6" s="1" a="1"/>
  <c r="D1185" i="6" s="1"/>
  <c r="H1184" i="6"/>
  <c r="I1184" i="6" l="1"/>
  <c r="E1184" i="6"/>
  <c r="F1184" i="6" s="1"/>
  <c r="G1185" i="6" s="1"/>
  <c r="B1186" i="6"/>
  <c r="C1186" i="6" s="1"/>
  <c r="D1186" i="6" s="1" a="1"/>
  <c r="D1186" i="6" s="1"/>
  <c r="H1185" i="6"/>
  <c r="I1185" i="6" l="1"/>
  <c r="E1185" i="6"/>
  <c r="F1185" i="6" s="1"/>
  <c r="B1187" i="6"/>
  <c r="C1187" i="6" s="1"/>
  <c r="D1187" i="6" s="1" a="1"/>
  <c r="D1187" i="6" s="1"/>
  <c r="H1186" i="6"/>
  <c r="G1186" i="6"/>
  <c r="I1186" i="6" s="1"/>
  <c r="E1186" i="6" l="1"/>
  <c r="F1186" i="6" s="1"/>
  <c r="G1187" i="6" s="1"/>
  <c r="B1188" i="6"/>
  <c r="C1188" i="6" s="1"/>
  <c r="D1188" i="6" s="1" a="1"/>
  <c r="D1188" i="6" s="1"/>
  <c r="H1187" i="6"/>
  <c r="I1187" i="6" l="1"/>
  <c r="E1187" i="6"/>
  <c r="F1187" i="6" s="1"/>
  <c r="G1188" i="6" s="1"/>
  <c r="B1189" i="6"/>
  <c r="C1189" i="6" s="1"/>
  <c r="D1189" i="6" s="1" a="1"/>
  <c r="D1189" i="6" s="1"/>
  <c r="H1188" i="6"/>
  <c r="I1188" i="6" l="1"/>
  <c r="E1188" i="6"/>
  <c r="F1188" i="6" s="1"/>
  <c r="B1190" i="6"/>
  <c r="C1190" i="6" s="1"/>
  <c r="D1190" i="6" s="1" a="1"/>
  <c r="D1190" i="6" s="1"/>
  <c r="H1189" i="6"/>
  <c r="G1189" i="6"/>
  <c r="I1189" i="6" s="1"/>
  <c r="E1189" i="6" l="1"/>
  <c r="F1189" i="6" s="1"/>
  <c r="G1190" i="6" s="1"/>
  <c r="B1191" i="6"/>
  <c r="C1191" i="6" s="1"/>
  <c r="D1191" i="6" s="1" a="1"/>
  <c r="D1191" i="6" s="1"/>
  <c r="H1190" i="6"/>
  <c r="I1190" i="6" l="1"/>
  <c r="E1190" i="6"/>
  <c r="F1190" i="6" s="1"/>
  <c r="G1191" i="6" s="1"/>
  <c r="B1192" i="6"/>
  <c r="C1192" i="6" s="1"/>
  <c r="D1192" i="6" s="1" a="1"/>
  <c r="D1192" i="6" s="1"/>
  <c r="H1191" i="6"/>
  <c r="I1191" i="6" l="1"/>
  <c r="E1191" i="6"/>
  <c r="F1191" i="6" s="1"/>
  <c r="G1192" i="6" s="1"/>
  <c r="B1193" i="6"/>
  <c r="C1193" i="6" s="1"/>
  <c r="D1193" i="6" s="1" a="1"/>
  <c r="D1193" i="6" s="1"/>
  <c r="H1192" i="6"/>
  <c r="I1192" i="6" l="1"/>
  <c r="E1192" i="6"/>
  <c r="F1192" i="6" s="1"/>
  <c r="G1193" i="6" s="1"/>
  <c r="B1194" i="6"/>
  <c r="C1194" i="6" s="1"/>
  <c r="D1194" i="6" s="1" a="1"/>
  <c r="D1194" i="6" s="1"/>
  <c r="H1193" i="6"/>
  <c r="I1193" i="6" l="1"/>
  <c r="E1193" i="6"/>
  <c r="F1193" i="6" s="1"/>
  <c r="G1194" i="6" s="1"/>
  <c r="B1195" i="6"/>
  <c r="C1195" i="6" s="1"/>
  <c r="D1195" i="6" s="1" a="1"/>
  <c r="D1195" i="6" s="1"/>
  <c r="H1194" i="6"/>
  <c r="I1194" i="6" l="1"/>
  <c r="E1194" i="6"/>
  <c r="F1194" i="6" s="1"/>
  <c r="G1195" i="6" s="1"/>
  <c r="B1196" i="6"/>
  <c r="C1196" i="6" s="1"/>
  <c r="D1196" i="6" s="1" a="1"/>
  <c r="D1196" i="6" s="1"/>
  <c r="H1195" i="6"/>
  <c r="I1195" i="6" l="1"/>
  <c r="E1195" i="6"/>
  <c r="F1195" i="6" s="1"/>
  <c r="G1196" i="6" s="1"/>
  <c r="B1197" i="6"/>
  <c r="C1197" i="6" s="1"/>
  <c r="D1197" i="6" s="1" a="1"/>
  <c r="D1197" i="6" s="1"/>
  <c r="H1196" i="6"/>
  <c r="I1196" i="6" l="1"/>
  <c r="E1196" i="6"/>
  <c r="F1196" i="6" s="1"/>
  <c r="G1197" i="6" s="1"/>
  <c r="B1198" i="6"/>
  <c r="C1198" i="6" s="1"/>
  <c r="D1198" i="6" s="1" a="1"/>
  <c r="D1198" i="6" s="1"/>
  <c r="H1197" i="6"/>
  <c r="I1197" i="6" l="1"/>
  <c r="E1197" i="6"/>
  <c r="F1197" i="6" s="1"/>
  <c r="G1198" i="6" s="1"/>
  <c r="B1199" i="6"/>
  <c r="C1199" i="6" s="1"/>
  <c r="D1199" i="6" s="1" a="1"/>
  <c r="D1199" i="6" s="1"/>
  <c r="H1198" i="6"/>
  <c r="I1198" i="6" l="1"/>
  <c r="E1198" i="6"/>
  <c r="F1198" i="6" s="1"/>
  <c r="G1199" i="6" s="1"/>
  <c r="B1200" i="6"/>
  <c r="C1200" i="6" s="1"/>
  <c r="D1200" i="6" s="1" a="1"/>
  <c r="D1200" i="6" s="1"/>
  <c r="H1199" i="6"/>
  <c r="I1199" i="6" l="1"/>
  <c r="E1199" i="6"/>
  <c r="F1199" i="6" s="1"/>
  <c r="G1200" i="6" s="1"/>
  <c r="B1201" i="6"/>
  <c r="C1201" i="6" s="1"/>
  <c r="D1201" i="6" s="1" a="1"/>
  <c r="D1201" i="6" s="1"/>
  <c r="H1200" i="6"/>
  <c r="I1200" i="6" l="1"/>
  <c r="E1200" i="6"/>
  <c r="F1200" i="6" s="1"/>
  <c r="G1201" i="6" s="1"/>
  <c r="B1202" i="6"/>
  <c r="C1202" i="6" s="1"/>
  <c r="D1202" i="6" s="1" a="1"/>
  <c r="D1202" i="6" s="1"/>
  <c r="H1201" i="6"/>
  <c r="I1201" i="6" l="1"/>
  <c r="E1201" i="6"/>
  <c r="F1201" i="6" s="1"/>
  <c r="G1202" i="6" s="1"/>
  <c r="B1203" i="6"/>
  <c r="C1203" i="6" s="1"/>
  <c r="D1203" i="6" s="1" a="1"/>
  <c r="D1203" i="6" s="1"/>
  <c r="H1202" i="6"/>
  <c r="I1202" i="6" l="1"/>
  <c r="E1202" i="6"/>
  <c r="F1202" i="6" s="1"/>
  <c r="G1203" i="6" s="1"/>
  <c r="B1204" i="6"/>
  <c r="C1204" i="6" s="1"/>
  <c r="D1204" i="6" s="1" a="1"/>
  <c r="D1204" i="6" s="1"/>
  <c r="H1203" i="6"/>
  <c r="I1203" i="6" l="1"/>
  <c r="E1203" i="6"/>
  <c r="F1203" i="6" s="1"/>
  <c r="G1204" i="6" s="1"/>
  <c r="B1205" i="6"/>
  <c r="C1205" i="6" s="1"/>
  <c r="D1205" i="6" s="1" a="1"/>
  <c r="D1205" i="6" s="1"/>
  <c r="H1204" i="6"/>
  <c r="I1204" i="6" l="1"/>
  <c r="E1204" i="6"/>
  <c r="F1204" i="6" s="1"/>
  <c r="G1205" i="6" s="1"/>
  <c r="B1206" i="6"/>
  <c r="C1206" i="6" s="1"/>
  <c r="D1206" i="6" s="1" a="1"/>
  <c r="D1206" i="6" s="1"/>
  <c r="H1205" i="6"/>
  <c r="I1205" i="6" l="1"/>
  <c r="E1205" i="6"/>
  <c r="F1205" i="6" s="1"/>
  <c r="G1206" i="6" s="1"/>
  <c r="B1207" i="6"/>
  <c r="C1207" i="6" s="1"/>
  <c r="D1207" i="6" s="1" a="1"/>
  <c r="D1207" i="6" s="1"/>
  <c r="H1206" i="6"/>
  <c r="I1206" i="6" l="1"/>
  <c r="E1206" i="6"/>
  <c r="F1206" i="6" s="1"/>
  <c r="G1207" i="6" s="1"/>
  <c r="B1208" i="6"/>
  <c r="C1208" i="6" s="1"/>
  <c r="D1208" i="6" s="1" a="1"/>
  <c r="D1208" i="6" s="1"/>
  <c r="H1207" i="6"/>
  <c r="I1207" i="6" l="1"/>
  <c r="E1207" i="6"/>
  <c r="F1207" i="6" s="1"/>
  <c r="G1208" i="6" s="1"/>
  <c r="B1209" i="6"/>
  <c r="C1209" i="6" s="1"/>
  <c r="D1209" i="6" s="1" a="1"/>
  <c r="D1209" i="6" s="1"/>
  <c r="H1208" i="6"/>
  <c r="I1208" i="6" l="1"/>
  <c r="E1208" i="6"/>
  <c r="F1208" i="6" s="1"/>
  <c r="G1209" i="6" s="1"/>
  <c r="B1210" i="6"/>
  <c r="C1210" i="6" s="1"/>
  <c r="D1210" i="6" s="1" a="1"/>
  <c r="D1210" i="6" s="1"/>
  <c r="H1209" i="6"/>
  <c r="I1209" i="6" l="1"/>
  <c r="E1209" i="6"/>
  <c r="F1209" i="6" s="1"/>
  <c r="G1210" i="6" s="1"/>
  <c r="B1211" i="6"/>
  <c r="C1211" i="6" s="1"/>
  <c r="D1211" i="6" s="1" a="1"/>
  <c r="D1211" i="6" s="1"/>
  <c r="H1210" i="6"/>
  <c r="I1210" i="6" l="1"/>
  <c r="E1210" i="6"/>
  <c r="F1210" i="6" s="1"/>
  <c r="G1211" i="6" s="1"/>
  <c r="B1212" i="6"/>
  <c r="C1212" i="6" s="1"/>
  <c r="D1212" i="6" s="1" a="1"/>
  <c r="D1212" i="6" s="1"/>
  <c r="H1211" i="6"/>
  <c r="I1211" i="6" l="1"/>
  <c r="E1211" i="6"/>
  <c r="F1211" i="6" s="1"/>
  <c r="G1212" i="6" s="1"/>
  <c r="B1213" i="6"/>
  <c r="C1213" i="6" s="1"/>
  <c r="D1213" i="6" s="1" a="1"/>
  <c r="D1213" i="6" s="1"/>
  <c r="H1212" i="6"/>
  <c r="I1212" i="6" l="1"/>
  <c r="E1212" i="6"/>
  <c r="F1212" i="6" s="1"/>
  <c r="G1213" i="6" s="1"/>
  <c r="B1214" i="6"/>
  <c r="C1214" i="6" s="1"/>
  <c r="D1214" i="6" s="1" a="1"/>
  <c r="D1214" i="6" s="1"/>
  <c r="H1213" i="6"/>
  <c r="I1213" i="6" l="1"/>
  <c r="E1213" i="6"/>
  <c r="F1213" i="6" s="1"/>
  <c r="G1214" i="6" s="1"/>
  <c r="B1215" i="6"/>
  <c r="C1215" i="6" s="1"/>
  <c r="D1215" i="6" s="1" a="1"/>
  <c r="D1215" i="6" s="1"/>
  <c r="H1214" i="6"/>
  <c r="I1214" i="6" l="1"/>
  <c r="E1214" i="6"/>
  <c r="F1214" i="6" s="1"/>
  <c r="G1215" i="6" s="1"/>
  <c r="B1216" i="6"/>
  <c r="C1216" i="6" s="1"/>
  <c r="D1216" i="6" s="1" a="1"/>
  <c r="D1216" i="6" s="1"/>
  <c r="H1215" i="6"/>
  <c r="I1215" i="6" l="1"/>
  <c r="E1215" i="6"/>
  <c r="F1215" i="6" s="1"/>
  <c r="G1216" i="6" s="1"/>
  <c r="B1217" i="6"/>
  <c r="C1217" i="6" s="1"/>
  <c r="D1217" i="6" s="1" a="1"/>
  <c r="D1217" i="6" s="1"/>
  <c r="H1216" i="6"/>
  <c r="I1216" i="6" l="1"/>
  <c r="E1216" i="6"/>
  <c r="F1216" i="6" s="1"/>
  <c r="G1217" i="6" s="1"/>
  <c r="B1218" i="6"/>
  <c r="C1218" i="6" s="1"/>
  <c r="D1218" i="6" s="1" a="1"/>
  <c r="D1218" i="6" s="1"/>
  <c r="H1217" i="6"/>
  <c r="I1217" i="6" l="1"/>
  <c r="E1217" i="6"/>
  <c r="F1217" i="6" s="1"/>
  <c r="B1219" i="6"/>
  <c r="C1219" i="6" s="1"/>
  <c r="D1219" i="6" s="1" a="1"/>
  <c r="D1219" i="6" s="1"/>
  <c r="H1218" i="6"/>
  <c r="G1218" i="6"/>
  <c r="I1218" i="6" s="1"/>
  <c r="E1218" i="6" l="1"/>
  <c r="F1218" i="6" s="1"/>
  <c r="G1219" i="6" s="1"/>
  <c r="B1220" i="6"/>
  <c r="C1220" i="6" s="1"/>
  <c r="D1220" i="6" s="1" a="1"/>
  <c r="D1220" i="6" s="1"/>
  <c r="H1219" i="6"/>
  <c r="I1219" i="6" l="1"/>
  <c r="E1219" i="6"/>
  <c r="F1219" i="6" s="1"/>
  <c r="G1220" i="6" s="1"/>
  <c r="B1221" i="6"/>
  <c r="C1221" i="6" s="1"/>
  <c r="D1221" i="6" s="1" a="1"/>
  <c r="D1221" i="6" s="1"/>
  <c r="H1220" i="6"/>
  <c r="I1220" i="6" l="1"/>
  <c r="E1220" i="6"/>
  <c r="F1220" i="6" s="1"/>
  <c r="G1221" i="6" s="1"/>
  <c r="B1222" i="6"/>
  <c r="C1222" i="6" s="1"/>
  <c r="D1222" i="6" s="1" a="1"/>
  <c r="D1222" i="6" s="1"/>
  <c r="H1221" i="6"/>
  <c r="I1221" i="6" l="1"/>
  <c r="E1221" i="6"/>
  <c r="F1221" i="6" s="1"/>
  <c r="G1222" i="6" s="1"/>
  <c r="B1223" i="6"/>
  <c r="C1223" i="6" s="1"/>
  <c r="D1223" i="6" s="1" a="1"/>
  <c r="D1223" i="6" s="1"/>
  <c r="H1222" i="6"/>
  <c r="I1222" i="6" l="1"/>
  <c r="E1222" i="6"/>
  <c r="F1222" i="6" s="1"/>
  <c r="G1223" i="6" s="1"/>
  <c r="B1224" i="6"/>
  <c r="C1224" i="6" s="1"/>
  <c r="D1224" i="6" s="1" a="1"/>
  <c r="D1224" i="6" s="1"/>
  <c r="H1223" i="6"/>
  <c r="I1223" i="6" l="1"/>
  <c r="E1223" i="6"/>
  <c r="F1223" i="6" s="1"/>
  <c r="G1224" i="6" s="1"/>
  <c r="B1225" i="6"/>
  <c r="C1225" i="6" s="1"/>
  <c r="D1225" i="6" s="1" a="1"/>
  <c r="D1225" i="6" s="1"/>
  <c r="H1224" i="6"/>
  <c r="I1224" i="6" l="1"/>
  <c r="E1224" i="6"/>
  <c r="F1224" i="6" s="1"/>
  <c r="G1225" i="6" s="1"/>
  <c r="B1226" i="6"/>
  <c r="C1226" i="6" s="1"/>
  <c r="D1226" i="6" s="1" a="1"/>
  <c r="D1226" i="6" s="1"/>
  <c r="H1225" i="6"/>
  <c r="I1225" i="6" l="1"/>
  <c r="E1225" i="6"/>
  <c r="F1225" i="6" s="1"/>
  <c r="G1226" i="6" s="1"/>
  <c r="B1227" i="6"/>
  <c r="C1227" i="6" s="1"/>
  <c r="D1227" i="6" s="1" a="1"/>
  <c r="D1227" i="6" s="1"/>
  <c r="H1226" i="6"/>
  <c r="I1226" i="6" l="1"/>
  <c r="E1226" i="6"/>
  <c r="F1226" i="6" s="1"/>
  <c r="G1227" i="6" s="1"/>
  <c r="B1228" i="6"/>
  <c r="C1228" i="6" s="1"/>
  <c r="D1228" i="6" s="1" a="1"/>
  <c r="D1228" i="6" s="1"/>
  <c r="H1227" i="6"/>
  <c r="I1227" i="6" l="1"/>
  <c r="E1227" i="6"/>
  <c r="F1227" i="6" s="1"/>
  <c r="G1228" i="6" s="1"/>
  <c r="B1229" i="6"/>
  <c r="C1229" i="6" s="1"/>
  <c r="D1229" i="6" s="1" a="1"/>
  <c r="D1229" i="6" s="1"/>
  <c r="H1228" i="6"/>
  <c r="I1228" i="6" l="1"/>
  <c r="E1228" i="6"/>
  <c r="F1228" i="6" s="1"/>
  <c r="G1229" i="6" s="1"/>
  <c r="B1230" i="6"/>
  <c r="C1230" i="6" s="1"/>
  <c r="D1230" i="6" s="1" a="1"/>
  <c r="D1230" i="6" s="1"/>
  <c r="H1229" i="6"/>
  <c r="I1229" i="6" l="1"/>
  <c r="E1229" i="6"/>
  <c r="F1229" i="6" s="1"/>
  <c r="G1230" i="6" s="1"/>
  <c r="B1231" i="6"/>
  <c r="C1231" i="6" s="1"/>
  <c r="D1231" i="6" s="1" a="1"/>
  <c r="D1231" i="6" s="1"/>
  <c r="H1230" i="6"/>
  <c r="I1230" i="6" l="1"/>
  <c r="E1230" i="6"/>
  <c r="F1230" i="6" s="1"/>
  <c r="G1231" i="6" s="1"/>
  <c r="B1232" i="6"/>
  <c r="C1232" i="6" s="1"/>
  <c r="D1232" i="6" s="1" a="1"/>
  <c r="D1232" i="6" s="1"/>
  <c r="H1231" i="6"/>
  <c r="I1231" i="6" l="1"/>
  <c r="E1231" i="6"/>
  <c r="F1231" i="6" s="1"/>
  <c r="G1232" i="6" s="1"/>
  <c r="B1233" i="6"/>
  <c r="C1233" i="6" s="1"/>
  <c r="D1233" i="6" s="1" a="1"/>
  <c r="D1233" i="6" s="1"/>
  <c r="H1232" i="6"/>
  <c r="I1232" i="6" l="1"/>
  <c r="E1232" i="6"/>
  <c r="F1232" i="6" s="1"/>
  <c r="G1233" i="6" s="1"/>
  <c r="B1234" i="6"/>
  <c r="C1234" i="6" s="1"/>
  <c r="D1234" i="6" s="1" a="1"/>
  <c r="D1234" i="6" s="1"/>
  <c r="H1233" i="6"/>
  <c r="I1233" i="6" l="1"/>
  <c r="E1233" i="6"/>
  <c r="F1233" i="6" s="1"/>
  <c r="G1234" i="6" s="1"/>
  <c r="B1235" i="6"/>
  <c r="C1235" i="6" s="1"/>
  <c r="D1235" i="6" s="1" a="1"/>
  <c r="D1235" i="6" s="1"/>
  <c r="H1234" i="6"/>
  <c r="I1234" i="6" l="1"/>
  <c r="E1234" i="6"/>
  <c r="F1234" i="6" s="1"/>
  <c r="G1235" i="6" s="1"/>
  <c r="B1236" i="6"/>
  <c r="C1236" i="6" s="1"/>
  <c r="D1236" i="6" s="1" a="1"/>
  <c r="D1236" i="6" s="1"/>
  <c r="H1235" i="6"/>
  <c r="I1235" i="6" l="1"/>
  <c r="E1235" i="6"/>
  <c r="F1235" i="6" s="1"/>
  <c r="G1236" i="6" s="1"/>
  <c r="B1237" i="6"/>
  <c r="C1237" i="6" s="1"/>
  <c r="D1237" i="6" s="1" a="1"/>
  <c r="D1237" i="6" s="1"/>
  <c r="H1236" i="6"/>
  <c r="I1236" i="6" l="1"/>
  <c r="E1236" i="6"/>
  <c r="F1236" i="6" s="1"/>
  <c r="G1237" i="6" s="1"/>
  <c r="B1238" i="6"/>
  <c r="C1238" i="6" s="1"/>
  <c r="D1238" i="6" s="1" a="1"/>
  <c r="D1238" i="6" s="1"/>
  <c r="H1237" i="6"/>
  <c r="I1237" i="6" l="1"/>
  <c r="E1237" i="6"/>
  <c r="F1237" i="6" s="1"/>
  <c r="B1239" i="6"/>
  <c r="C1239" i="6" s="1"/>
  <c r="D1239" i="6" s="1" a="1"/>
  <c r="D1239" i="6" s="1"/>
  <c r="H1238" i="6"/>
  <c r="G1238" i="6"/>
  <c r="I1238" i="6" s="1"/>
  <c r="E1238" i="6" l="1"/>
  <c r="F1238" i="6" s="1"/>
  <c r="G1239" i="6" s="1"/>
  <c r="B1240" i="6"/>
  <c r="C1240" i="6" s="1"/>
  <c r="D1240" i="6" s="1" a="1"/>
  <c r="D1240" i="6" s="1"/>
  <c r="H1239" i="6"/>
  <c r="I1239" i="6" l="1"/>
  <c r="E1239" i="6"/>
  <c r="F1239" i="6" s="1"/>
  <c r="G1240" i="6" s="1"/>
  <c r="B1241" i="6"/>
  <c r="C1241" i="6" s="1"/>
  <c r="D1241" i="6" s="1" a="1"/>
  <c r="D1241" i="6" s="1"/>
  <c r="H1240" i="6"/>
  <c r="I1240" i="6" l="1"/>
  <c r="E1240" i="6"/>
  <c r="F1240" i="6" s="1"/>
  <c r="G1241" i="6" s="1"/>
  <c r="B1242" i="6"/>
  <c r="C1242" i="6" s="1"/>
  <c r="D1242" i="6" s="1" a="1"/>
  <c r="D1242" i="6" s="1"/>
  <c r="H1241" i="6"/>
  <c r="I1241" i="6" l="1"/>
  <c r="E1241" i="6"/>
  <c r="F1241" i="6" s="1"/>
  <c r="G1242" i="6" s="1"/>
  <c r="B1243" i="6"/>
  <c r="C1243" i="6" s="1"/>
  <c r="D1243" i="6" s="1" a="1"/>
  <c r="D1243" i="6" s="1"/>
  <c r="H1242" i="6"/>
  <c r="I1242" i="6" l="1"/>
  <c r="E1242" i="6"/>
  <c r="F1242" i="6" s="1"/>
  <c r="G1243" i="6" s="1"/>
  <c r="B1244" i="6"/>
  <c r="C1244" i="6" s="1"/>
  <c r="D1244" i="6" s="1" a="1"/>
  <c r="D1244" i="6" s="1"/>
  <c r="H1243" i="6"/>
  <c r="I1243" i="6" l="1"/>
  <c r="E1243" i="6"/>
  <c r="F1243" i="6" s="1"/>
  <c r="G1244" i="6" s="1"/>
  <c r="B1245" i="6"/>
  <c r="C1245" i="6" s="1"/>
  <c r="D1245" i="6" s="1" a="1"/>
  <c r="D1245" i="6" s="1"/>
  <c r="H1244" i="6"/>
  <c r="I1244" i="6" l="1"/>
  <c r="E1244" i="6"/>
  <c r="F1244" i="6" s="1"/>
  <c r="G1245" i="6" s="1"/>
  <c r="B1246" i="6"/>
  <c r="C1246" i="6" s="1"/>
  <c r="D1246" i="6" s="1" a="1"/>
  <c r="D1246" i="6" s="1"/>
  <c r="H1245" i="6"/>
  <c r="I1245" i="6" l="1"/>
  <c r="E1245" i="6"/>
  <c r="F1245" i="6" s="1"/>
  <c r="G1246" i="6" s="1"/>
  <c r="B1247" i="6"/>
  <c r="C1247" i="6" s="1"/>
  <c r="D1247" i="6" s="1" a="1"/>
  <c r="D1247" i="6" s="1"/>
  <c r="H1246" i="6"/>
  <c r="I1246" i="6" l="1"/>
  <c r="E1246" i="6"/>
  <c r="F1246" i="6" s="1"/>
  <c r="G1247" i="6" s="1"/>
  <c r="B1248" i="6"/>
  <c r="C1248" i="6" s="1"/>
  <c r="D1248" i="6" s="1" a="1"/>
  <c r="D1248" i="6" s="1"/>
  <c r="H1247" i="6"/>
  <c r="I1247" i="6" l="1"/>
  <c r="E1247" i="6"/>
  <c r="F1247" i="6" s="1"/>
  <c r="G1248" i="6" s="1"/>
  <c r="B1249" i="6"/>
  <c r="C1249" i="6" s="1"/>
  <c r="D1249" i="6" s="1" a="1"/>
  <c r="D1249" i="6" s="1"/>
  <c r="H1248" i="6"/>
  <c r="I1248" i="6" l="1"/>
  <c r="E1248" i="6"/>
  <c r="F1248" i="6" s="1"/>
  <c r="G1249" i="6" s="1"/>
  <c r="B1250" i="6"/>
  <c r="C1250" i="6" s="1"/>
  <c r="D1250" i="6" s="1" a="1"/>
  <c r="D1250" i="6" s="1"/>
  <c r="H1249" i="6"/>
  <c r="I1249" i="6" l="1"/>
  <c r="E1249" i="6"/>
  <c r="F1249" i="6" s="1"/>
  <c r="G1250" i="6" s="1"/>
  <c r="B1251" i="6"/>
  <c r="C1251" i="6" s="1"/>
  <c r="D1251" i="6" s="1" a="1"/>
  <c r="D1251" i="6" s="1"/>
  <c r="H1250" i="6"/>
  <c r="I1250" i="6" l="1"/>
  <c r="E1250" i="6"/>
  <c r="F1250" i="6" s="1"/>
  <c r="G1251" i="6" s="1"/>
  <c r="B1252" i="6"/>
  <c r="C1252" i="6" s="1"/>
  <c r="D1252" i="6" s="1" a="1"/>
  <c r="D1252" i="6" s="1"/>
  <c r="H1251" i="6"/>
  <c r="I1251" i="6" l="1"/>
  <c r="E1251" i="6"/>
  <c r="F1251" i="6" s="1"/>
  <c r="G1252" i="6" s="1"/>
  <c r="B1253" i="6"/>
  <c r="C1253" i="6" s="1"/>
  <c r="D1253" i="6" s="1" a="1"/>
  <c r="D1253" i="6" s="1"/>
  <c r="H1252" i="6"/>
  <c r="I1252" i="6" l="1"/>
  <c r="E1252" i="6"/>
  <c r="F1252" i="6" s="1"/>
  <c r="G1253" i="6" s="1"/>
  <c r="B1254" i="6"/>
  <c r="C1254" i="6" s="1"/>
  <c r="D1254" i="6" s="1" a="1"/>
  <c r="D1254" i="6" s="1"/>
  <c r="H1253" i="6"/>
  <c r="I1253" i="6" l="1"/>
  <c r="E1253" i="6"/>
  <c r="F1253" i="6" s="1"/>
  <c r="G1254" i="6" s="1"/>
  <c r="B1255" i="6"/>
  <c r="C1255" i="6" s="1"/>
  <c r="D1255" i="6" s="1" a="1"/>
  <c r="D1255" i="6" s="1"/>
  <c r="H1254" i="6"/>
  <c r="I1254" i="6" l="1"/>
  <c r="E1254" i="6"/>
  <c r="F1254" i="6" s="1"/>
  <c r="G1255" i="6" s="1"/>
  <c r="B1256" i="6"/>
  <c r="C1256" i="6" s="1"/>
  <c r="D1256" i="6" s="1" a="1"/>
  <c r="D1256" i="6" s="1"/>
  <c r="H1255" i="6"/>
  <c r="I1255" i="6" l="1"/>
  <c r="E1255" i="6"/>
  <c r="F1255" i="6" s="1"/>
  <c r="G1256" i="6" s="1"/>
  <c r="B1257" i="6"/>
  <c r="C1257" i="6" s="1"/>
  <c r="D1257" i="6" s="1" a="1"/>
  <c r="D1257" i="6" s="1"/>
  <c r="H1256" i="6"/>
  <c r="I1256" i="6" l="1"/>
  <c r="E1256" i="6"/>
  <c r="F1256" i="6" s="1"/>
  <c r="G1257" i="6" s="1"/>
  <c r="B1258" i="6"/>
  <c r="C1258" i="6" s="1"/>
  <c r="D1258" i="6" s="1" a="1"/>
  <c r="D1258" i="6" s="1"/>
  <c r="H1257" i="6"/>
  <c r="I1257" i="6" l="1"/>
  <c r="E1257" i="6"/>
  <c r="F1257" i="6" s="1"/>
  <c r="B1259" i="6"/>
  <c r="C1259" i="6" s="1"/>
  <c r="D1259" i="6" s="1" a="1"/>
  <c r="D1259" i="6" s="1"/>
  <c r="H1258" i="6"/>
  <c r="G1258" i="6"/>
  <c r="I1258" i="6" s="1"/>
  <c r="E1258" i="6" l="1"/>
  <c r="F1258" i="6" s="1"/>
  <c r="B1260" i="6"/>
  <c r="C1260" i="6" s="1"/>
  <c r="D1260" i="6" s="1" a="1"/>
  <c r="D1260" i="6" s="1"/>
  <c r="H1259" i="6"/>
  <c r="G1259" i="6"/>
  <c r="I1259" i="6" s="1"/>
  <c r="E1259" i="6" l="1"/>
  <c r="F1259" i="6" s="1"/>
  <c r="G1260" i="6" s="1"/>
  <c r="B1261" i="6"/>
  <c r="C1261" i="6" s="1"/>
  <c r="D1261" i="6" s="1" a="1"/>
  <c r="D1261" i="6" s="1"/>
  <c r="H1260" i="6"/>
  <c r="I1260" i="6" l="1"/>
  <c r="E1260" i="6"/>
  <c r="F1260" i="6" s="1"/>
  <c r="G1261" i="6" s="1"/>
  <c r="B1262" i="6"/>
  <c r="C1262" i="6" s="1"/>
  <c r="D1262" i="6" s="1" a="1"/>
  <c r="D1262" i="6" s="1"/>
  <c r="H1261" i="6"/>
  <c r="I1261" i="6" l="1"/>
  <c r="E1261" i="6"/>
  <c r="F1261" i="6" s="1"/>
  <c r="G1262" i="6" s="1"/>
  <c r="B1263" i="6"/>
  <c r="C1263" i="6" s="1"/>
  <c r="D1263" i="6" s="1" a="1"/>
  <c r="D1263" i="6" s="1"/>
  <c r="H1262" i="6"/>
  <c r="I1262" i="6" l="1"/>
  <c r="E1262" i="6"/>
  <c r="F1262" i="6" s="1"/>
  <c r="G1263" i="6" s="1"/>
  <c r="B1264" i="6"/>
  <c r="C1264" i="6" s="1"/>
  <c r="D1264" i="6" s="1" a="1"/>
  <c r="D1264" i="6" s="1"/>
  <c r="H1263" i="6"/>
  <c r="I1263" i="6" l="1"/>
  <c r="E1263" i="6"/>
  <c r="F1263" i="6" s="1"/>
  <c r="G1264" i="6" s="1"/>
  <c r="B1265" i="6"/>
  <c r="C1265" i="6" s="1"/>
  <c r="D1265" i="6" s="1" a="1"/>
  <c r="D1265" i="6" s="1"/>
  <c r="H1264" i="6"/>
  <c r="I1264" i="6" l="1"/>
  <c r="E1264" i="6"/>
  <c r="F1264" i="6" s="1"/>
  <c r="G1265" i="6" s="1"/>
  <c r="B1266" i="6"/>
  <c r="C1266" i="6" s="1"/>
  <c r="D1266" i="6" s="1" a="1"/>
  <c r="D1266" i="6" s="1"/>
  <c r="H1265" i="6"/>
  <c r="I1265" i="6" l="1"/>
  <c r="E1265" i="6"/>
  <c r="F1265" i="6" s="1"/>
  <c r="B1267" i="6"/>
  <c r="C1267" i="6" s="1"/>
  <c r="D1267" i="6" s="1" a="1"/>
  <c r="D1267" i="6" s="1"/>
  <c r="H1266" i="6"/>
  <c r="G1266" i="6"/>
  <c r="I1266" i="6" s="1"/>
  <c r="E1266" i="6" l="1"/>
  <c r="F1266" i="6" s="1"/>
  <c r="G1267" i="6" s="1"/>
  <c r="B1268" i="6"/>
  <c r="C1268" i="6" s="1"/>
  <c r="D1268" i="6" s="1" a="1"/>
  <c r="D1268" i="6" s="1"/>
  <c r="H1267" i="6"/>
  <c r="I1267" i="6" l="1"/>
  <c r="E1267" i="6"/>
  <c r="F1267" i="6" s="1"/>
  <c r="G1268" i="6" s="1"/>
  <c r="B1269" i="6"/>
  <c r="C1269" i="6" s="1"/>
  <c r="D1269" i="6" s="1" a="1"/>
  <c r="D1269" i="6" s="1"/>
  <c r="H1268" i="6"/>
  <c r="I1268" i="6" l="1"/>
  <c r="E1268" i="6"/>
  <c r="F1268" i="6" s="1"/>
  <c r="G1269" i="6" s="1"/>
  <c r="B1270" i="6"/>
  <c r="C1270" i="6" s="1"/>
  <c r="D1270" i="6" s="1" a="1"/>
  <c r="D1270" i="6" s="1"/>
  <c r="H1269" i="6"/>
  <c r="I1269" i="6" l="1"/>
  <c r="E1269" i="6"/>
  <c r="F1269" i="6" s="1"/>
  <c r="G1270" i="6" s="1"/>
  <c r="B1271" i="6"/>
  <c r="C1271" i="6" s="1"/>
  <c r="D1271" i="6" s="1" a="1"/>
  <c r="D1271" i="6" s="1"/>
  <c r="H1270" i="6"/>
  <c r="I1270" i="6" l="1"/>
  <c r="E1270" i="6"/>
  <c r="F1270" i="6" s="1"/>
  <c r="B1272" i="6"/>
  <c r="C1272" i="6" s="1"/>
  <c r="D1272" i="6" s="1" a="1"/>
  <c r="D1272" i="6" s="1"/>
  <c r="H1271" i="6"/>
  <c r="G1271" i="6"/>
  <c r="I1271" i="6" s="1"/>
  <c r="E1271" i="6" l="1"/>
  <c r="F1271" i="6" s="1"/>
  <c r="G1272" i="6" s="1"/>
  <c r="B1273" i="6"/>
  <c r="C1273" i="6" s="1"/>
  <c r="D1273" i="6" s="1" a="1"/>
  <c r="D1273" i="6" s="1"/>
  <c r="H1272" i="6"/>
  <c r="I1272" i="6" l="1"/>
  <c r="E1272" i="6"/>
  <c r="F1272" i="6" s="1"/>
  <c r="G1273" i="6" s="1"/>
  <c r="B1274" i="6"/>
  <c r="C1274" i="6" s="1"/>
  <c r="D1274" i="6" s="1" a="1"/>
  <c r="D1274" i="6" s="1"/>
  <c r="H1273" i="6"/>
  <c r="I1273" i="6" l="1"/>
  <c r="E1273" i="6"/>
  <c r="F1273" i="6" s="1"/>
  <c r="B1275" i="6"/>
  <c r="C1275" i="6" s="1"/>
  <c r="D1275" i="6" s="1" a="1"/>
  <c r="D1275" i="6" s="1"/>
  <c r="H1274" i="6"/>
  <c r="G1274" i="6"/>
  <c r="I1274" i="6" s="1"/>
  <c r="E1274" i="6" l="1"/>
  <c r="F1274" i="6" s="1"/>
  <c r="G1275" i="6" s="1"/>
  <c r="B1276" i="6"/>
  <c r="C1276" i="6" s="1"/>
  <c r="D1276" i="6" s="1" a="1"/>
  <c r="D1276" i="6" s="1"/>
  <c r="H1275" i="6"/>
  <c r="I1275" i="6" l="1"/>
  <c r="E1275" i="6"/>
  <c r="F1275" i="6" s="1"/>
  <c r="B1277" i="6"/>
  <c r="C1277" i="6" s="1"/>
  <c r="D1277" i="6" s="1" a="1"/>
  <c r="D1277" i="6" s="1"/>
  <c r="H1276" i="6"/>
  <c r="G1276" i="6"/>
  <c r="I1276" i="6" s="1"/>
  <c r="E1276" i="6" l="1"/>
  <c r="F1276" i="6" s="1"/>
  <c r="G1277" i="6" s="1"/>
  <c r="B1278" i="6"/>
  <c r="C1278" i="6" s="1"/>
  <c r="D1278" i="6" s="1" a="1"/>
  <c r="D1278" i="6" s="1"/>
  <c r="H1277" i="6"/>
  <c r="I1277" i="6" l="1"/>
  <c r="E1277" i="6"/>
  <c r="F1277" i="6" s="1"/>
  <c r="G1278" i="6" s="1"/>
  <c r="B1279" i="6"/>
  <c r="C1279" i="6" s="1"/>
  <c r="D1279" i="6" s="1" a="1"/>
  <c r="D1279" i="6" s="1"/>
  <c r="H1278" i="6"/>
  <c r="I1278" i="6" l="1"/>
  <c r="E1278" i="6"/>
  <c r="F1278" i="6" s="1"/>
  <c r="G1279" i="6" s="1"/>
  <c r="B1280" i="6"/>
  <c r="C1280" i="6" s="1"/>
  <c r="D1280" i="6" s="1" a="1"/>
  <c r="D1280" i="6" s="1"/>
  <c r="H1279" i="6"/>
  <c r="I1279" i="6" l="1"/>
  <c r="E1279" i="6"/>
  <c r="F1279" i="6" s="1"/>
  <c r="G1280" i="6" s="1"/>
  <c r="B1281" i="6"/>
  <c r="C1281" i="6" s="1"/>
  <c r="D1281" i="6" s="1" a="1"/>
  <c r="D1281" i="6" s="1"/>
  <c r="H1280" i="6"/>
  <c r="I1280" i="6" l="1"/>
  <c r="E1280" i="6"/>
  <c r="F1280" i="6" s="1"/>
  <c r="G1281" i="6" s="1"/>
  <c r="B1282" i="6"/>
  <c r="C1282" i="6" s="1"/>
  <c r="D1282" i="6" s="1" a="1"/>
  <c r="D1282" i="6" s="1"/>
  <c r="H1281" i="6"/>
  <c r="I1281" i="6" l="1"/>
  <c r="E1281" i="6"/>
  <c r="F1281" i="6" s="1"/>
  <c r="G1282" i="6" s="1"/>
  <c r="B1283" i="6"/>
  <c r="C1283" i="6" s="1"/>
  <c r="D1283" i="6" s="1" a="1"/>
  <c r="D1283" i="6" s="1"/>
  <c r="H1282" i="6"/>
  <c r="I1282" i="6" l="1"/>
  <c r="E1282" i="6"/>
  <c r="F1282" i="6" s="1"/>
  <c r="G1283" i="6" s="1"/>
  <c r="B1284" i="6"/>
  <c r="C1284" i="6" s="1"/>
  <c r="D1284" i="6" s="1" a="1"/>
  <c r="D1284" i="6" s="1"/>
  <c r="H1283" i="6"/>
  <c r="I1283" i="6" l="1"/>
  <c r="E1283" i="6"/>
  <c r="F1283" i="6" s="1"/>
  <c r="G1284" i="6" s="1"/>
  <c r="B1285" i="6"/>
  <c r="C1285" i="6" s="1"/>
  <c r="D1285" i="6" s="1" a="1"/>
  <c r="D1285" i="6" s="1"/>
  <c r="H1284" i="6"/>
  <c r="I1284" i="6" l="1"/>
  <c r="E1284" i="6"/>
  <c r="F1284" i="6" s="1"/>
  <c r="G1285" i="6" s="1"/>
  <c r="B1286" i="6"/>
  <c r="C1286" i="6" s="1"/>
  <c r="D1286" i="6" s="1" a="1"/>
  <c r="D1286" i="6" s="1"/>
  <c r="H1285" i="6"/>
  <c r="I1285" i="6" l="1"/>
  <c r="E1285" i="6"/>
  <c r="F1285" i="6" s="1"/>
  <c r="G1286" i="6" s="1"/>
  <c r="B1287" i="6"/>
  <c r="C1287" i="6" s="1"/>
  <c r="D1287" i="6" s="1" a="1"/>
  <c r="D1287" i="6" s="1"/>
  <c r="H1286" i="6"/>
  <c r="I1286" i="6" l="1"/>
  <c r="E1286" i="6"/>
  <c r="F1286" i="6" s="1"/>
  <c r="G1287" i="6" s="1"/>
  <c r="B1288" i="6"/>
  <c r="C1288" i="6" s="1"/>
  <c r="D1288" i="6" s="1" a="1"/>
  <c r="D1288" i="6" s="1"/>
  <c r="H1287" i="6"/>
  <c r="I1287" i="6" l="1"/>
  <c r="E1287" i="6"/>
  <c r="F1287" i="6" s="1"/>
  <c r="G1288" i="6" s="1"/>
  <c r="B1289" i="6"/>
  <c r="C1289" i="6" s="1"/>
  <c r="D1289" i="6" s="1" a="1"/>
  <c r="D1289" i="6" s="1"/>
  <c r="H1288" i="6"/>
  <c r="I1288" i="6" l="1"/>
  <c r="E1288" i="6"/>
  <c r="F1288" i="6" s="1"/>
  <c r="G1289" i="6" s="1"/>
  <c r="B1290" i="6"/>
  <c r="C1290" i="6" s="1"/>
  <c r="D1290" i="6" s="1" a="1"/>
  <c r="D1290" i="6" s="1"/>
  <c r="H1289" i="6"/>
  <c r="I1289" i="6" l="1"/>
  <c r="E1289" i="6"/>
  <c r="F1289" i="6" s="1"/>
  <c r="G1290" i="6" s="1"/>
  <c r="B1291" i="6"/>
  <c r="C1291" i="6" s="1"/>
  <c r="D1291" i="6" s="1" a="1"/>
  <c r="D1291" i="6" s="1"/>
  <c r="H1290" i="6"/>
  <c r="I1290" i="6" l="1"/>
  <c r="E1290" i="6"/>
  <c r="F1290" i="6" s="1"/>
  <c r="G1291" i="6" s="1"/>
  <c r="B1292" i="6"/>
  <c r="C1292" i="6" s="1"/>
  <c r="D1292" i="6" s="1" a="1"/>
  <c r="D1292" i="6" s="1"/>
  <c r="H1291" i="6"/>
  <c r="I1291" i="6" l="1"/>
  <c r="E1291" i="6"/>
  <c r="F1291" i="6" s="1"/>
  <c r="G1292" i="6" s="1"/>
  <c r="B1293" i="6"/>
  <c r="C1293" i="6" s="1"/>
  <c r="D1293" i="6" s="1" a="1"/>
  <c r="D1293" i="6" s="1"/>
  <c r="H1292" i="6"/>
  <c r="I1292" i="6" l="1"/>
  <c r="E1292" i="6"/>
  <c r="F1292" i="6" s="1"/>
  <c r="G1293" i="6" s="1"/>
  <c r="B1294" i="6"/>
  <c r="C1294" i="6" s="1"/>
  <c r="D1294" i="6" s="1" a="1"/>
  <c r="D1294" i="6" s="1"/>
  <c r="H1293" i="6"/>
  <c r="I1293" i="6" l="1"/>
  <c r="E1293" i="6"/>
  <c r="F1293" i="6" s="1"/>
  <c r="G1294" i="6" s="1"/>
  <c r="B1295" i="6"/>
  <c r="C1295" i="6" s="1"/>
  <c r="D1295" i="6" s="1" a="1"/>
  <c r="D1295" i="6" s="1"/>
  <c r="H1294" i="6"/>
  <c r="I1294" i="6" l="1"/>
  <c r="E1294" i="6"/>
  <c r="F1294" i="6" s="1"/>
  <c r="G1295" i="6" s="1"/>
  <c r="B1296" i="6"/>
  <c r="C1296" i="6" s="1"/>
  <c r="D1296" i="6" s="1" a="1"/>
  <c r="D1296" i="6" s="1"/>
  <c r="H1295" i="6"/>
  <c r="I1295" i="6" l="1"/>
  <c r="E1295" i="6"/>
  <c r="F1295" i="6" s="1"/>
  <c r="G1296" i="6" s="1"/>
  <c r="B1297" i="6"/>
  <c r="C1297" i="6" s="1"/>
  <c r="D1297" i="6" s="1" a="1"/>
  <c r="D1297" i="6" s="1"/>
  <c r="H1296" i="6"/>
  <c r="I1296" i="6" l="1"/>
  <c r="E1296" i="6"/>
  <c r="F1296" i="6" s="1"/>
  <c r="G1297" i="6" s="1"/>
  <c r="B1298" i="6"/>
  <c r="C1298" i="6" s="1"/>
  <c r="D1298" i="6" s="1" a="1"/>
  <c r="D1298" i="6" s="1"/>
  <c r="H1297" i="6"/>
  <c r="I1297" i="6" l="1"/>
  <c r="E1297" i="6"/>
  <c r="F1297" i="6" s="1"/>
  <c r="G1298" i="6" s="1"/>
  <c r="B1299" i="6"/>
  <c r="C1299" i="6" s="1"/>
  <c r="D1299" i="6" s="1" a="1"/>
  <c r="D1299" i="6" s="1"/>
  <c r="H1298" i="6"/>
  <c r="I1298" i="6" l="1"/>
  <c r="E1298" i="6"/>
  <c r="F1298" i="6" s="1"/>
  <c r="G1299" i="6" s="1"/>
  <c r="B1300" i="6"/>
  <c r="C1300" i="6" s="1"/>
  <c r="D1300" i="6" s="1" a="1"/>
  <c r="D1300" i="6" s="1"/>
  <c r="H1299" i="6"/>
  <c r="I1299" i="6" l="1"/>
  <c r="E1299" i="6"/>
  <c r="F1299" i="6" s="1"/>
  <c r="G1300" i="6" s="1"/>
  <c r="B1301" i="6"/>
  <c r="C1301" i="6" s="1"/>
  <c r="D1301" i="6" s="1" a="1"/>
  <c r="D1301" i="6" s="1"/>
  <c r="H1300" i="6"/>
  <c r="I1300" i="6" l="1"/>
  <c r="E1300" i="6"/>
  <c r="F1300" i="6" s="1"/>
  <c r="G1301" i="6" s="1"/>
  <c r="B1302" i="6"/>
  <c r="C1302" i="6" s="1"/>
  <c r="D1302" i="6" s="1" a="1"/>
  <c r="D1302" i="6" s="1"/>
  <c r="H1301" i="6"/>
  <c r="I1301" i="6" l="1"/>
  <c r="E1301" i="6"/>
  <c r="F1301" i="6" s="1"/>
  <c r="G1302" i="6" s="1"/>
  <c r="B1303" i="6"/>
  <c r="C1303" i="6" s="1"/>
  <c r="D1303" i="6" s="1" a="1"/>
  <c r="D1303" i="6" s="1"/>
  <c r="H1302" i="6"/>
  <c r="I1302" i="6" l="1"/>
  <c r="E1302" i="6"/>
  <c r="F1302" i="6" s="1"/>
  <c r="G1303" i="6" s="1"/>
  <c r="B1304" i="6"/>
  <c r="C1304" i="6" s="1"/>
  <c r="D1304" i="6" s="1" a="1"/>
  <c r="D1304" i="6" s="1"/>
  <c r="H1303" i="6"/>
  <c r="I1303" i="6" l="1"/>
  <c r="E1303" i="6"/>
  <c r="F1303" i="6" s="1"/>
  <c r="G1304" i="6" s="1"/>
  <c r="B1305" i="6"/>
  <c r="C1305" i="6" s="1"/>
  <c r="D1305" i="6" s="1" a="1"/>
  <c r="D1305" i="6" s="1"/>
  <c r="H1304" i="6"/>
  <c r="I1304" i="6" l="1"/>
  <c r="E1304" i="6"/>
  <c r="F1304" i="6" s="1"/>
  <c r="G1305" i="6" s="1"/>
  <c r="B1306" i="6"/>
  <c r="C1306" i="6" s="1"/>
  <c r="D1306" i="6" s="1" a="1"/>
  <c r="D1306" i="6" s="1"/>
  <c r="H1305" i="6"/>
  <c r="I1305" i="6" l="1"/>
  <c r="E1305" i="6"/>
  <c r="F1305" i="6" s="1"/>
  <c r="G1306" i="6" s="1"/>
  <c r="B1307" i="6"/>
  <c r="C1307" i="6" s="1"/>
  <c r="D1307" i="6" s="1" a="1"/>
  <c r="D1307" i="6" s="1"/>
  <c r="H1306" i="6"/>
  <c r="I1306" i="6" l="1"/>
  <c r="E1306" i="6"/>
  <c r="F1306" i="6" s="1"/>
  <c r="G1307" i="6" s="1"/>
  <c r="B1308" i="6"/>
  <c r="C1308" i="6" s="1"/>
  <c r="D1308" i="6" s="1" a="1"/>
  <c r="D1308" i="6" s="1"/>
  <c r="H1307" i="6"/>
  <c r="I1307" i="6" l="1"/>
  <c r="E1307" i="6"/>
  <c r="F1307" i="6" s="1"/>
  <c r="G1308" i="6" s="1"/>
  <c r="B1309" i="6"/>
  <c r="C1309" i="6" s="1"/>
  <c r="D1309" i="6" s="1" a="1"/>
  <c r="D1309" i="6" s="1"/>
  <c r="H1308" i="6"/>
  <c r="I1308" i="6" l="1"/>
  <c r="E1308" i="6"/>
  <c r="F1308" i="6" s="1"/>
  <c r="G1309" i="6" s="1"/>
  <c r="B1310" i="6"/>
  <c r="C1310" i="6" s="1"/>
  <c r="D1310" i="6" s="1" a="1"/>
  <c r="D1310" i="6" s="1"/>
  <c r="H1309" i="6"/>
  <c r="I1309" i="6" l="1"/>
  <c r="E1309" i="6"/>
  <c r="F1309" i="6" s="1"/>
  <c r="G1310" i="6" s="1"/>
  <c r="B1311" i="6"/>
  <c r="C1311" i="6" s="1"/>
  <c r="D1311" i="6" s="1" a="1"/>
  <c r="D1311" i="6" s="1"/>
  <c r="H1310" i="6"/>
  <c r="I1310" i="6" l="1"/>
  <c r="E1310" i="6"/>
  <c r="F1310" i="6" s="1"/>
  <c r="B1312" i="6"/>
  <c r="C1312" i="6" s="1"/>
  <c r="D1312" i="6" s="1" a="1"/>
  <c r="D1312" i="6" s="1"/>
  <c r="H1311" i="6"/>
  <c r="G1311" i="6"/>
  <c r="I1311" i="6" s="1"/>
  <c r="E1311" i="6" l="1"/>
  <c r="F1311" i="6" s="1"/>
  <c r="G1312" i="6" s="1"/>
  <c r="B1313" i="6"/>
  <c r="C1313" i="6" s="1"/>
  <c r="D1313" i="6" s="1" a="1"/>
  <c r="D1313" i="6" s="1"/>
  <c r="H1312" i="6"/>
  <c r="I1312" i="6" l="1"/>
  <c r="E1312" i="6"/>
  <c r="F1312" i="6" s="1"/>
  <c r="G1313" i="6" s="1"/>
  <c r="B1314" i="6"/>
  <c r="C1314" i="6" s="1"/>
  <c r="D1314" i="6" s="1" a="1"/>
  <c r="D1314" i="6" s="1"/>
  <c r="H1313" i="6"/>
  <c r="I1313" i="6" l="1"/>
  <c r="E1313" i="6"/>
  <c r="F1313" i="6" s="1"/>
  <c r="G1314" i="6" s="1"/>
  <c r="B1315" i="6"/>
  <c r="C1315" i="6" s="1"/>
  <c r="D1315" i="6" s="1" a="1"/>
  <c r="D1315" i="6" s="1"/>
  <c r="H1314" i="6"/>
  <c r="I1314" i="6" l="1"/>
  <c r="E1314" i="6"/>
  <c r="F1314" i="6" s="1"/>
  <c r="G1315" i="6" s="1"/>
  <c r="B1316" i="6"/>
  <c r="C1316" i="6" s="1"/>
  <c r="D1316" i="6" s="1" a="1"/>
  <c r="D1316" i="6" s="1"/>
  <c r="H1315" i="6"/>
  <c r="I1315" i="6" l="1"/>
  <c r="E1315" i="6"/>
  <c r="F1315" i="6" s="1"/>
  <c r="G1316" i="6" s="1"/>
  <c r="B1317" i="6"/>
  <c r="C1317" i="6" s="1"/>
  <c r="D1317" i="6" s="1" a="1"/>
  <c r="D1317" i="6" s="1"/>
  <c r="H1316" i="6"/>
  <c r="I1316" i="6" l="1"/>
  <c r="E1316" i="6"/>
  <c r="F1316" i="6" s="1"/>
  <c r="G1317" i="6" s="1"/>
  <c r="B1318" i="6"/>
  <c r="C1318" i="6" s="1"/>
  <c r="D1318" i="6" s="1" a="1"/>
  <c r="D1318" i="6" s="1"/>
  <c r="H1317" i="6"/>
  <c r="I1317" i="6" l="1"/>
  <c r="E1317" i="6"/>
  <c r="F1317" i="6" s="1"/>
  <c r="G1318" i="6" s="1"/>
  <c r="B1319" i="6"/>
  <c r="C1319" i="6" s="1"/>
  <c r="D1319" i="6" s="1" a="1"/>
  <c r="D1319" i="6" s="1"/>
  <c r="H1318" i="6"/>
  <c r="I1318" i="6" l="1"/>
  <c r="E1318" i="6"/>
  <c r="F1318" i="6" s="1"/>
  <c r="B1320" i="6"/>
  <c r="C1320" i="6" s="1"/>
  <c r="D1320" i="6" s="1" a="1"/>
  <c r="D1320" i="6" s="1"/>
  <c r="H1319" i="6"/>
  <c r="G1319" i="6"/>
  <c r="I1319" i="6" s="1"/>
  <c r="E1319" i="6" l="1"/>
  <c r="F1319" i="6" s="1"/>
  <c r="B1321" i="6"/>
  <c r="C1321" i="6" s="1"/>
  <c r="D1321" i="6" s="1" a="1"/>
  <c r="D1321" i="6" s="1"/>
  <c r="H1320" i="6"/>
  <c r="G1320" i="6"/>
  <c r="I1320" i="6" s="1"/>
  <c r="E1320" i="6" l="1"/>
  <c r="F1320" i="6" s="1"/>
  <c r="G1321" i="6" s="1"/>
  <c r="B1322" i="6"/>
  <c r="C1322" i="6" s="1"/>
  <c r="D1322" i="6" s="1" a="1"/>
  <c r="D1322" i="6" s="1"/>
  <c r="H1321" i="6"/>
  <c r="I1321" i="6" l="1"/>
  <c r="E1321" i="6"/>
  <c r="F1321" i="6" s="1"/>
  <c r="G1322" i="6" s="1"/>
  <c r="B1323" i="6"/>
  <c r="C1323" i="6" s="1"/>
  <c r="D1323" i="6" s="1" a="1"/>
  <c r="D1323" i="6" s="1"/>
  <c r="H1322" i="6"/>
  <c r="I1322" i="6" l="1"/>
  <c r="E1322" i="6"/>
  <c r="F1322" i="6" s="1"/>
  <c r="B1324" i="6"/>
  <c r="C1324" i="6" s="1"/>
  <c r="D1324" i="6" s="1" a="1"/>
  <c r="D1324" i="6" s="1"/>
  <c r="H1323" i="6"/>
  <c r="G1323" i="6"/>
  <c r="I1323" i="6" s="1"/>
  <c r="E1323" i="6" l="1"/>
  <c r="F1323" i="6" s="1"/>
  <c r="G1324" i="6" s="1"/>
  <c r="B1325" i="6"/>
  <c r="C1325" i="6" s="1"/>
  <c r="D1325" i="6" s="1" a="1"/>
  <c r="D1325" i="6" s="1"/>
  <c r="H1324" i="6"/>
  <c r="I1324" i="6" l="1"/>
  <c r="E1324" i="6"/>
  <c r="F1324" i="6" s="1"/>
  <c r="G1325" i="6" s="1"/>
  <c r="B1326" i="6"/>
  <c r="C1326" i="6" s="1"/>
  <c r="D1326" i="6" s="1" a="1"/>
  <c r="D1326" i="6" s="1"/>
  <c r="H1325" i="6"/>
  <c r="I1325" i="6" l="1"/>
  <c r="E1325" i="6"/>
  <c r="F1325" i="6" s="1"/>
  <c r="G1326" i="6" s="1"/>
  <c r="B1327" i="6"/>
  <c r="C1327" i="6" s="1"/>
  <c r="D1327" i="6" s="1" a="1"/>
  <c r="D1327" i="6" s="1"/>
  <c r="H1326" i="6"/>
  <c r="I1326" i="6" l="1"/>
  <c r="E1326" i="6"/>
  <c r="F1326" i="6" s="1"/>
  <c r="G1327" i="6" s="1"/>
  <c r="B1328" i="6"/>
  <c r="C1328" i="6" s="1"/>
  <c r="D1328" i="6" s="1" a="1"/>
  <c r="D1328" i="6" s="1"/>
  <c r="H1327" i="6"/>
  <c r="I1327" i="6" l="1"/>
  <c r="E1327" i="6"/>
  <c r="F1327" i="6" s="1"/>
  <c r="G1328" i="6" s="1"/>
  <c r="B1329" i="6"/>
  <c r="C1329" i="6" s="1"/>
  <c r="D1329" i="6" s="1" a="1"/>
  <c r="D1329" i="6" s="1"/>
  <c r="H1328" i="6"/>
  <c r="I1328" i="6" l="1"/>
  <c r="E1328" i="6"/>
  <c r="F1328" i="6" s="1"/>
  <c r="G1329" i="6" s="1"/>
  <c r="B1330" i="6"/>
  <c r="C1330" i="6" s="1"/>
  <c r="D1330" i="6" s="1" a="1"/>
  <c r="D1330" i="6" s="1"/>
  <c r="H1329" i="6"/>
  <c r="I1329" i="6" l="1"/>
  <c r="E1329" i="6"/>
  <c r="F1329" i="6" s="1"/>
  <c r="G1330" i="6" s="1"/>
  <c r="B1331" i="6"/>
  <c r="C1331" i="6" s="1"/>
  <c r="D1331" i="6" s="1" a="1"/>
  <c r="D1331" i="6" s="1"/>
  <c r="H1330" i="6"/>
  <c r="I1330" i="6" l="1"/>
  <c r="E1330" i="6"/>
  <c r="F1330" i="6" s="1"/>
  <c r="G1331" i="6" s="1"/>
  <c r="B1332" i="6"/>
  <c r="C1332" i="6" s="1"/>
  <c r="D1332" i="6" s="1" a="1"/>
  <c r="D1332" i="6" s="1"/>
  <c r="H1331" i="6"/>
  <c r="I1331" i="6" l="1"/>
  <c r="E1331" i="6"/>
  <c r="F1331" i="6" s="1"/>
  <c r="B1333" i="6"/>
  <c r="C1333" i="6" s="1"/>
  <c r="D1333" i="6" s="1" a="1"/>
  <c r="D1333" i="6" s="1"/>
  <c r="H1332" i="6"/>
  <c r="G1332" i="6"/>
  <c r="I1332" i="6" s="1"/>
  <c r="E1332" i="6" l="1"/>
  <c r="F1332" i="6" s="1"/>
  <c r="G1333" i="6" s="1"/>
  <c r="B1334" i="6"/>
  <c r="C1334" i="6" s="1"/>
  <c r="D1334" i="6" s="1" a="1"/>
  <c r="D1334" i="6" s="1"/>
  <c r="H1333" i="6"/>
  <c r="I1333" i="6" l="1"/>
  <c r="E1333" i="6"/>
  <c r="F1333" i="6" s="1"/>
  <c r="G1334" i="6" s="1"/>
  <c r="B1335" i="6"/>
  <c r="C1335" i="6" s="1"/>
  <c r="D1335" i="6" s="1" a="1"/>
  <c r="D1335" i="6" s="1"/>
  <c r="H1334" i="6"/>
  <c r="I1334" i="6" l="1"/>
  <c r="E1334" i="6"/>
  <c r="F1334" i="6" s="1"/>
  <c r="B1336" i="6"/>
  <c r="C1336" i="6" s="1"/>
  <c r="D1336" i="6" s="1" a="1"/>
  <c r="D1336" i="6" s="1"/>
  <c r="H1335" i="6"/>
  <c r="G1335" i="6"/>
  <c r="I1335" i="6" s="1"/>
  <c r="E1335" i="6" l="1"/>
  <c r="F1335" i="6" s="1"/>
  <c r="G1336" i="6" s="1"/>
  <c r="B1337" i="6"/>
  <c r="C1337" i="6" s="1"/>
  <c r="D1337" i="6" s="1" a="1"/>
  <c r="D1337" i="6" s="1"/>
  <c r="H1336" i="6"/>
  <c r="I1336" i="6" l="1"/>
  <c r="E1336" i="6"/>
  <c r="F1336" i="6" s="1"/>
  <c r="G1337" i="6" s="1"/>
  <c r="B1338" i="6"/>
  <c r="C1338" i="6" s="1"/>
  <c r="D1338" i="6" s="1" a="1"/>
  <c r="D1338" i="6" s="1"/>
  <c r="H1337" i="6"/>
  <c r="I1337" i="6" l="1"/>
  <c r="E1337" i="6"/>
  <c r="F1337" i="6" s="1"/>
  <c r="G1338" i="6" s="1"/>
  <c r="B1339" i="6"/>
  <c r="C1339" i="6" s="1"/>
  <c r="D1339" i="6" s="1" a="1"/>
  <c r="D1339" i="6" s="1"/>
  <c r="H1338" i="6"/>
  <c r="I1338" i="6" l="1"/>
  <c r="E1338" i="6"/>
  <c r="F1338" i="6" s="1"/>
  <c r="G1339" i="6" s="1"/>
  <c r="B1340" i="6"/>
  <c r="C1340" i="6" s="1"/>
  <c r="D1340" i="6" s="1" a="1"/>
  <c r="D1340" i="6" s="1"/>
  <c r="H1339" i="6"/>
  <c r="I1339" i="6" l="1"/>
  <c r="E1339" i="6"/>
  <c r="F1339" i="6" s="1"/>
  <c r="G1340" i="6" s="1"/>
  <c r="B1341" i="6"/>
  <c r="C1341" i="6" s="1"/>
  <c r="D1341" i="6" s="1" a="1"/>
  <c r="D1341" i="6" s="1"/>
  <c r="H1340" i="6"/>
  <c r="I1340" i="6" l="1"/>
  <c r="E1340" i="6"/>
  <c r="F1340" i="6" s="1"/>
  <c r="G1341" i="6" s="1"/>
  <c r="B1342" i="6"/>
  <c r="C1342" i="6" s="1"/>
  <c r="D1342" i="6" s="1" a="1"/>
  <c r="D1342" i="6" s="1"/>
  <c r="H1341" i="6"/>
  <c r="I1341" i="6" l="1"/>
  <c r="E1341" i="6"/>
  <c r="F1341" i="6" s="1"/>
  <c r="B1343" i="6"/>
  <c r="C1343" i="6" s="1"/>
  <c r="D1343" i="6" s="1" a="1"/>
  <c r="D1343" i="6" s="1"/>
  <c r="H1342" i="6"/>
  <c r="G1342" i="6"/>
  <c r="I1342" i="6" s="1"/>
  <c r="E1342" i="6" l="1"/>
  <c r="F1342" i="6" s="1"/>
  <c r="G1343" i="6" s="1"/>
  <c r="B1344" i="6"/>
  <c r="C1344" i="6" s="1"/>
  <c r="D1344" i="6" s="1" a="1"/>
  <c r="D1344" i="6" s="1"/>
  <c r="H1343" i="6"/>
  <c r="I1343" i="6" l="1"/>
  <c r="E1343" i="6"/>
  <c r="F1343" i="6" s="1"/>
  <c r="G1344" i="6" s="1"/>
  <c r="B1345" i="6"/>
  <c r="C1345" i="6" s="1"/>
  <c r="D1345" i="6" s="1" a="1"/>
  <c r="D1345" i="6" s="1"/>
  <c r="H1344" i="6"/>
  <c r="I1344" i="6" l="1"/>
  <c r="E1344" i="6"/>
  <c r="F1344" i="6" s="1"/>
  <c r="G1345" i="6" s="1"/>
  <c r="B1346" i="6"/>
  <c r="C1346" i="6" s="1"/>
  <c r="D1346" i="6" s="1" a="1"/>
  <c r="D1346" i="6" s="1"/>
  <c r="H1345" i="6"/>
  <c r="I1345" i="6" l="1"/>
  <c r="E1345" i="6"/>
  <c r="F1345" i="6" s="1"/>
  <c r="G1346" i="6" s="1"/>
  <c r="B1347" i="6"/>
  <c r="C1347" i="6" s="1"/>
  <c r="D1347" i="6" s="1" a="1"/>
  <c r="D1347" i="6" s="1"/>
  <c r="H1346" i="6"/>
  <c r="I1346" i="6" l="1"/>
  <c r="E1346" i="6"/>
  <c r="F1346" i="6" s="1"/>
  <c r="G1347" i="6" s="1"/>
  <c r="B1348" i="6"/>
  <c r="C1348" i="6" s="1"/>
  <c r="D1348" i="6" s="1" a="1"/>
  <c r="D1348" i="6" s="1"/>
  <c r="H1347" i="6"/>
  <c r="I1347" i="6" l="1"/>
  <c r="E1347" i="6"/>
  <c r="F1347" i="6" s="1"/>
  <c r="G1348" i="6" s="1"/>
  <c r="B1349" i="6"/>
  <c r="C1349" i="6" s="1"/>
  <c r="D1349" i="6" s="1" a="1"/>
  <c r="D1349" i="6" s="1"/>
  <c r="H1348" i="6"/>
  <c r="I1348" i="6" l="1"/>
  <c r="E1348" i="6"/>
  <c r="F1348" i="6" s="1"/>
  <c r="G1349" i="6" s="1"/>
  <c r="B1350" i="6"/>
  <c r="C1350" i="6" s="1"/>
  <c r="D1350" i="6" s="1" a="1"/>
  <c r="D1350" i="6" s="1"/>
  <c r="H1349" i="6"/>
  <c r="I1349" i="6" l="1"/>
  <c r="E1349" i="6"/>
  <c r="F1349" i="6" s="1"/>
  <c r="G1350" i="6" s="1"/>
  <c r="B1351" i="6"/>
  <c r="C1351" i="6" s="1"/>
  <c r="D1351" i="6" s="1" a="1"/>
  <c r="D1351" i="6" s="1"/>
  <c r="H1350" i="6"/>
  <c r="I1350" i="6" l="1"/>
  <c r="E1350" i="6"/>
  <c r="F1350" i="6" s="1"/>
  <c r="G1351" i="6" s="1"/>
  <c r="B1352" i="6"/>
  <c r="C1352" i="6" s="1"/>
  <c r="D1352" i="6" s="1" a="1"/>
  <c r="D1352" i="6" s="1"/>
  <c r="H1351" i="6"/>
  <c r="I1351" i="6" l="1"/>
  <c r="E1351" i="6"/>
  <c r="F1351" i="6" s="1"/>
  <c r="G1352" i="6" s="1"/>
  <c r="B1353" i="6"/>
  <c r="C1353" i="6" s="1"/>
  <c r="D1353" i="6" s="1" a="1"/>
  <c r="D1353" i="6" s="1"/>
  <c r="H1352" i="6"/>
  <c r="I1352" i="6" l="1"/>
  <c r="E1352" i="6"/>
  <c r="F1352" i="6" s="1"/>
  <c r="G1353" i="6" s="1"/>
  <c r="B1354" i="6"/>
  <c r="C1354" i="6" s="1"/>
  <c r="D1354" i="6" s="1" a="1"/>
  <c r="D1354" i="6" s="1"/>
  <c r="H1353" i="6"/>
  <c r="I1353" i="6" l="1"/>
  <c r="E1353" i="6"/>
  <c r="F1353" i="6" s="1"/>
  <c r="B1355" i="6"/>
  <c r="C1355" i="6" s="1"/>
  <c r="D1355" i="6" s="1" a="1"/>
  <c r="D1355" i="6" s="1"/>
  <c r="H1354" i="6"/>
  <c r="G1354" i="6"/>
  <c r="I1354" i="6" s="1"/>
  <c r="E1354" i="6" l="1"/>
  <c r="F1354" i="6" s="1"/>
  <c r="G1355" i="6" s="1"/>
  <c r="B1356" i="6"/>
  <c r="C1356" i="6" s="1"/>
  <c r="D1356" i="6" s="1" a="1"/>
  <c r="D1356" i="6" s="1"/>
  <c r="H1355" i="6"/>
  <c r="I1355" i="6" l="1"/>
  <c r="E1355" i="6"/>
  <c r="F1355" i="6" s="1"/>
  <c r="G1356" i="6" s="1"/>
  <c r="B1357" i="6"/>
  <c r="C1357" i="6" s="1"/>
  <c r="D1357" i="6" s="1" a="1"/>
  <c r="D1357" i="6" s="1"/>
  <c r="H1356" i="6"/>
  <c r="I1356" i="6" l="1"/>
  <c r="E1356" i="6"/>
  <c r="F1356" i="6" s="1"/>
  <c r="B1358" i="6"/>
  <c r="C1358" i="6" s="1"/>
  <c r="D1358" i="6" s="1" a="1"/>
  <c r="D1358" i="6" s="1"/>
  <c r="H1357" i="6"/>
  <c r="G1357" i="6"/>
  <c r="I1357" i="6" s="1"/>
  <c r="E1357" i="6" l="1"/>
  <c r="F1357" i="6" s="1"/>
  <c r="G1358" i="6" s="1"/>
  <c r="B1359" i="6"/>
  <c r="C1359" i="6" s="1"/>
  <c r="D1359" i="6" s="1" a="1"/>
  <c r="D1359" i="6" s="1"/>
  <c r="H1358" i="6"/>
  <c r="I1358" i="6" l="1"/>
  <c r="E1358" i="6"/>
  <c r="F1358" i="6" s="1"/>
  <c r="B1360" i="6"/>
  <c r="C1360" i="6" s="1"/>
  <c r="D1360" i="6" s="1" a="1"/>
  <c r="D1360" i="6" s="1"/>
  <c r="H1359" i="6"/>
  <c r="G1359" i="6"/>
  <c r="I1359" i="6" s="1"/>
  <c r="E1359" i="6" l="1"/>
  <c r="F1359" i="6" s="1"/>
  <c r="G1360" i="6" s="1"/>
  <c r="B1361" i="6"/>
  <c r="C1361" i="6" s="1"/>
  <c r="D1361" i="6" s="1" a="1"/>
  <c r="D1361" i="6" s="1"/>
  <c r="H1360" i="6"/>
  <c r="I1360" i="6" l="1"/>
  <c r="E1360" i="6"/>
  <c r="F1360" i="6" s="1"/>
  <c r="G1361" i="6" s="1"/>
  <c r="B1362" i="6"/>
  <c r="C1362" i="6" s="1"/>
  <c r="D1362" i="6" s="1" a="1"/>
  <c r="D1362" i="6" s="1"/>
  <c r="H1361" i="6"/>
  <c r="I1361" i="6" l="1"/>
  <c r="E1361" i="6"/>
  <c r="F1361" i="6" s="1"/>
  <c r="G1362" i="6" s="1"/>
  <c r="B1363" i="6"/>
  <c r="C1363" i="6" s="1"/>
  <c r="D1363" i="6" s="1" a="1"/>
  <c r="D1363" i="6" s="1"/>
  <c r="H1362" i="6"/>
  <c r="I1362" i="6" l="1"/>
  <c r="E1362" i="6"/>
  <c r="F1362" i="6" s="1"/>
  <c r="G1363" i="6" s="1"/>
  <c r="B1364" i="6"/>
  <c r="C1364" i="6" s="1"/>
  <c r="D1364" i="6" s="1" a="1"/>
  <c r="D1364" i="6" s="1"/>
  <c r="H1363" i="6"/>
  <c r="I1363" i="6" l="1"/>
  <c r="E1363" i="6"/>
  <c r="F1363" i="6" s="1"/>
  <c r="G1364" i="6" s="1"/>
  <c r="B1365" i="6"/>
  <c r="C1365" i="6" s="1"/>
  <c r="D1365" i="6" s="1" a="1"/>
  <c r="D1365" i="6" s="1"/>
  <c r="H1364" i="6"/>
  <c r="I1364" i="6" l="1"/>
  <c r="E1364" i="6"/>
  <c r="F1364" i="6" s="1"/>
  <c r="G1365" i="6" s="1"/>
  <c r="B1366" i="6"/>
  <c r="C1366" i="6" s="1"/>
  <c r="D1366" i="6" s="1" a="1"/>
  <c r="D1366" i="6" s="1"/>
  <c r="H1365" i="6"/>
  <c r="I1365" i="6" l="1"/>
  <c r="E1365" i="6"/>
  <c r="F1365" i="6" s="1"/>
  <c r="G1366" i="6" s="1"/>
  <c r="B1367" i="6"/>
  <c r="C1367" i="6" s="1"/>
  <c r="D1367" i="6" s="1" a="1"/>
  <c r="D1367" i="6" s="1"/>
  <c r="H1366" i="6"/>
  <c r="I1366" i="6" l="1"/>
  <c r="E1366" i="6"/>
  <c r="F1366" i="6" s="1"/>
  <c r="G1367" i="6" s="1"/>
  <c r="B1368" i="6"/>
  <c r="C1368" i="6" s="1"/>
  <c r="D1368" i="6" s="1" a="1"/>
  <c r="D1368" i="6" s="1"/>
  <c r="H1367" i="6"/>
  <c r="I1367" i="6" l="1"/>
  <c r="E1367" i="6"/>
  <c r="F1367" i="6" s="1"/>
  <c r="G1368" i="6" s="1"/>
  <c r="B1369" i="6"/>
  <c r="C1369" i="6" s="1"/>
  <c r="D1369" i="6" s="1" a="1"/>
  <c r="D1369" i="6" s="1"/>
  <c r="H1368" i="6"/>
  <c r="I1368" i="6" l="1"/>
  <c r="E1368" i="6"/>
  <c r="F1368" i="6" s="1"/>
  <c r="G1369" i="6" s="1"/>
  <c r="B1370" i="6"/>
  <c r="C1370" i="6" s="1"/>
  <c r="D1370" i="6" s="1" a="1"/>
  <c r="D1370" i="6" s="1"/>
  <c r="H1369" i="6"/>
  <c r="I1369" i="6" l="1"/>
  <c r="E1369" i="6"/>
  <c r="F1369" i="6" s="1"/>
  <c r="G1370" i="6" s="1"/>
  <c r="B1371" i="6"/>
  <c r="C1371" i="6" s="1"/>
  <c r="D1371" i="6" s="1" a="1"/>
  <c r="D1371" i="6" s="1"/>
  <c r="H1370" i="6"/>
  <c r="I1370" i="6" l="1"/>
  <c r="E1370" i="6"/>
  <c r="F1370" i="6" s="1"/>
  <c r="G1371" i="6" s="1"/>
  <c r="B1372" i="6"/>
  <c r="C1372" i="6" s="1"/>
  <c r="D1372" i="6" s="1" a="1"/>
  <c r="D1372" i="6" s="1"/>
  <c r="H1371" i="6"/>
  <c r="I1371" i="6" l="1"/>
  <c r="E1371" i="6"/>
  <c r="F1371" i="6" s="1"/>
  <c r="G1372" i="6" s="1"/>
  <c r="B1373" i="6"/>
  <c r="C1373" i="6" s="1"/>
  <c r="D1373" i="6" s="1" a="1"/>
  <c r="D1373" i="6" s="1"/>
  <c r="H1372" i="6"/>
  <c r="I1372" i="6" l="1"/>
  <c r="E1372" i="6"/>
  <c r="F1372" i="6" s="1"/>
  <c r="B1374" i="6"/>
  <c r="C1374" i="6" s="1"/>
  <c r="D1374" i="6" s="1" a="1"/>
  <c r="D1374" i="6" s="1"/>
  <c r="H1373" i="6"/>
  <c r="G1373" i="6"/>
  <c r="I1373" i="6" s="1"/>
  <c r="E1373" i="6" l="1"/>
  <c r="F1373" i="6" s="1"/>
  <c r="G1374" i="6" s="1"/>
  <c r="B1375" i="6"/>
  <c r="C1375" i="6" s="1"/>
  <c r="D1375" i="6" s="1" a="1"/>
  <c r="D1375" i="6" s="1"/>
  <c r="H1374" i="6"/>
  <c r="I1374" i="6" l="1"/>
  <c r="E1374" i="6"/>
  <c r="F1374" i="6" s="1"/>
  <c r="G1375" i="6" s="1"/>
  <c r="B1376" i="6"/>
  <c r="C1376" i="6" s="1"/>
  <c r="D1376" i="6" s="1" a="1"/>
  <c r="D1376" i="6" s="1"/>
  <c r="H1375" i="6"/>
  <c r="I1375" i="6" l="1"/>
  <c r="E1375" i="6"/>
  <c r="F1375" i="6" s="1"/>
  <c r="G1376" i="6" s="1"/>
  <c r="B1377" i="6"/>
  <c r="C1377" i="6" s="1"/>
  <c r="D1377" i="6" s="1" a="1"/>
  <c r="D1377" i="6" s="1"/>
  <c r="H1376" i="6"/>
  <c r="I1376" i="6" l="1"/>
  <c r="E1376" i="6"/>
  <c r="F1376" i="6" s="1"/>
  <c r="B1378" i="6"/>
  <c r="C1378" i="6" s="1"/>
  <c r="D1378" i="6" s="1" a="1"/>
  <c r="D1378" i="6" s="1"/>
  <c r="H1377" i="6"/>
  <c r="G1377" i="6"/>
  <c r="I1377" i="6" s="1"/>
  <c r="E1377" i="6" l="1"/>
  <c r="F1377" i="6" s="1"/>
  <c r="G1378" i="6" s="1"/>
  <c r="B1379" i="6"/>
  <c r="C1379" i="6" s="1"/>
  <c r="D1379" i="6" s="1" a="1"/>
  <c r="D1379" i="6" s="1"/>
  <c r="H1378" i="6"/>
  <c r="I1378" i="6" l="1"/>
  <c r="E1378" i="6"/>
  <c r="F1378" i="6" s="1"/>
  <c r="B1380" i="6"/>
  <c r="C1380" i="6" s="1"/>
  <c r="D1380" i="6" s="1" a="1"/>
  <c r="D1380" i="6" s="1"/>
  <c r="H1379" i="6"/>
  <c r="G1379" i="6"/>
  <c r="I1379" i="6" s="1"/>
  <c r="E1379" i="6" l="1"/>
  <c r="F1379" i="6" s="1"/>
  <c r="G1380" i="6" s="1"/>
  <c r="B1381" i="6"/>
  <c r="C1381" i="6" s="1"/>
  <c r="D1381" i="6" s="1" a="1"/>
  <c r="D1381" i="6" s="1"/>
  <c r="H1380" i="6"/>
  <c r="I1380" i="6" l="1"/>
  <c r="E1380" i="6"/>
  <c r="F1380" i="6" s="1"/>
  <c r="G1381" i="6" s="1"/>
  <c r="B1382" i="6"/>
  <c r="C1382" i="6" s="1"/>
  <c r="D1382" i="6" s="1" a="1"/>
  <c r="D1382" i="6" s="1"/>
  <c r="H1381" i="6"/>
  <c r="I1381" i="6" l="1"/>
  <c r="E1381" i="6"/>
  <c r="F1381" i="6" s="1"/>
  <c r="G1382" i="6" s="1"/>
  <c r="B1383" i="6"/>
  <c r="C1383" i="6" s="1"/>
  <c r="D1383" i="6" s="1" a="1"/>
  <c r="D1383" i="6" s="1"/>
  <c r="H1382" i="6"/>
  <c r="I1382" i="6" l="1"/>
  <c r="E1382" i="6"/>
  <c r="F1382" i="6" s="1"/>
  <c r="G1383" i="6" s="1"/>
  <c r="B1384" i="6"/>
  <c r="C1384" i="6" s="1"/>
  <c r="D1384" i="6" s="1" a="1"/>
  <c r="D1384" i="6" s="1"/>
  <c r="H1383" i="6"/>
  <c r="I1383" i="6" l="1"/>
  <c r="E1383" i="6"/>
  <c r="F1383" i="6" s="1"/>
  <c r="G1384" i="6" s="1"/>
  <c r="B1385" i="6"/>
  <c r="C1385" i="6" s="1"/>
  <c r="D1385" i="6" s="1" a="1"/>
  <c r="D1385" i="6" s="1"/>
  <c r="H1384" i="6"/>
  <c r="I1384" i="6" l="1"/>
  <c r="E1384" i="6"/>
  <c r="F1384" i="6" s="1"/>
  <c r="G1385" i="6" s="1"/>
  <c r="B1386" i="6"/>
  <c r="C1386" i="6" s="1"/>
  <c r="D1386" i="6" s="1" a="1"/>
  <c r="D1386" i="6" s="1"/>
  <c r="H1385" i="6"/>
  <c r="I1385" i="6" l="1"/>
  <c r="E1385" i="6"/>
  <c r="F1385" i="6" s="1"/>
  <c r="B1387" i="6"/>
  <c r="C1387" i="6" s="1"/>
  <c r="D1387" i="6" s="1" a="1"/>
  <c r="D1387" i="6" s="1"/>
  <c r="H1386" i="6"/>
  <c r="G1386" i="6"/>
  <c r="I1386" i="6" s="1"/>
  <c r="E1386" i="6" l="1"/>
  <c r="F1386" i="6" s="1"/>
  <c r="B1388" i="6"/>
  <c r="C1388" i="6" s="1"/>
  <c r="D1388" i="6" s="1" a="1"/>
  <c r="D1388" i="6" s="1"/>
  <c r="H1387" i="6"/>
  <c r="G1387" i="6"/>
  <c r="I1387" i="6" s="1"/>
  <c r="E1387" i="6" l="1"/>
  <c r="F1387" i="6" s="1"/>
  <c r="G1388" i="6" s="1"/>
  <c r="B1389" i="6"/>
  <c r="C1389" i="6" s="1"/>
  <c r="D1389" i="6" s="1" a="1"/>
  <c r="D1389" i="6" s="1"/>
  <c r="H1388" i="6"/>
  <c r="I1388" i="6" l="1"/>
  <c r="E1388" i="6"/>
  <c r="F1388" i="6" s="1"/>
  <c r="G1389" i="6" s="1"/>
  <c r="B1390" i="6"/>
  <c r="C1390" i="6" s="1"/>
  <c r="D1390" i="6" s="1" a="1"/>
  <c r="D1390" i="6" s="1"/>
  <c r="H1389" i="6"/>
  <c r="I1389" i="6" l="1"/>
  <c r="E1389" i="6"/>
  <c r="F1389" i="6" s="1"/>
  <c r="G1390" i="6" s="1"/>
  <c r="B1391" i="6"/>
  <c r="C1391" i="6" s="1"/>
  <c r="D1391" i="6" s="1" a="1"/>
  <c r="D1391" i="6" s="1"/>
  <c r="H1390" i="6"/>
  <c r="I1390" i="6" l="1"/>
  <c r="E1390" i="6"/>
  <c r="F1390" i="6" s="1"/>
  <c r="G1391" i="6" s="1"/>
  <c r="B1392" i="6"/>
  <c r="C1392" i="6" s="1"/>
  <c r="D1392" i="6" s="1" a="1"/>
  <c r="D1392" i="6" s="1"/>
  <c r="H1391" i="6"/>
  <c r="I1391" i="6" l="1"/>
  <c r="E1391" i="6"/>
  <c r="F1391" i="6" s="1"/>
  <c r="G1392" i="6" s="1"/>
  <c r="B1393" i="6"/>
  <c r="C1393" i="6" s="1"/>
  <c r="D1393" i="6" s="1" a="1"/>
  <c r="D1393" i="6" s="1"/>
  <c r="H1392" i="6"/>
  <c r="I1392" i="6" l="1"/>
  <c r="E1392" i="6"/>
  <c r="F1392" i="6" s="1"/>
  <c r="G1393" i="6" s="1"/>
  <c r="B1394" i="6"/>
  <c r="C1394" i="6" s="1"/>
  <c r="D1394" i="6" s="1" a="1"/>
  <c r="D1394" i="6" s="1"/>
  <c r="H1393" i="6"/>
  <c r="I1393" i="6" l="1"/>
  <c r="E1393" i="6"/>
  <c r="F1393" i="6" s="1"/>
  <c r="G1394" i="6" s="1"/>
  <c r="B1395" i="6"/>
  <c r="C1395" i="6" s="1"/>
  <c r="D1395" i="6" s="1" a="1"/>
  <c r="D1395" i="6" s="1"/>
  <c r="H1394" i="6"/>
  <c r="I1394" i="6" l="1"/>
  <c r="E1394" i="6"/>
  <c r="F1394" i="6" s="1"/>
  <c r="G1395" i="6" s="1"/>
  <c r="B1396" i="6"/>
  <c r="C1396" i="6" s="1"/>
  <c r="D1396" i="6" s="1" a="1"/>
  <c r="D1396" i="6" s="1"/>
  <c r="H1395" i="6"/>
  <c r="I1395" i="6" l="1"/>
  <c r="E1395" i="6"/>
  <c r="F1395" i="6" s="1"/>
  <c r="G1396" i="6" s="1"/>
  <c r="B1397" i="6"/>
  <c r="C1397" i="6" s="1"/>
  <c r="D1397" i="6" s="1" a="1"/>
  <c r="D1397" i="6" s="1"/>
  <c r="H1396" i="6"/>
  <c r="I1396" i="6" l="1"/>
  <c r="E1396" i="6"/>
  <c r="F1396" i="6" s="1"/>
  <c r="G1397" i="6" s="1"/>
  <c r="B1398" i="6"/>
  <c r="C1398" i="6" s="1"/>
  <c r="D1398" i="6" s="1" a="1"/>
  <c r="D1398" i="6" s="1"/>
  <c r="H1397" i="6"/>
  <c r="I1397" i="6" l="1"/>
  <c r="E1397" i="6"/>
  <c r="F1397" i="6" s="1"/>
  <c r="G1398" i="6" s="1"/>
  <c r="B1399" i="6"/>
  <c r="C1399" i="6" s="1"/>
  <c r="D1399" i="6" s="1" a="1"/>
  <c r="D1399" i="6" s="1"/>
  <c r="H1398" i="6"/>
  <c r="I1398" i="6" l="1"/>
  <c r="E1398" i="6"/>
  <c r="F1398" i="6" s="1"/>
  <c r="G1399" i="6" s="1"/>
  <c r="B1400" i="6"/>
  <c r="C1400" i="6" s="1"/>
  <c r="D1400" i="6" s="1" a="1"/>
  <c r="D1400" i="6" s="1"/>
  <c r="H1399" i="6"/>
  <c r="I1399" i="6" l="1"/>
  <c r="E1399" i="6"/>
  <c r="F1399" i="6" s="1"/>
  <c r="G1400" i="6" s="1"/>
  <c r="B1401" i="6"/>
  <c r="C1401" i="6" s="1"/>
  <c r="D1401" i="6" s="1" a="1"/>
  <c r="D1401" i="6" s="1"/>
  <c r="H1400" i="6"/>
  <c r="I1400" i="6" l="1"/>
  <c r="E1400" i="6"/>
  <c r="F1400" i="6" s="1"/>
  <c r="G1401" i="6" s="1"/>
  <c r="B1402" i="6"/>
  <c r="C1402" i="6" s="1"/>
  <c r="D1402" i="6" s="1" a="1"/>
  <c r="D1402" i="6" s="1"/>
  <c r="H1401" i="6"/>
  <c r="I1401" i="6" l="1"/>
  <c r="E1401" i="6"/>
  <c r="F1401" i="6" s="1"/>
  <c r="G1402" i="6" s="1"/>
  <c r="B1403" i="6"/>
  <c r="C1403" i="6" s="1"/>
  <c r="D1403" i="6" s="1" a="1"/>
  <c r="D1403" i="6" s="1"/>
  <c r="H1402" i="6"/>
  <c r="I1402" i="6" l="1"/>
  <c r="E1402" i="6"/>
  <c r="F1402" i="6" s="1"/>
  <c r="G1403" i="6" s="1"/>
  <c r="B1404" i="6"/>
  <c r="C1404" i="6" s="1"/>
  <c r="D1404" i="6" s="1" a="1"/>
  <c r="D1404" i="6" s="1"/>
  <c r="H1403" i="6"/>
  <c r="I1403" i="6" l="1"/>
  <c r="E1403" i="6"/>
  <c r="F1403" i="6" s="1"/>
  <c r="G1404" i="6" s="1"/>
  <c r="B1405" i="6"/>
  <c r="C1405" i="6" s="1"/>
  <c r="D1405" i="6" s="1" a="1"/>
  <c r="D1405" i="6" s="1"/>
  <c r="H1404" i="6"/>
  <c r="I1404" i="6" l="1"/>
  <c r="E1404" i="6"/>
  <c r="F1404" i="6" s="1"/>
  <c r="G1405" i="6" s="1"/>
  <c r="B1406" i="6"/>
  <c r="C1406" i="6" s="1"/>
  <c r="D1406" i="6" s="1" a="1"/>
  <c r="D1406" i="6" s="1"/>
  <c r="H1405" i="6"/>
  <c r="I1405" i="6" l="1"/>
  <c r="E1405" i="6"/>
  <c r="F1405" i="6" s="1"/>
  <c r="G1406" i="6" s="1"/>
  <c r="B1407" i="6"/>
  <c r="C1407" i="6" s="1"/>
  <c r="D1407" i="6" s="1" a="1"/>
  <c r="D1407" i="6" s="1"/>
  <c r="H1406" i="6"/>
  <c r="I1406" i="6" l="1"/>
  <c r="E1406" i="6"/>
  <c r="F1406" i="6" s="1"/>
  <c r="G1407" i="6" s="1"/>
  <c r="B1408" i="6"/>
  <c r="C1408" i="6" s="1"/>
  <c r="D1408" i="6" s="1" a="1"/>
  <c r="D1408" i="6" s="1"/>
  <c r="H1407" i="6"/>
  <c r="I1407" i="6" l="1"/>
  <c r="E1407" i="6"/>
  <c r="F1407" i="6" s="1"/>
  <c r="G1408" i="6" s="1"/>
  <c r="B1409" i="6"/>
  <c r="C1409" i="6" s="1"/>
  <c r="D1409" i="6" s="1" a="1"/>
  <c r="D1409" i="6" s="1"/>
  <c r="H1408" i="6"/>
  <c r="I1408" i="6" l="1"/>
  <c r="E1408" i="6"/>
  <c r="F1408" i="6" s="1"/>
  <c r="B1410" i="6"/>
  <c r="C1410" i="6" s="1"/>
  <c r="D1410" i="6" s="1" a="1"/>
  <c r="D1410" i="6" s="1"/>
  <c r="H1409" i="6"/>
  <c r="G1409" i="6"/>
  <c r="I1409" i="6" s="1"/>
  <c r="E1409" i="6" l="1"/>
  <c r="F1409" i="6" s="1"/>
  <c r="G1410" i="6" s="1"/>
  <c r="B1411" i="6"/>
  <c r="C1411" i="6" s="1"/>
  <c r="D1411" i="6" s="1" a="1"/>
  <c r="D1411" i="6" s="1"/>
  <c r="H1410" i="6"/>
  <c r="I1410" i="6" l="1"/>
  <c r="E1410" i="6"/>
  <c r="F1410" i="6" s="1"/>
  <c r="G1411" i="6" s="1"/>
  <c r="B1412" i="6"/>
  <c r="C1412" i="6" s="1"/>
  <c r="D1412" i="6" s="1" a="1"/>
  <c r="D1412" i="6" s="1"/>
  <c r="H1411" i="6"/>
  <c r="I1411" i="6" l="1"/>
  <c r="E1411" i="6"/>
  <c r="F1411" i="6" s="1"/>
  <c r="G1412" i="6" s="1"/>
  <c r="B1413" i="6"/>
  <c r="C1413" i="6" s="1"/>
  <c r="D1413" i="6" s="1" a="1"/>
  <c r="D1413" i="6" s="1"/>
  <c r="H1412" i="6"/>
  <c r="I1412" i="6" l="1"/>
  <c r="E1412" i="6"/>
  <c r="F1412" i="6" s="1"/>
  <c r="G1413" i="6" s="1"/>
  <c r="B1414" i="6"/>
  <c r="C1414" i="6" s="1"/>
  <c r="D1414" i="6" s="1" a="1"/>
  <c r="D1414" i="6" s="1"/>
  <c r="H1413" i="6"/>
  <c r="I1413" i="6" l="1"/>
  <c r="E1413" i="6"/>
  <c r="F1413" i="6" s="1"/>
  <c r="G1414" i="6" s="1"/>
  <c r="B1415" i="6"/>
  <c r="C1415" i="6" s="1"/>
  <c r="D1415" i="6" s="1" a="1"/>
  <c r="D1415" i="6" s="1"/>
  <c r="H1414" i="6"/>
  <c r="I1414" i="6" l="1"/>
  <c r="E1414" i="6"/>
  <c r="F1414" i="6" s="1"/>
  <c r="G1415" i="6" s="1"/>
  <c r="B1416" i="6"/>
  <c r="C1416" i="6" s="1"/>
  <c r="D1416" i="6" s="1" a="1"/>
  <c r="D1416" i="6" s="1"/>
  <c r="H1415" i="6"/>
  <c r="I1415" i="6" l="1"/>
  <c r="E1415" i="6"/>
  <c r="F1415" i="6" s="1"/>
  <c r="G1416" i="6" s="1"/>
  <c r="B1417" i="6"/>
  <c r="C1417" i="6" s="1"/>
  <c r="D1417" i="6" s="1" a="1"/>
  <c r="D1417" i="6" s="1"/>
  <c r="H1416" i="6"/>
  <c r="I1416" i="6" l="1"/>
  <c r="E1416" i="6"/>
  <c r="F1416" i="6" s="1"/>
  <c r="B1418" i="6"/>
  <c r="C1418" i="6" s="1"/>
  <c r="D1418" i="6" s="1" a="1"/>
  <c r="D1418" i="6" s="1"/>
  <c r="H1417" i="6"/>
  <c r="G1417" i="6"/>
  <c r="I1417" i="6" s="1"/>
  <c r="E1417" i="6" l="1"/>
  <c r="F1417" i="6" s="1"/>
  <c r="G1418" i="6" s="1"/>
  <c r="B1419" i="6"/>
  <c r="C1419" i="6" s="1"/>
  <c r="D1419" i="6" s="1" a="1"/>
  <c r="D1419" i="6" s="1"/>
  <c r="H1418" i="6"/>
  <c r="I1418" i="6" l="1"/>
  <c r="E1418" i="6"/>
  <c r="F1418" i="6" s="1"/>
  <c r="G1419" i="6" s="1"/>
  <c r="B1420" i="6"/>
  <c r="C1420" i="6" s="1"/>
  <c r="D1420" i="6" s="1" a="1"/>
  <c r="D1420" i="6" s="1"/>
  <c r="H1419" i="6"/>
  <c r="I1419" i="6" l="1"/>
  <c r="E1419" i="6"/>
  <c r="F1419" i="6" s="1"/>
  <c r="G1420" i="6" s="1"/>
  <c r="B1421" i="6"/>
  <c r="C1421" i="6" s="1"/>
  <c r="D1421" i="6" s="1" a="1"/>
  <c r="D1421" i="6" s="1"/>
  <c r="H1420" i="6"/>
  <c r="I1420" i="6" l="1"/>
  <c r="E1420" i="6"/>
  <c r="F1420" i="6" s="1"/>
  <c r="G1421" i="6" s="1"/>
  <c r="B1422" i="6"/>
  <c r="C1422" i="6" s="1"/>
  <c r="D1422" i="6" s="1" a="1"/>
  <c r="D1422" i="6" s="1"/>
  <c r="H1421" i="6"/>
  <c r="I1421" i="6" l="1"/>
  <c r="E1421" i="6"/>
  <c r="F1421" i="6" s="1"/>
  <c r="G1422" i="6" s="1"/>
  <c r="B1423" i="6"/>
  <c r="C1423" i="6" s="1"/>
  <c r="D1423" i="6" s="1" a="1"/>
  <c r="D1423" i="6" s="1"/>
  <c r="H1422" i="6"/>
  <c r="I1422" i="6" l="1"/>
  <c r="E1422" i="6"/>
  <c r="F1422" i="6" s="1"/>
  <c r="G1423" i="6" s="1"/>
  <c r="B1424" i="6"/>
  <c r="C1424" i="6" s="1"/>
  <c r="D1424" i="6" s="1" a="1"/>
  <c r="D1424" i="6" s="1"/>
  <c r="H1423" i="6"/>
  <c r="I1423" i="6" l="1"/>
  <c r="E1423" i="6"/>
  <c r="F1423" i="6" s="1"/>
  <c r="G1424" i="6" s="1"/>
  <c r="B1425" i="6"/>
  <c r="C1425" i="6" s="1"/>
  <c r="D1425" i="6" s="1" a="1"/>
  <c r="D1425" i="6" s="1"/>
  <c r="H1424" i="6"/>
  <c r="I1424" i="6" l="1"/>
  <c r="E1424" i="6"/>
  <c r="F1424" i="6" s="1"/>
  <c r="G1425" i="6" s="1"/>
  <c r="B1426" i="6"/>
  <c r="C1426" i="6" s="1"/>
  <c r="D1426" i="6" s="1" a="1"/>
  <c r="D1426" i="6" s="1"/>
  <c r="H1425" i="6"/>
  <c r="I1425" i="6" l="1"/>
  <c r="E1425" i="6"/>
  <c r="F1425" i="6" s="1"/>
  <c r="G1426" i="6" s="1"/>
  <c r="B1427" i="6"/>
  <c r="C1427" i="6" s="1"/>
  <c r="D1427" i="6" s="1" a="1"/>
  <c r="D1427" i="6" s="1"/>
  <c r="H1426" i="6"/>
  <c r="I1426" i="6" l="1"/>
  <c r="E1426" i="6"/>
  <c r="F1426" i="6" s="1"/>
  <c r="G1427" i="6" s="1"/>
  <c r="B1428" i="6"/>
  <c r="C1428" i="6" s="1"/>
  <c r="D1428" i="6" s="1" a="1"/>
  <c r="D1428" i="6" s="1"/>
  <c r="H1427" i="6"/>
  <c r="I1427" i="6" l="1"/>
  <c r="E1427" i="6"/>
  <c r="F1427" i="6" s="1"/>
  <c r="G1428" i="6" s="1"/>
  <c r="B1429" i="6"/>
  <c r="C1429" i="6" s="1"/>
  <c r="D1429" i="6" s="1" a="1"/>
  <c r="D1429" i="6" s="1"/>
  <c r="H1428" i="6"/>
  <c r="I1428" i="6" l="1"/>
  <c r="E1428" i="6"/>
  <c r="F1428" i="6" s="1"/>
  <c r="G1429" i="6" s="1"/>
  <c r="B1430" i="6"/>
  <c r="C1430" i="6" s="1"/>
  <c r="D1430" i="6" s="1" a="1"/>
  <c r="D1430" i="6" s="1"/>
  <c r="H1429" i="6"/>
  <c r="I1429" i="6" l="1"/>
  <c r="E1429" i="6"/>
  <c r="F1429" i="6" s="1"/>
  <c r="G1430" i="6" s="1"/>
  <c r="B1431" i="6"/>
  <c r="C1431" i="6" s="1"/>
  <c r="D1431" i="6" s="1" a="1"/>
  <c r="D1431" i="6" s="1"/>
  <c r="H1430" i="6"/>
  <c r="I1430" i="6" l="1"/>
  <c r="E1430" i="6"/>
  <c r="F1430" i="6" s="1"/>
  <c r="G1431" i="6" s="1"/>
  <c r="B1432" i="6"/>
  <c r="C1432" i="6" s="1"/>
  <c r="D1432" i="6" s="1" a="1"/>
  <c r="D1432" i="6" s="1"/>
  <c r="H1431" i="6"/>
  <c r="I1431" i="6" l="1"/>
  <c r="E1431" i="6"/>
  <c r="F1431" i="6" s="1"/>
  <c r="G1432" i="6" s="1"/>
  <c r="B1433" i="6"/>
  <c r="C1433" i="6" s="1"/>
  <c r="D1433" i="6" s="1" a="1"/>
  <c r="D1433" i="6" s="1"/>
  <c r="H1432" i="6"/>
  <c r="I1432" i="6" l="1"/>
  <c r="E1432" i="6"/>
  <c r="F1432" i="6" s="1"/>
  <c r="B1434" i="6"/>
  <c r="C1434" i="6" s="1"/>
  <c r="D1434" i="6" s="1" a="1"/>
  <c r="D1434" i="6" s="1"/>
  <c r="H1433" i="6"/>
  <c r="G1433" i="6"/>
  <c r="I1433" i="6" s="1"/>
  <c r="E1433" i="6" l="1"/>
  <c r="F1433" i="6" s="1"/>
  <c r="G1434" i="6" s="1"/>
  <c r="B1435" i="6"/>
  <c r="C1435" i="6" s="1"/>
  <c r="D1435" i="6" s="1" a="1"/>
  <c r="D1435" i="6" s="1"/>
  <c r="H1434" i="6"/>
  <c r="I1434" i="6" l="1"/>
  <c r="E1434" i="6"/>
  <c r="F1434" i="6" s="1"/>
  <c r="B1436" i="6"/>
  <c r="C1436" i="6" s="1"/>
  <c r="D1436" i="6" s="1" a="1"/>
  <c r="D1436" i="6" s="1"/>
  <c r="H1435" i="6"/>
  <c r="G1435" i="6"/>
  <c r="I1435" i="6" s="1"/>
  <c r="E1435" i="6" l="1"/>
  <c r="F1435" i="6" s="1"/>
  <c r="G1436" i="6" s="1"/>
  <c r="B1437" i="6"/>
  <c r="C1437" i="6" s="1"/>
  <c r="D1437" i="6" s="1" a="1"/>
  <c r="D1437" i="6" s="1"/>
  <c r="H1436" i="6"/>
  <c r="I1436" i="6" l="1"/>
  <c r="E1436" i="6"/>
  <c r="F1436" i="6" s="1"/>
  <c r="G1437" i="6" s="1"/>
  <c r="B1438" i="6"/>
  <c r="C1438" i="6" s="1"/>
  <c r="D1438" i="6" s="1" a="1"/>
  <c r="D1438" i="6" s="1"/>
  <c r="H1437" i="6"/>
  <c r="I1437" i="6" l="1"/>
  <c r="E1437" i="6"/>
  <c r="F1437" i="6" s="1"/>
  <c r="G1438" i="6" s="1"/>
  <c r="B1439" i="6"/>
  <c r="C1439" i="6" s="1"/>
  <c r="D1439" i="6" s="1" a="1"/>
  <c r="D1439" i="6" s="1"/>
  <c r="H1438" i="6"/>
  <c r="I1438" i="6" l="1"/>
  <c r="E1438" i="6"/>
  <c r="F1438" i="6" s="1"/>
  <c r="G1439" i="6" s="1"/>
  <c r="B1440" i="6"/>
  <c r="C1440" i="6" s="1"/>
  <c r="D1440" i="6" s="1" a="1"/>
  <c r="D1440" i="6" s="1"/>
  <c r="H1439" i="6"/>
  <c r="I1439" i="6" l="1"/>
  <c r="E1439" i="6"/>
  <c r="F1439" i="6" s="1"/>
  <c r="G1440" i="6" s="1"/>
  <c r="B1441" i="6"/>
  <c r="C1441" i="6" s="1"/>
  <c r="D1441" i="6" s="1" a="1"/>
  <c r="D1441" i="6" s="1"/>
  <c r="H1440" i="6"/>
  <c r="I1440" i="6" l="1"/>
  <c r="E1440" i="6"/>
  <c r="F1440" i="6" s="1"/>
  <c r="G1441" i="6" s="1"/>
  <c r="B1442" i="6"/>
  <c r="C1442" i="6" s="1"/>
  <c r="D1442" i="6" s="1" a="1"/>
  <c r="D1442" i="6" s="1"/>
  <c r="H1441" i="6"/>
  <c r="I1441" i="6" l="1"/>
  <c r="E1441" i="6"/>
  <c r="F1441" i="6" s="1"/>
  <c r="G1442" i="6" s="1"/>
  <c r="B1443" i="6"/>
  <c r="C1443" i="6" s="1"/>
  <c r="D1443" i="6" s="1" a="1"/>
  <c r="D1443" i="6" s="1"/>
  <c r="H1442" i="6"/>
  <c r="I1442" i="6" l="1"/>
  <c r="E1442" i="6"/>
  <c r="F1442" i="6" s="1"/>
  <c r="G1443" i="6" s="1"/>
  <c r="B1444" i="6"/>
  <c r="C1444" i="6" s="1"/>
  <c r="D1444" i="6" s="1" a="1"/>
  <c r="D1444" i="6" s="1"/>
  <c r="H1443" i="6"/>
  <c r="I1443" i="6" l="1"/>
  <c r="E1443" i="6"/>
  <c r="F1443" i="6" s="1"/>
  <c r="G1444" i="6" s="1"/>
  <c r="B1445" i="6"/>
  <c r="C1445" i="6" s="1"/>
  <c r="D1445" i="6" s="1" a="1"/>
  <c r="D1445" i="6" s="1"/>
  <c r="H1444" i="6"/>
  <c r="I1444" i="6" l="1"/>
  <c r="E1444" i="6"/>
  <c r="F1444" i="6" s="1"/>
  <c r="G1445" i="6" s="1"/>
  <c r="B1446" i="6"/>
  <c r="C1446" i="6" s="1"/>
  <c r="D1446" i="6" s="1" a="1"/>
  <c r="D1446" i="6" s="1"/>
  <c r="H1445" i="6"/>
  <c r="I1445" i="6" l="1"/>
  <c r="E1445" i="6"/>
  <c r="F1445" i="6" s="1"/>
  <c r="G1446" i="6" s="1"/>
  <c r="B1447" i="6"/>
  <c r="C1447" i="6" s="1"/>
  <c r="D1447" i="6" s="1" a="1"/>
  <c r="D1447" i="6" s="1"/>
  <c r="H1446" i="6"/>
  <c r="I1446" i="6" l="1"/>
  <c r="E1446" i="6"/>
  <c r="F1446" i="6" s="1"/>
  <c r="G1447" i="6" s="1"/>
  <c r="B1448" i="6"/>
  <c r="C1448" i="6" s="1"/>
  <c r="D1448" i="6" s="1" a="1"/>
  <c r="D1448" i="6" s="1"/>
  <c r="H1447" i="6"/>
  <c r="I1447" i="6" l="1"/>
  <c r="E1447" i="6"/>
  <c r="F1447" i="6" s="1"/>
  <c r="G1448" i="6" s="1"/>
  <c r="B1449" i="6"/>
  <c r="C1449" i="6" s="1"/>
  <c r="D1449" i="6" s="1" a="1"/>
  <c r="D1449" i="6" s="1"/>
  <c r="H1448" i="6"/>
  <c r="I1448" i="6" l="1"/>
  <c r="E1448" i="6"/>
  <c r="F1448" i="6" s="1"/>
  <c r="H1449" i="6"/>
  <c r="G1449" i="6"/>
  <c r="I1449" i="6" s="1"/>
  <c r="E1449" i="6" l="1"/>
  <c r="F144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PREDATOR</author>
  </authors>
  <commentList>
    <comment ref="G3" authorId="0" shapeId="0" xr:uid="{14C18205-BFD4-469B-BEFC-41DC23C727DB}">
      <text>
        <r>
          <rPr>
            <b/>
            <sz val="9"/>
            <color indexed="81"/>
            <rFont val="Tahoma"/>
            <family val="2"/>
          </rPr>
          <t xml:space="preserve">PREDATOR:
</t>
        </r>
        <r>
          <rPr>
            <sz val="9"/>
            <color indexed="81"/>
            <rFont val="Tahoma"/>
            <family val="2"/>
          </rPr>
          <t>Anchor for formulas that use the 3rd row, so that adding more mortality tables would not require editing formulas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PREDATOR</author>
  </authors>
  <commentList>
    <comment ref="K8" authorId="0" shapeId="0" xr:uid="{FF7D74CC-02ED-4DF1-BFEE-4FCE0326EDA5}">
      <text>
        <r>
          <rPr>
            <b/>
            <sz val="9"/>
            <color indexed="81"/>
            <rFont val="Tahoma"/>
            <family val="2"/>
          </rPr>
          <t>PREDATOR:</t>
        </r>
        <r>
          <rPr>
            <sz val="9"/>
            <color indexed="81"/>
            <rFont val="Tahoma"/>
            <family val="2"/>
          </rPr>
          <t xml:space="preserve">
multiplied by (1+i) because payment is made at maturity.</t>
        </r>
      </text>
    </comment>
    <comment ref="F9" authorId="0" shapeId="0" xr:uid="{DB6E67B8-1672-4B52-9317-78FB33460130}">
      <text>
        <r>
          <rPr>
            <b/>
            <sz val="9"/>
            <color indexed="81"/>
            <rFont val="Tahoma"/>
            <family val="2"/>
          </rPr>
          <t>PREDATOR:</t>
        </r>
        <r>
          <rPr>
            <sz val="9"/>
            <color indexed="81"/>
            <rFont val="Tahoma"/>
            <family val="2"/>
          </rPr>
          <t xml:space="preserve">
Fixed value as person is already aged x as of issue.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PREDATOR</author>
  </authors>
  <commentList>
    <comment ref="F5" authorId="0" shapeId="0" xr:uid="{74B5B5A4-F340-44E2-BF82-99DB315D175D}">
      <text>
        <r>
          <rPr>
            <b/>
            <sz val="9"/>
            <color indexed="81"/>
            <rFont val="Tahoma"/>
            <family val="2"/>
          </rPr>
          <t>PREDATOR:</t>
        </r>
        <r>
          <rPr>
            <sz val="9"/>
            <color indexed="81"/>
            <rFont val="Tahoma"/>
            <family val="2"/>
          </rPr>
          <t xml:space="preserve">
Used under UDD assumption, </t>
        </r>
        <r>
          <rPr>
            <vertAlign val="subscript"/>
            <sz val="9"/>
            <color indexed="81"/>
            <rFont val="Tahoma"/>
            <family val="2"/>
          </rPr>
          <t>t</t>
        </r>
        <r>
          <rPr>
            <sz val="9"/>
            <color indexed="81"/>
            <rFont val="Tahoma"/>
            <family val="2"/>
          </rPr>
          <t>q</t>
        </r>
        <r>
          <rPr>
            <vertAlign val="subscript"/>
            <sz val="9"/>
            <color indexed="81"/>
            <rFont val="Tahoma"/>
            <family val="2"/>
          </rPr>
          <t>x</t>
        </r>
        <r>
          <rPr>
            <sz val="9"/>
            <color indexed="81"/>
            <rFont val="Tahoma"/>
            <family val="2"/>
          </rPr>
          <t xml:space="preserve"> = t . q</t>
        </r>
        <r>
          <rPr>
            <vertAlign val="subscript"/>
            <sz val="9"/>
            <color indexed="81"/>
            <rFont val="Tahoma"/>
            <family val="2"/>
          </rPr>
          <t>x</t>
        </r>
        <r>
          <rPr>
            <sz val="9"/>
            <color indexed="81"/>
            <rFont val="Tahoma"/>
            <family val="2"/>
          </rPr>
          <t xml:space="preserve"> for t in between 0 and 1.</t>
        </r>
      </text>
    </comment>
    <comment ref="D8" authorId="0" shapeId="0" xr:uid="{5EE01569-CC39-4BB1-B943-32C23DC68C93}">
      <text>
        <r>
          <rPr>
            <b/>
            <sz val="9"/>
            <color indexed="81"/>
            <rFont val="Tahoma"/>
            <family val="2"/>
          </rPr>
          <t>PREDATOR:</t>
        </r>
        <r>
          <rPr>
            <sz val="9"/>
            <color indexed="81"/>
            <rFont val="Tahoma"/>
            <family val="2"/>
          </rPr>
          <t xml:space="preserve">
probability of person aged floor(x+t) dies in the next year</t>
        </r>
      </text>
    </comment>
    <comment ref="E8" authorId="0" shapeId="0" xr:uid="{CA759B6D-36C2-4A5B-8731-351D7E8E93F8}">
      <text>
        <r>
          <rPr>
            <b/>
            <sz val="9"/>
            <color indexed="81"/>
            <rFont val="Tahoma"/>
            <family val="2"/>
          </rPr>
          <t>PREDATOR:</t>
        </r>
        <r>
          <rPr>
            <sz val="9"/>
            <color indexed="81"/>
            <rFont val="Tahoma"/>
            <family val="2"/>
          </rPr>
          <t xml:space="preserve">
probability that person aged floor(x+t) dies in each of the k intervals of the year, also equal to kq(x+t) under UDD</t>
        </r>
      </text>
    </comment>
    <comment ref="F8" authorId="0" shapeId="0" xr:uid="{7BF40670-E47B-490F-B78D-34FD246F1632}">
      <text>
        <r>
          <rPr>
            <b/>
            <sz val="9"/>
            <color indexed="81"/>
            <rFont val="Tahoma"/>
            <family val="2"/>
          </rPr>
          <t>PREDATOR:</t>
        </r>
        <r>
          <rPr>
            <sz val="9"/>
            <color indexed="81"/>
            <rFont val="Tahoma"/>
            <family val="2"/>
          </rPr>
          <t xml:space="preserve">
kp(x+t), the probability of surviving until the next interval of the year under UDD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<sst xmlns="http://schemas.openxmlformats.org/spreadsheetml/2006/main" count="126" uniqueCount="93">
  <si>
    <t>Age (x)</t>
  </si>
  <si>
    <t>t</t>
  </si>
  <si>
    <r>
      <rPr>
        <vertAlign val="subscript"/>
        <sz val="11"/>
        <color theme="1"/>
        <rFont val="Calibri"/>
        <family val="2"/>
        <scheme val="minor"/>
      </rPr>
      <t>t|</t>
    </r>
    <r>
      <rPr>
        <sz val="11"/>
        <color theme="1"/>
        <rFont val="Calibri"/>
        <family val="2"/>
        <scheme val="minor"/>
      </rPr>
      <t>q</t>
    </r>
    <r>
      <rPr>
        <vertAlign val="subscript"/>
        <sz val="11"/>
        <color theme="1"/>
        <rFont val="Calibri"/>
        <family val="2"/>
        <scheme val="minor"/>
      </rPr>
      <t>x</t>
    </r>
  </si>
  <si>
    <t>Present Value</t>
  </si>
  <si>
    <t>Whole Life</t>
  </si>
  <si>
    <t>Pure Endowment</t>
  </si>
  <si>
    <t>x+t</t>
  </si>
  <si>
    <t>name</t>
  </si>
  <si>
    <t>region</t>
  </si>
  <si>
    <t>UK</t>
  </si>
  <si>
    <t>AM92 Ultimate</t>
  </si>
  <si>
    <t>TM92 Ultimate</t>
  </si>
  <si>
    <t>no.</t>
  </si>
  <si>
    <t>gender</t>
  </si>
  <si>
    <t>Male</t>
  </si>
  <si>
    <t>AF92 Ultimate</t>
  </si>
  <si>
    <t>Female</t>
  </si>
  <si>
    <t>Mortality Tables</t>
  </si>
  <si>
    <t>Genders</t>
  </si>
  <si>
    <t>Countries/Regions</t>
  </si>
  <si>
    <t>Filtered Mortality Tables</t>
  </si>
  <si>
    <t>LIFE INSURANCE PRODUCT CALCULATOR</t>
  </si>
  <si>
    <t>Annual Eff. Interest Rate</t>
  </si>
  <si>
    <t>Sum Assured</t>
  </si>
  <si>
    <t>Premium Frequency</t>
  </si>
  <si>
    <t>Policy Type</t>
  </si>
  <si>
    <t>Term of Coverage</t>
  </si>
  <si>
    <t>Benefit Frequency</t>
  </si>
  <si>
    <t>POLICYHOLDER INPUTS</t>
  </si>
  <si>
    <t>PRODUCT INPUTS</t>
  </si>
  <si>
    <t>Gender</t>
  </si>
  <si>
    <t>Country/Region</t>
  </si>
  <si>
    <t>OUTPUTS</t>
  </si>
  <si>
    <t>Net Single Premium</t>
  </si>
  <si>
    <t>Level Benefit Amount</t>
  </si>
  <si>
    <t>Level Premium Amount</t>
  </si>
  <si>
    <t>Frequencies</t>
  </si>
  <si>
    <t>Single</t>
  </si>
  <si>
    <t>Annual</t>
  </si>
  <si>
    <t>End of year of death</t>
  </si>
  <si>
    <t>Premium Payment Timing</t>
  </si>
  <si>
    <t>Benefit Payment Timing</t>
  </si>
  <si>
    <r>
      <t>v</t>
    </r>
    <r>
      <rPr>
        <vertAlign val="superscript"/>
        <sz val="11"/>
        <color theme="1"/>
        <rFont val="Calibri"/>
        <family val="2"/>
        <scheme val="minor"/>
      </rPr>
      <t>t+1</t>
    </r>
  </si>
  <si>
    <r>
      <t>q</t>
    </r>
    <r>
      <rPr>
        <vertAlign val="subscript"/>
        <sz val="11"/>
        <color theme="1"/>
        <rFont val="Calibri"/>
        <family val="2"/>
        <scheme val="minor"/>
      </rPr>
      <t>x+t</t>
    </r>
  </si>
  <si>
    <r>
      <t>p</t>
    </r>
    <r>
      <rPr>
        <vertAlign val="subscript"/>
        <sz val="11"/>
        <color theme="1"/>
        <rFont val="Calibri"/>
        <family val="2"/>
        <scheme val="minor"/>
      </rPr>
      <t>x+t</t>
    </r>
  </si>
  <si>
    <r>
      <rPr>
        <vertAlign val="subscript"/>
        <sz val="11"/>
        <color theme="1"/>
        <rFont val="Calibri"/>
        <family val="2"/>
        <scheme val="minor"/>
      </rPr>
      <t>t</t>
    </r>
    <r>
      <rPr>
        <sz val="11"/>
        <color theme="1"/>
        <rFont val="Calibri"/>
        <family val="2"/>
        <scheme val="minor"/>
      </rPr>
      <t>p</t>
    </r>
    <r>
      <rPr>
        <vertAlign val="subscript"/>
        <sz val="11"/>
        <color theme="1"/>
        <rFont val="Calibri"/>
        <family val="2"/>
        <scheme val="minor"/>
      </rPr>
      <t>x</t>
    </r>
  </si>
  <si>
    <t>Mortality Table Information</t>
  </si>
  <si>
    <t>Semi-annual</t>
  </si>
  <si>
    <t>Quarterly</t>
  </si>
  <si>
    <t>Monthly</t>
  </si>
  <si>
    <t>frequency</t>
  </si>
  <si>
    <t>periods per year</t>
  </si>
  <si>
    <t>Products</t>
  </si>
  <si>
    <t>Term</t>
  </si>
  <si>
    <t>Endowment</t>
  </si>
  <si>
    <t>Policy Types</t>
  </si>
  <si>
    <t>type</t>
  </si>
  <si>
    <t>This sheet contains the calculations for expected present value (EPV) of future benefits for the different policy types. Under principle of equivalence, this will be set to equal the EPV of future premiums.</t>
  </si>
  <si>
    <t>This sheet calculates the corresponding annuity factor to find regular premium payment amount instead of a single premium at outset.</t>
  </si>
  <si>
    <t>Max. age</t>
  </si>
  <si>
    <t>Current age (x)</t>
  </si>
  <si>
    <r>
      <t>v</t>
    </r>
    <r>
      <rPr>
        <vertAlign val="superscript"/>
        <sz val="11"/>
        <color theme="1"/>
        <rFont val="Calibri"/>
        <family val="2"/>
        <scheme val="minor"/>
      </rPr>
      <t>t</t>
    </r>
  </si>
  <si>
    <t>Annuity Contribution</t>
  </si>
  <si>
    <r>
      <t>q</t>
    </r>
    <r>
      <rPr>
        <vertAlign val="subscript"/>
        <sz val="11"/>
        <color theme="1"/>
        <rFont val="Calibri"/>
        <family val="2"/>
        <scheme val="minor"/>
      </rPr>
      <t>floor(x+t)</t>
    </r>
  </si>
  <si>
    <t>Period length of a year (k)</t>
  </si>
  <si>
    <r>
      <rPr>
        <vertAlign val="subscript"/>
        <sz val="11"/>
        <color theme="1"/>
        <rFont val="Calibri"/>
        <family val="2"/>
        <scheme val="minor"/>
      </rPr>
      <t>k</t>
    </r>
    <r>
      <rPr>
        <sz val="11"/>
        <color theme="1"/>
        <rFont val="Calibri"/>
        <family val="2"/>
        <scheme val="minor"/>
      </rPr>
      <t>q</t>
    </r>
    <r>
      <rPr>
        <vertAlign val="subscript"/>
        <sz val="11"/>
        <color theme="1"/>
        <rFont val="Calibri"/>
        <family val="2"/>
        <scheme val="minor"/>
      </rPr>
      <t>x+t</t>
    </r>
  </si>
  <si>
    <r>
      <rPr>
        <vertAlign val="subscript"/>
        <sz val="11"/>
        <color theme="1"/>
        <rFont val="Calibri"/>
        <family val="2"/>
        <scheme val="minor"/>
      </rPr>
      <t>k</t>
    </r>
    <r>
      <rPr>
        <sz val="11"/>
        <color theme="1"/>
        <rFont val="Calibri"/>
        <family val="2"/>
        <scheme val="minor"/>
      </rPr>
      <t>p</t>
    </r>
    <r>
      <rPr>
        <vertAlign val="subscript"/>
        <sz val="11"/>
        <color theme="1"/>
        <rFont val="Calibri"/>
        <family val="2"/>
        <scheme val="minor"/>
      </rPr>
      <t>x+t</t>
    </r>
  </si>
  <si>
    <t>VALUES</t>
  </si>
  <si>
    <t>Frequency (per year)</t>
  </si>
  <si>
    <t>Annual eff. interest rate</t>
  </si>
  <si>
    <t>Benefit payment term (yrs)</t>
  </si>
  <si>
    <t>Equivalent m-thly interest rate</t>
  </si>
  <si>
    <t>Annuity-due factor</t>
  </si>
  <si>
    <t>This sheet calculates the annuity factor for regular benefit payments instead of a single lump sum.</t>
  </si>
  <si>
    <t>Premium payments until (yrs)</t>
  </si>
  <si>
    <t>Beginning of period</t>
  </si>
  <si>
    <t>Whole life annuity-due</t>
  </si>
  <si>
    <t>Temporary annuity-due</t>
  </si>
  <si>
    <t>Premium Payment Period</t>
  </si>
  <si>
    <t>Premium Period</t>
  </si>
  <si>
    <t>This sheet contains lists for dropdowns with dynamic options.</t>
  </si>
  <si>
    <r>
      <rPr>
        <b/>
        <u/>
        <sz val="11"/>
        <color theme="1"/>
        <rFont val="Calibri"/>
        <family val="2"/>
        <scheme val="minor"/>
      </rPr>
      <t>Instructions</t>
    </r>
    <r>
      <rPr>
        <sz val="11"/>
        <color theme="1"/>
        <rFont val="Calibri"/>
        <family val="2"/>
        <scheme val="minor"/>
      </rPr>
      <t>: input desired values ONLY in yellow cells. Orange cells represent fixed or output values.</t>
    </r>
  </si>
  <si>
    <r>
      <rPr>
        <b/>
        <sz val="11"/>
        <color theme="1"/>
        <rFont val="Calibri"/>
        <family val="2"/>
        <scheme val="minor"/>
      </rPr>
      <t>Current Age</t>
    </r>
    <r>
      <rPr>
        <sz val="11"/>
        <color theme="1"/>
        <rFont val="Calibri"/>
        <family val="2"/>
        <scheme val="minor"/>
      </rPr>
      <t xml:space="preserve">
</t>
    </r>
    <r>
      <rPr>
        <i/>
        <sz val="11"/>
        <color theme="1"/>
        <rFont val="Calibri"/>
        <family val="2"/>
        <scheme val="minor"/>
      </rPr>
      <t>(Age at last birthday)</t>
    </r>
  </si>
  <si>
    <r>
      <t xml:space="preserve">Premium Payment Term
</t>
    </r>
    <r>
      <rPr>
        <i/>
        <sz val="11"/>
        <color theme="1"/>
        <rFont val="Calibri"/>
        <family val="2"/>
        <scheme val="minor"/>
      </rPr>
      <t>(in years)</t>
    </r>
  </si>
  <si>
    <r>
      <t xml:space="preserve">Benefit Payments Duration
</t>
    </r>
    <r>
      <rPr>
        <i/>
        <sz val="11"/>
        <color theme="1"/>
        <rFont val="Calibri"/>
        <family val="2"/>
        <scheme val="minor"/>
      </rPr>
      <t>(in years)</t>
    </r>
  </si>
  <si>
    <r>
      <t xml:space="preserve">Mortality Table
</t>
    </r>
    <r>
      <rPr>
        <i/>
        <sz val="11"/>
        <color theme="1"/>
        <rFont val="Calibri"/>
        <family val="2"/>
        <scheme val="minor"/>
      </rPr>
      <t>(Filtered based on gender and country selection)</t>
    </r>
  </si>
  <si>
    <t>While alive</t>
  </si>
  <si>
    <t>Lump sum assured</t>
  </si>
  <si>
    <r>
      <t xml:space="preserve">This sheet contains all mortality tables available for use in this workbook. All values represent </t>
    </r>
    <r>
      <rPr>
        <b/>
        <u/>
        <vertAlign val="subscript"/>
        <sz val="11"/>
        <rFont val="Calibri"/>
        <family val="2"/>
        <scheme val="minor"/>
      </rPr>
      <t>t</t>
    </r>
    <r>
      <rPr>
        <b/>
        <u/>
        <sz val="11"/>
        <rFont val="Calibri"/>
        <family val="2"/>
        <scheme val="minor"/>
      </rPr>
      <t>q</t>
    </r>
    <r>
      <rPr>
        <b/>
        <u/>
        <vertAlign val="subscript"/>
        <sz val="11"/>
        <rFont val="Calibri"/>
        <family val="2"/>
        <scheme val="minor"/>
      </rPr>
      <t>x</t>
    </r>
    <r>
      <rPr>
        <b/>
        <u/>
        <sz val="11"/>
        <rFont val="Calibri"/>
        <family val="2"/>
        <scheme val="minor"/>
      </rPr>
      <t xml:space="preserve"> and are taken from https://mort.soa.org</t>
    </r>
  </si>
  <si>
    <t>TF92 Ultimate</t>
  </si>
  <si>
    <t>Table</t>
  </si>
  <si>
    <t>Buffer Column</t>
  </si>
  <si>
    <t>This sheet contains information or numerical values for mortality table choices and premium or benefit frequencies, as well as serving as the source of valid values for dynamic dropdowns.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</si>
</sst>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8" x14ac:knownFonts="1">
    <font>
      <sz val="11"/>
      <color theme="1"/>
      <name val="Calibri"/>
      <family val="2"/>
      <scheme val="minor"/>
    </font>
    <font>
      <sz val="11"/>
      <color rgb="FFFF0000"/>
      <name val="Calibri"/>
      <family val="2"/>
      <scheme val="minor"/>
    </font>
    <font>
      <vertAlign val="subscript"/>
      <sz val="11"/>
      <color theme="1"/>
      <name val="Calibri"/>
      <family val="2"/>
      <scheme val="minor"/>
    </font>
    <font>
      <sz val="9"/>
      <color indexed="81"/>
      <name val="Tahoma"/>
      <family val="2"/>
    </font>
    <font>
      <b/>
      <sz val="9"/>
      <color indexed="81"/>
      <name val="Tahoma"/>
      <family val="2"/>
    </font>
    <font>
      <b/>
      <sz val="22"/>
      <color theme="8" tint="-0.249977111117893"/>
      <name val="Calibri"/>
      <family val="2"/>
      <scheme val="minor"/>
    </font>
    <font>
      <vertAlign val="superscript"/>
      <sz val="11"/>
      <color theme="1"/>
      <name val="Calibri"/>
      <family val="2"/>
      <scheme val="minor"/>
    </font>
    <font>
      <u/>
      <sz val="11"/>
      <color theme="10"/>
      <name val="Calibri"/>
      <family val="2"/>
      <scheme val="minor"/>
    </font>
    <font>
      <b/>
      <u/>
      <sz val="11"/>
      <color theme="1"/>
      <name val="Calibri"/>
      <family val="2"/>
      <scheme val="minor"/>
    </font>
    <font>
      <vertAlign val="subscript"/>
      <sz val="9"/>
      <color indexed="81"/>
      <name val="Tahoma"/>
      <family val="2"/>
    </font>
    <font>
      <b/>
      <sz val="11"/>
      <color rgb="FF0070C0"/>
      <name val="Calibri"/>
      <family val="2"/>
      <scheme val="minor"/>
    </font>
    <font>
      <b/>
      <sz val="11"/>
      <color theme="1"/>
      <name val="Calibri"/>
      <family val="2"/>
      <scheme val="minor"/>
    </font>
    <font>
      <sz val="11"/>
      <name val="Calibri"/>
      <family val="2"/>
      <scheme val="minor"/>
    </font>
    <font>
      <b/>
      <sz val="11"/>
      <color theme="0"/>
      <name val="Calibri"/>
      <family val="2"/>
      <scheme val="minor"/>
    </font>
    <font>
      <i/>
      <sz val="11"/>
      <color theme="1"/>
      <name val="Calibri"/>
      <family val="2"/>
      <scheme val="minor"/>
    </font>
    <font>
      <b/>
      <sz val="11"/>
      <name val="Calibri"/>
      <family val="2"/>
      <scheme val="minor"/>
    </font>
    <font>
      <b/>
      <u/>
      <sz val="11"/>
      <name val="Calibri"/>
      <family val="2"/>
      <scheme val="minor"/>
    </font>
    <font>
      <b/>
      <u/>
      <vertAlign val="subscript"/>
      <sz val="11"/>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theme="2" tint="-9.9978637043366805E-2"/>
        <bgColor indexed="64"/>
      </patternFill>
    </fill>
  </fills>
  <borders count="21">
    <border>
      <left/>
      <right/>
      <top/>
      <bottom/>
      <diagonal/>
    </border>
    <border>
      <left style="thick">
        <color theme="7" tint="-0.499984740745262"/>
      </left>
      <right/>
      <top style="thick">
        <color theme="7" tint="-0.499984740745262"/>
      </top>
      <bottom/>
      <diagonal/>
    </border>
    <border>
      <left/>
      <right/>
      <top style="thick">
        <color theme="7" tint="-0.499984740745262"/>
      </top>
      <bottom/>
      <diagonal/>
    </border>
    <border>
      <left/>
      <right style="thick">
        <color theme="7" tint="-0.499984740745262"/>
      </right>
      <top style="thick">
        <color theme="7" tint="-0.499984740745262"/>
      </top>
      <bottom/>
      <diagonal/>
    </border>
    <border>
      <left style="thick">
        <color theme="7" tint="-0.499984740745262"/>
      </left>
      <right/>
      <top/>
      <bottom style="thick">
        <color theme="7" tint="-0.499984740745262"/>
      </bottom>
      <diagonal/>
    </border>
    <border>
      <left/>
      <right/>
      <top/>
      <bottom style="thick">
        <color theme="7" tint="-0.499984740745262"/>
      </bottom>
      <diagonal/>
    </border>
    <border>
      <left/>
      <right style="thick">
        <color theme="7" tint="-0.499984740745262"/>
      </right>
      <top/>
      <bottom style="thick">
        <color theme="7"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auto="1"/>
      </left>
      <right style="dotted">
        <color auto="1"/>
      </right>
      <top style="dotted">
        <color auto="1"/>
      </top>
      <bottom style="dotted">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2">
    <xf numFmtId="0" fontId="0" fillId="0" borderId="0"/>
    <xf numFmtId="0" fontId="7" fillId="0" borderId="0" applyNumberFormat="0" applyFill="0" applyBorder="0" applyAlignment="0" applyProtection="0"/>
  </cellStyleXfs>
  <cellXfs count="7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3" xfId="0" applyBorder="1"/>
    <xf numFmtId="0" fontId="0" fillId="0" borderId="12" xfId="0" applyBorder="1"/>
    <xf numFmtId="0" fontId="0" fillId="0" borderId="14" xfId="0" applyBorder="1"/>
    <xf numFmtId="0" fontId="0" fillId="0" borderId="13" xfId="0" applyBorder="1" applyAlignment="1">
      <alignment horizontal="center"/>
    </xf>
    <xf numFmtId="0" fontId="8" fillId="0" borderId="0" xfId="0" applyFont="1"/>
    <xf numFmtId="0" fontId="0" fillId="0" borderId="0" xfId="0" applyAlignment="1">
      <alignment horizontal="right" vertical="center" wrapText="1"/>
    </xf>
    <xf numFmtId="0" fontId="0" fillId="0" borderId="0" xfId="0" applyAlignment="1">
      <alignment horizontal="right"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4" fontId="0" fillId="0" borderId="13"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2" fontId="0" fillId="0" borderId="0" xfId="0" applyNumberFormat="1" applyAlignment="1">
      <alignment horizontal="center" vertical="center"/>
    </xf>
    <xf numFmtId="0" fontId="0" fillId="0" borderId="0" xfId="0" applyAlignment="1">
      <alignment vertical="center" wrapText="1"/>
    </xf>
    <xf numFmtId="0" fontId="5" fillId="2" borderId="0" xfId="0" applyFont="1" applyFill="1" applyAlignment="1">
      <alignment vertical="center"/>
    </xf>
    <xf numFmtId="9" fontId="0" fillId="0" borderId="0" xfId="0" applyNumberForma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0" fontId="0" fillId="6" borderId="18" xfId="0" applyFill="1" applyBorder="1" applyAlignment="1">
      <alignment horizontal="center" vertical="center"/>
    </xf>
    <xf numFmtId="0" fontId="12" fillId="5" borderId="18" xfId="0" applyFont="1" applyFill="1" applyBorder="1" applyAlignment="1">
      <alignment horizontal="center" vertical="center"/>
    </xf>
    <xf numFmtId="2" fontId="11" fillId="5" borderId="18" xfId="0" applyNumberFormat="1" applyFont="1" applyFill="1" applyBorder="1" applyAlignment="1">
      <alignment horizontal="center" vertical="center"/>
    </xf>
    <xf numFmtId="0" fontId="1" fillId="0" borderId="0" xfId="0" applyFont="1" applyAlignment="1">
      <alignment horizontal="center"/>
    </xf>
    <xf numFmtId="164" fontId="0" fillId="0" borderId="0" xfId="0" applyNumberFormat="1" applyAlignment="1">
      <alignment horizontal="center"/>
    </xf>
    <xf numFmtId="0" fontId="0" fillId="0" borderId="19" xfId="0" applyBorder="1" applyAlignment="1">
      <alignment horizontal="center" vertical="center" wrapText="1"/>
    </xf>
    <xf numFmtId="0" fontId="0" fillId="0" borderId="20" xfId="0" applyBorder="1" applyAlignment="1">
      <alignment horizontal="center"/>
    </xf>
    <xf numFmtId="0" fontId="12" fillId="0" borderId="0" xfId="0" applyFont="1" applyAlignment="1">
      <alignment horizontal="right" vertical="center" wrapText="1"/>
    </xf>
    <xf numFmtId="2" fontId="12" fillId="0" borderId="0" xfId="0" applyNumberFormat="1" applyFont="1" applyAlignment="1">
      <alignment horizontal="center" vertical="center"/>
    </xf>
    <xf numFmtId="0" fontId="11" fillId="3" borderId="18" xfId="0" applyFont="1" applyFill="1" applyBorder="1" applyAlignment="1">
      <alignment horizontal="right" vertical="center"/>
    </xf>
    <xf numFmtId="0" fontId="0" fillId="3" borderId="18" xfId="0" applyFill="1" applyBorder="1" applyAlignment="1">
      <alignment horizontal="right" vertical="center" wrapText="1"/>
    </xf>
    <xf numFmtId="9" fontId="0" fillId="6" borderId="18" xfId="0" applyNumberFormat="1" applyFill="1" applyBorder="1" applyAlignment="1">
      <alignment horizontal="center" vertical="center"/>
    </xf>
    <xf numFmtId="0" fontId="15" fillId="3" borderId="18" xfId="0" applyFont="1" applyFill="1" applyBorder="1" applyAlignment="1">
      <alignment horizontal="right" vertical="center"/>
    </xf>
    <xf numFmtId="0" fontId="0" fillId="3" borderId="18" xfId="0" applyFill="1" applyBorder="1" applyAlignment="1">
      <alignment vertical="center"/>
    </xf>
    <xf numFmtId="0" fontId="11" fillId="3" borderId="18" xfId="0" applyFont="1" applyFill="1" applyBorder="1" applyAlignment="1">
      <alignment horizontal="right" vertical="center" wrapText="1"/>
    </xf>
    <xf numFmtId="0" fontId="0" fillId="8" borderId="18" xfId="0" applyFill="1" applyBorder="1" applyAlignment="1">
      <alignment vertical="center"/>
    </xf>
    <xf numFmtId="0" fontId="16" fillId="0" borderId="0" xfId="0" applyFont="1"/>
    <xf numFmtId="0" fontId="12" fillId="0" borderId="0" xfId="0" applyFont="1"/>
    <xf numFmtId="0" fontId="12" fillId="4" borderId="0" xfId="0" applyFont="1" applyFill="1" applyAlignment="1">
      <alignment horizontal="center" vertical="center" wrapText="1"/>
    </xf>
    <xf numFmtId="0" fontId="12" fillId="0" borderId="0" xfId="0" applyFont="1" applyAlignment="1">
      <alignment horizontal="center" vertical="center" wrapText="1"/>
    </xf>
    <xf numFmtId="0" fontId="12" fillId="4" borderId="0" xfId="0" applyFont="1" applyFill="1" applyAlignment="1">
      <alignment horizontal="center"/>
    </xf>
    <xf numFmtId="0" fontId="12" fillId="0" borderId="0" xfId="0" applyFont="1" applyAlignment="1">
      <alignment horizontal="center"/>
    </xf>
    <xf numFmtId="0" fontId="12" fillId="0" borderId="0" xfId="1" applyFont="1"/>
    <xf numFmtId="0" fontId="12" fillId="9" borderId="0" xfId="0" applyFont="1" applyFill="1" applyAlignment="1">
      <alignment horizontal="center" vertical="center" wrapText="1"/>
    </xf>
    <xf numFmtId="0" fontId="12" fillId="9" borderId="0" xfId="0" applyFont="1" applyFill="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13"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10" fillId="0" borderId="15" xfId="0" applyFont="1" applyBorder="1" applyAlignment="1">
      <alignment horizontal="center"/>
    </xf>
    <xf numFmtId="0" fontId="10" fillId="0" borderId="16" xfId="0" applyFont="1" applyBorder="1" applyAlignment="1">
      <alignment horizontal="center"/>
    </xf>
    <xf numFmtId="0" fontId="10" fillId="0" borderId="17" xfId="0" applyFont="1" applyBorder="1" applyAlignment="1">
      <alignment horizontal="center"/>
    </xf>
    <xf numFmtId="0" fontId="13" fillId="7" borderId="18"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2" borderId="0" xfId="0" applyFill="1" applyAlignment="1">
      <alignment vertical="center" wrapText="1"/>
    </xf>
    <xf numFmtId="0" fontId="0" fillId="0" borderId="0" xfId="0" applyFill="1" applyAlignment="1">
      <alignment vertical="center"/>
    </xf>
    <xf numFmtId="0" fontId="1" fillId="0" borderId="0" xfId="0" applyFont="1" applyFill="1" applyAlignment="1">
      <alignment vertical="center"/>
    </xf>
    <xf numFmtId="0" fontId="5" fillId="0" borderId="0" xfId="0" applyFont="1" applyFill="1" applyAlignment="1">
      <alignment vertical="center"/>
    </xf>
  </cellXfs>
  <cellStyles count="2">
    <cellStyle name="Hyperlink" xfId="1" builtinId="8"/>
    <cellStyle name="Normal" xfId="0" builtinId="0"/>
  </cellStyles>
  <dxfs count="19">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font>
        <color theme="5" tint="0.59996337778862885"/>
      </font>
      <fill>
        <patternFill>
          <bgColor theme="5" tint="0.59996337778862885"/>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57565-5C36-4133-81AD-79126F9A0F3F}" name="MortalityInfo" displayName="MortalityInfo" ref="B4:E22" totalsRowShown="0" headerRowDxfId="18" dataDxfId="17">
  <autoFilter ref="B4:E22" xr:uid="{DE757565-5C36-4133-81AD-79126F9A0F3F}"/>
  <tableColumns count="4">
    <tableColumn id="1" xr3:uid="{369F3FF3-4BA5-40AC-B61B-89ECA1301088}" name="no." dataDxfId="16"/>
    <tableColumn id="2" xr3:uid="{54BA2855-78AD-4028-AF13-2965AF673578}" name="name" dataDxfId="15"/>
    <tableColumn id="4" xr3:uid="{8CCD8E85-C115-479D-B7CC-028362AD06D0}" name="region" dataDxfId="14"/>
    <tableColumn id="5" xr3:uid="{EFB3EC4C-2BDA-482C-A2DB-FE68481ACD5D}" name="gender" dataDxfId="13"/>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B96F34-406E-40D6-90AD-B6ADA4EA5BFC}" name="Frequencies" displayName="Frequencies" ref="H4:J9" totalsRowShown="0" headerRowDxfId="12" dataDxfId="11">
  <autoFilter ref="H4:J9" xr:uid="{10B96F34-406E-40D6-90AD-B6ADA4EA5BFC}"/>
  <tableColumns count="3">
    <tableColumn id="1" xr3:uid="{8763154A-C175-49E1-9670-01CFD1BB4FFC}" name="no." dataDxfId="10"/>
    <tableColumn id="2" xr3:uid="{4A8F23C9-A1C0-4E06-89FA-F39F48DC8AD0}" name="frequency" dataDxfId="9"/>
    <tableColumn id="3" xr3:uid="{7E7F0706-EF42-4D7F-BE17-873C6D5B0F8B}" name="periods per year" dataDxfId="8"/>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283711-F962-4617-8EE3-C747D4322074}" name="PolicyTypes" displayName="PolicyTypes" ref="H13:I18" totalsRowShown="0" headerRowDxfId="7" dataDxfId="6">
  <autoFilter ref="H13:I18" xr:uid="{5E283711-F962-4617-8EE3-C747D4322074}"/>
  <tableColumns count="2">
    <tableColumn id="1" xr3:uid="{EB210DE9-6F87-4986-8D51-248E148CDBCC}" name="no." dataDxfId="5"/>
    <tableColumn id="2" xr3:uid="{06BC4CCB-9E61-41F4-8939-7182D3F08855}" name="type" dataDxfId="4"/>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3EA1-3C8A-437E-AA59-7FF7ADED26C5}">
  <dimension ref="A1:N40"/>
  <sheetViews>
    <sheetView showGridLines="0" tabSelected="1" zoomScaleNormal="100" workbookViewId="0">
      <selection activeCell="D24" sqref="D24"/>
    </sheetView>
  </sheetViews>
  <sheetFormatPr defaultRowHeight="14.5" x14ac:dyDescent="0.35"/>
  <cols>
    <col min="1" max="1" width="6.81640625" style="75" customWidth="1"/>
    <col min="2" max="2" width="20.54296875" style="75" bestFit="1" customWidth="1"/>
    <col min="3" max="3" width="12.90625" style="75" bestFit="1" customWidth="1"/>
    <col min="4" max="4" width="23.1796875" style="75" bestFit="1" customWidth="1"/>
    <col min="5" max="5" width="17.90625" style="75" customWidth="1"/>
    <col min="6" max="6" width="8.7265625" style="75" customWidth="1"/>
    <col min="7" max="16384" width="8.7265625" style="75"/>
  </cols>
  <sheetData>
    <row r="1" spans="1:14" x14ac:dyDescent="0.35">
      <c r="A1" s="28"/>
      <c r="B1" s="28"/>
      <c r="C1" s="28"/>
      <c r="D1" s="28"/>
      <c r="E1" s="28"/>
      <c r="F1" s="28"/>
    </row>
    <row r="2" spans="1:14" ht="15" thickBot="1" x14ac:dyDescent="0.4">
      <c r="A2" s="28"/>
      <c r="B2" s="28"/>
      <c r="C2" s="28"/>
      <c r="D2" s="28"/>
      <c r="E2" s="28"/>
      <c r="F2" s="28"/>
    </row>
    <row r="3" spans="1:14" ht="15" customHeight="1" thickTop="1" x14ac:dyDescent="0.35">
      <c r="A3" s="28"/>
      <c r="B3" s="68" t="s">
        <v>21</v>
      </c>
      <c r="C3" s="69"/>
      <c r="D3" s="69"/>
      <c r="E3" s="70"/>
      <c r="F3" s="26"/>
      <c r="G3" s="77"/>
      <c r="H3" s="77"/>
    </row>
    <row r="4" spans="1:14" ht="15" customHeight="1" thickBot="1" x14ac:dyDescent="0.4">
      <c r="A4" s="28"/>
      <c r="B4" s="71"/>
      <c r="C4" s="72"/>
      <c r="D4" s="72"/>
      <c r="E4" s="73"/>
      <c r="F4" s="26"/>
      <c r="G4" s="77"/>
      <c r="H4" s="77"/>
    </row>
    <row r="5" spans="1:14" ht="15" thickTop="1" x14ac:dyDescent="0.35">
      <c r="A5" s="28"/>
      <c r="B5" s="28"/>
      <c r="C5" s="28"/>
      <c r="D5" s="28"/>
      <c r="E5" s="28"/>
      <c r="F5" s="28"/>
    </row>
    <row r="6" spans="1:14" ht="29.5" customHeight="1" x14ac:dyDescent="0.35">
      <c r="A6" s="28"/>
      <c r="B6" s="74" t="s">
        <v>81</v>
      </c>
      <c r="C6" s="74"/>
      <c r="D6" s="74"/>
      <c r="E6" s="74"/>
      <c r="F6" s="28"/>
    </row>
    <row r="7" spans="1:14" x14ac:dyDescent="0.35">
      <c r="A7" s="28"/>
      <c r="B7" s="28"/>
      <c r="C7" s="28"/>
      <c r="D7" s="28"/>
      <c r="E7" s="28"/>
      <c r="F7" s="28"/>
    </row>
    <row r="8" spans="1:14" x14ac:dyDescent="0.35">
      <c r="A8" s="28"/>
      <c r="B8" s="67" t="s">
        <v>28</v>
      </c>
      <c r="C8" s="67"/>
      <c r="D8" s="67" t="s">
        <v>29</v>
      </c>
      <c r="E8" s="67"/>
      <c r="F8" s="28"/>
    </row>
    <row r="9" spans="1:14" ht="29" x14ac:dyDescent="0.35">
      <c r="A9" s="28"/>
      <c r="B9" s="40" t="s">
        <v>82</v>
      </c>
      <c r="C9" s="30">
        <v>0</v>
      </c>
      <c r="D9" s="39" t="s">
        <v>22</v>
      </c>
      <c r="E9" s="41">
        <v>0.05</v>
      </c>
      <c r="F9" s="28"/>
    </row>
    <row r="10" spans="1:14" x14ac:dyDescent="0.35">
      <c r="A10" s="28"/>
      <c r="B10" s="39" t="s">
        <v>30</v>
      </c>
      <c r="C10" s="30" t="s">
        <v>14</v>
      </c>
      <c r="D10" s="42" t="s">
        <v>23</v>
      </c>
      <c r="E10" s="30">
        <v>100000</v>
      </c>
      <c r="F10" s="28"/>
      <c r="L10" s="76"/>
      <c r="M10" s="76"/>
      <c r="N10" s="76"/>
    </row>
    <row r="11" spans="1:14" x14ac:dyDescent="0.35">
      <c r="A11" s="28"/>
      <c r="B11" s="39" t="s">
        <v>31</v>
      </c>
      <c r="C11" s="30" t="s">
        <v>9</v>
      </c>
      <c r="D11" s="39" t="s">
        <v>25</v>
      </c>
      <c r="E11" s="30" t="s">
        <v>4</v>
      </c>
      <c r="F11" s="28"/>
      <c r="L11" s="76"/>
      <c r="M11" s="76"/>
    </row>
    <row r="12" spans="1:14" x14ac:dyDescent="0.35">
      <c r="A12" s="28"/>
      <c r="B12" s="43"/>
      <c r="C12" s="45"/>
      <c r="D12" s="39" t="s">
        <v>26</v>
      </c>
      <c r="E12" s="30">
        <v>25</v>
      </c>
      <c r="F12" s="28"/>
    </row>
    <row r="13" spans="1:14" x14ac:dyDescent="0.35">
      <c r="A13" s="28"/>
      <c r="B13" s="43"/>
      <c r="C13" s="45"/>
      <c r="D13" s="39" t="s">
        <v>24</v>
      </c>
      <c r="E13" s="30" t="s">
        <v>49</v>
      </c>
      <c r="F13" s="28"/>
    </row>
    <row r="14" spans="1:14" x14ac:dyDescent="0.35">
      <c r="A14" s="28"/>
      <c r="B14" s="43"/>
      <c r="C14" s="45"/>
      <c r="D14" s="39" t="s">
        <v>78</v>
      </c>
      <c r="E14" s="30" t="s">
        <v>86</v>
      </c>
      <c r="F14" s="28"/>
    </row>
    <row r="15" spans="1:14" ht="29" x14ac:dyDescent="0.35">
      <c r="A15" s="28"/>
      <c r="B15" s="43"/>
      <c r="C15" s="45"/>
      <c r="D15" s="44" t="s">
        <v>83</v>
      </c>
      <c r="E15" s="30">
        <v>26</v>
      </c>
      <c r="F15" s="28"/>
    </row>
    <row r="16" spans="1:14" x14ac:dyDescent="0.35">
      <c r="A16" s="28"/>
      <c r="B16" s="43"/>
      <c r="C16" s="45"/>
      <c r="D16" s="42" t="s">
        <v>40</v>
      </c>
      <c r="E16" s="31" t="s">
        <v>75</v>
      </c>
      <c r="F16" s="28"/>
    </row>
    <row r="17" spans="1:6" x14ac:dyDescent="0.35">
      <c r="A17" s="28"/>
      <c r="B17" s="67" t="s">
        <v>32</v>
      </c>
      <c r="C17" s="67"/>
      <c r="D17" s="39" t="s">
        <v>27</v>
      </c>
      <c r="E17" s="30" t="s">
        <v>37</v>
      </c>
      <c r="F17" s="28"/>
    </row>
    <row r="18" spans="1:6" ht="29" x14ac:dyDescent="0.35">
      <c r="A18" s="28"/>
      <c r="B18" s="39" t="s">
        <v>33</v>
      </c>
      <c r="C18" s="32">
        <f>_xlfn.XLOOKUP(policy_type,'EPV Benefits Calculation'!$J$8:$M$8,'EPV Benefits Calculation'!$J$130:$M$130,,0)</f>
        <v>3289.8545198904931</v>
      </c>
      <c r="D18" s="44" t="s">
        <v>84</v>
      </c>
      <c r="E18" s="30">
        <v>5</v>
      </c>
      <c r="F18" s="28"/>
    </row>
    <row r="19" spans="1:6" x14ac:dyDescent="0.35">
      <c r="A19" s="28"/>
      <c r="B19" s="39" t="s">
        <v>35</v>
      </c>
      <c r="C19" s="32" cm="1">
        <f t="array" ref="C19">_xlfn.IFS(premium_frequency="Single","Not applicable",AND(policy_type="Whole Life",premium_payment_period="While alive"),net_single_premium/'Premium Annuity Calculation'!$I$4,TRUE,net_single_premium/'Premium Annuity Calculation'!$I$5)</f>
        <v>13.81678901599178</v>
      </c>
      <c r="D19" s="42" t="s">
        <v>41</v>
      </c>
      <c r="E19" s="31" t="s">
        <v>39</v>
      </c>
      <c r="F19" s="28"/>
    </row>
    <row r="20" spans="1:6" ht="43.5" x14ac:dyDescent="0.35">
      <c r="A20" s="28"/>
      <c r="B20" s="39" t="s">
        <v>34</v>
      </c>
      <c r="C20" s="32" t="str">
        <f>IF(benefit_frequency="Single","Not applicable",sum_assured/'Benefit Annuity Calculation'!$I$5)</f>
        <v>Not applicable</v>
      </c>
      <c r="D20" s="44" t="s">
        <v>85</v>
      </c>
      <c r="E20" s="30" t="s">
        <v>10</v>
      </c>
      <c r="F20" s="28"/>
    </row>
    <row r="21" spans="1:6" x14ac:dyDescent="0.35">
      <c r="A21" s="28"/>
      <c r="B21" s="28"/>
      <c r="C21" s="28"/>
      <c r="D21" s="28"/>
      <c r="E21" s="28"/>
      <c r="F21" s="28"/>
    </row>
    <row r="22" spans="1:6" x14ac:dyDescent="0.35">
      <c r="A22" s="28"/>
      <c r="B22" s="28"/>
      <c r="C22" s="28"/>
      <c r="D22" s="28"/>
      <c r="E22" s="28"/>
      <c r="F22" s="28"/>
    </row>
    <row r="23" spans="1:6" ht="29" customHeight="1" x14ac:dyDescent="0.35">
      <c r="A23" s="28"/>
      <c r="B23" s="28"/>
      <c r="C23" s="28"/>
      <c r="D23" s="28"/>
      <c r="E23" s="28"/>
      <c r="F23" s="28"/>
    </row>
    <row r="24" spans="1:6" x14ac:dyDescent="0.35">
      <c r="A24" s="28"/>
      <c r="B24" s="28"/>
      <c r="C24" s="28"/>
      <c r="D24" s="28"/>
      <c r="E24" s="28"/>
      <c r="F24" s="28"/>
    </row>
    <row r="25" spans="1:6" x14ac:dyDescent="0.35">
      <c r="A25" s="28"/>
      <c r="B25" s="28"/>
      <c r="C25" s="28"/>
      <c r="D25" s="28"/>
      <c r="E25" s="28"/>
      <c r="F25" s="28"/>
    </row>
    <row r="26" spans="1:6" x14ac:dyDescent="0.35">
      <c r="A26" s="28"/>
      <c r="B26" s="29"/>
      <c r="C26" s="29"/>
      <c r="D26" s="28"/>
      <c r="E26" s="28"/>
      <c r="F26" s="28"/>
    </row>
    <row r="27" spans="1:6" x14ac:dyDescent="0.35">
      <c r="A27" s="28"/>
      <c r="B27" s="28"/>
      <c r="C27" s="28"/>
      <c r="D27" s="28"/>
      <c r="E27" s="28"/>
      <c r="F27" s="28"/>
    </row>
    <row r="28" spans="1:6" x14ac:dyDescent="0.35">
      <c r="A28" s="28"/>
      <c r="B28" s="28"/>
      <c r="C28" s="28"/>
      <c r="D28" s="28"/>
      <c r="E28" s="28"/>
      <c r="F28" s="28"/>
    </row>
    <row r="29" spans="1:6" x14ac:dyDescent="0.35">
      <c r="A29" s="28"/>
      <c r="B29" s="28"/>
      <c r="C29" s="28"/>
      <c r="D29" s="28"/>
      <c r="E29" s="28"/>
      <c r="F29" s="28"/>
    </row>
    <row r="30" spans="1:6" x14ac:dyDescent="0.35">
      <c r="A30" s="28"/>
      <c r="B30" s="28"/>
      <c r="C30" s="28"/>
      <c r="D30" s="28"/>
      <c r="E30" s="28"/>
      <c r="F30" s="28"/>
    </row>
    <row r="31" spans="1:6" x14ac:dyDescent="0.35">
      <c r="A31" s="28"/>
      <c r="B31" s="28"/>
      <c r="C31" s="28"/>
      <c r="D31" s="28"/>
      <c r="E31" s="28"/>
      <c r="F31" s="28"/>
    </row>
    <row r="32" spans="1:6" x14ac:dyDescent="0.35">
      <c r="A32" s="28"/>
      <c r="B32" s="28"/>
      <c r="C32" s="28"/>
      <c r="D32" s="28"/>
      <c r="E32" s="28"/>
      <c r="F32" s="28"/>
    </row>
    <row r="33" spans="1:6" x14ac:dyDescent="0.35">
      <c r="A33" s="28"/>
      <c r="B33" s="28"/>
      <c r="C33" s="28"/>
      <c r="D33" s="28"/>
      <c r="E33" s="28"/>
      <c r="F33" s="28"/>
    </row>
    <row r="34" spans="1:6" x14ac:dyDescent="0.35">
      <c r="A34" s="28"/>
      <c r="B34" s="28"/>
      <c r="C34" s="28"/>
      <c r="D34" s="28"/>
      <c r="E34" s="28"/>
      <c r="F34" s="28"/>
    </row>
    <row r="35" spans="1:6" x14ac:dyDescent="0.35">
      <c r="A35" s="28"/>
      <c r="B35" s="28"/>
      <c r="C35" s="28"/>
      <c r="D35" s="28"/>
      <c r="E35" s="28"/>
      <c r="F35" s="28"/>
    </row>
    <row r="36" spans="1:6" x14ac:dyDescent="0.35">
      <c r="A36" s="28"/>
      <c r="B36" s="28"/>
      <c r="C36" s="28"/>
      <c r="D36" s="28"/>
      <c r="E36" s="28"/>
      <c r="F36" s="28"/>
    </row>
    <row r="37" spans="1:6" x14ac:dyDescent="0.35">
      <c r="A37" s="28"/>
      <c r="B37" s="28"/>
      <c r="C37" s="28"/>
      <c r="D37" s="28"/>
      <c r="E37" s="28"/>
      <c r="F37" s="28"/>
    </row>
    <row r="38" spans="1:6" x14ac:dyDescent="0.35">
      <c r="A38" s="28"/>
      <c r="B38" s="28"/>
      <c r="C38" s="28"/>
      <c r="D38" s="28"/>
      <c r="E38" s="28"/>
      <c r="F38" s="28"/>
    </row>
    <row r="39" spans="1:6" x14ac:dyDescent="0.35">
      <c r="A39" s="28"/>
      <c r="B39" s="28"/>
      <c r="C39" s="28"/>
      <c r="D39" s="28"/>
      <c r="E39" s="28"/>
      <c r="F39" s="28"/>
    </row>
    <row r="40" spans="1:6" x14ac:dyDescent="0.35">
      <c r="A40" s="28"/>
      <c r="B40" s="28"/>
      <c r="C40" s="28"/>
      <c r="D40" s="28"/>
      <c r="E40" s="28"/>
      <c r="F40" s="28"/>
    </row>
  </sheetData>
  <mergeCells count="5">
    <mergeCell ref="B8:C8"/>
    <mergeCell ref="D8:E8"/>
    <mergeCell ref="B17:C17"/>
    <mergeCell ref="B3:E4"/>
    <mergeCell ref="B6:E6"/>
  </mergeCells>
  <conditionalFormatting sqref="E12">
    <cfRule type="expression" dxfId="3" priority="4">
      <formula>$E$11="Whole Life"</formula>
    </cfRule>
  </conditionalFormatting>
  <conditionalFormatting sqref="E14">
    <cfRule type="expression" dxfId="2" priority="3">
      <formula>$E$13="Single"</formula>
    </cfRule>
  </conditionalFormatting>
  <conditionalFormatting sqref="E15">
    <cfRule type="expression" dxfId="1" priority="2">
      <formula>OR($E$13="Single",$E$14="While alive")</formula>
    </cfRule>
  </conditionalFormatting>
  <conditionalFormatting sqref="E18">
    <cfRule type="expression" dxfId="0" priority="1">
      <formula>$E$17="Single"</formula>
    </cfRule>
  </conditionalFormatting>
  <dataValidations count="4">
    <dataValidation type="list" allowBlank="1" showInputMessage="1" showErrorMessage="1" sqref="M11" xr:uid="{9A0BA95B-6637-4F19-93A1-E72E308B0DEF}">
      <formula1>"Yes,No"</formula1>
    </dataValidation>
    <dataValidation type="whole" operator="greaterThanOrEqual" allowBlank="1" showInputMessage="1" showErrorMessage="1" error="Input must be a whole number greater than or equal to 0" sqref="E12" xr:uid="{45139B35-880D-4911-BA92-0EE7A2D487BD}">
      <formula1>0</formula1>
    </dataValidation>
    <dataValidation type="whole" operator="greaterThanOrEqual" allowBlank="1" showInputMessage="1" showErrorMessage="1" sqref="E18 C9" xr:uid="{BEDB387E-1F86-4396-8301-F5198D28864D}">
      <formula1>0</formula1>
    </dataValidation>
    <dataValidation type="custom" allowBlank="1" showInputMessage="1" showErrorMessage="1" sqref="E15" xr:uid="{98AA0372-34A7-4AD3-A2F5-58729CD0A9AE}">
      <formula1>AND(MOD(premium_payment_term,1)=0,IF($E$11&lt;&gt;"Whole Life",premium_payment_term&lt;=term_of_coverage,TRUE))</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7">
        <x14:dataValidation type="list" allowBlank="1" showInputMessage="1" showErrorMessage="1" xr:uid="{0438AB95-64FA-4339-903F-014F1B5CC9E6}">
          <x14:formula1>
            <xm:f>_xlfn.ANCHORARRAY(Lists!$B$4)</xm:f>
          </x14:formula1>
          <xm:sqref>M10</xm:sqref>
        </x14:dataValidation>
        <x14:dataValidation type="list" allowBlank="1" showInputMessage="1" showErrorMessage="1" xr:uid="{FC85BCD1-811B-443D-A1B3-C07F271E6D2F}">
          <x14:formula1>
            <xm:f>_xlfn.ANCHORARRAY(Lists!$C$4)</xm:f>
          </x14:formula1>
          <xm:sqref>C10</xm:sqref>
        </x14:dataValidation>
        <x14:dataValidation type="list" allowBlank="1" showInputMessage="1" showErrorMessage="1" xr:uid="{D508A417-6F9E-4B4E-9170-8CFEF5508700}">
          <x14:formula1>
            <xm:f>_xlfn.ANCHORARRAY(Lists!$D$4)</xm:f>
          </x14:formula1>
          <xm:sqref>C11</xm:sqref>
        </x14:dataValidation>
        <x14:dataValidation type="list" allowBlank="1" showInputMessage="1" showErrorMessage="1" xr:uid="{269CF825-6C70-4A91-9D4B-FC6BF43B6576}">
          <x14:formula1>
            <xm:f>_xlfn.ANCHORARRAY(Lists!$E$4)</xm:f>
          </x14:formula1>
          <xm:sqref>E20</xm:sqref>
        </x14:dataValidation>
        <x14:dataValidation type="list" allowBlank="1" showInputMessage="1" showErrorMessage="1" xr:uid="{742DB1A0-6372-4F34-8363-0B7B72552359}">
          <x14:formula1>
            <xm:f>_xlfn.ANCHORARRAY(Lists!$F$4)</xm:f>
          </x14:formula1>
          <xm:sqref>E17 E13</xm:sqref>
        </x14:dataValidation>
        <x14:dataValidation type="list" allowBlank="1" showInputMessage="1" showErrorMessage="1" xr:uid="{289251CD-7231-48F5-BDBD-5C2C1F33AF30}">
          <x14:formula1>
            <xm:f>_xlfn.ANCHORARRAY(Lists!$G$4)</xm:f>
          </x14:formula1>
          <xm:sqref>E11</xm:sqref>
        </x14:dataValidation>
        <x14:dataValidation type="list" allowBlank="1" showInputMessage="1" showErrorMessage="1" xr:uid="{F5BF7C68-BD96-49FD-B053-7EF1E2346105}">
          <x14:formula1>
            <xm:f>_xlfn.ANCHORARRAY(Lists!$H$4)</xm:f>
          </x14:formula1>
          <xm:sqref>E14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CACA7-6F88-40E6-82CA-A3A0276C1E4E}">
  <dimension ref="B2:H124"/>
  <sheetViews>
    <sheetView showGridLines="0" workbookViewId="0">
      <selection activeCell="F24" sqref="F24"/>
    </sheetView>
  </sheetViews>
  <sheetFormatPr defaultRowHeight="14.5" x14ac:dyDescent="0.35"/>
  <cols>
    <col min="1" max="2" width="8.7265625" style="47"/>
    <col min="3" max="3" width="13.36328125" style="47" bestFit="1" customWidth="1"/>
    <col min="4" max="4" width="13.1796875" style="47" bestFit="1" customWidth="1"/>
    <col min="5" max="5" width="12.453125" style="47" bestFit="1" customWidth="1"/>
    <col min="6" max="16384" width="8.7265625" style="47"/>
  </cols>
  <sheetData>
    <row r="2" spans="2:8" ht="16.5" x14ac:dyDescent="0.45">
      <c r="B2" s="46" t="s">
        <v>88</v>
      </c>
    </row>
    <row r="3" spans="2:8" s="49" customFormat="1" ht="29" x14ac:dyDescent="0.35">
      <c r="B3" s="48" t="s">
        <v>0</v>
      </c>
      <c r="C3" s="49" t="s">
        <v>10</v>
      </c>
      <c r="D3" s="49" t="s">
        <v>11</v>
      </c>
      <c r="E3" s="49" t="s">
        <v>15</v>
      </c>
      <c r="F3" s="49" t="s">
        <v>89</v>
      </c>
      <c r="G3" s="53" t="s">
        <v>91</v>
      </c>
    </row>
    <row r="4" spans="2:8" x14ac:dyDescent="0.35">
      <c r="B4" s="50">
        <v>0</v>
      </c>
      <c r="C4" s="51">
        <v>3.5990000000000002E-3</v>
      </c>
      <c r="D4" s="51">
        <v>3.5990000000000002E-3</v>
      </c>
      <c r="E4" s="51">
        <v>2.6150000000000001E-3</v>
      </c>
      <c r="F4" s="47">
        <v>2.6150000000000001E-3</v>
      </c>
      <c r="G4" s="54"/>
    </row>
    <row r="5" spans="2:8" x14ac:dyDescent="0.35">
      <c r="B5" s="50">
        <v>1</v>
      </c>
      <c r="C5" s="51">
        <v>6.2E-4</v>
      </c>
      <c r="D5" s="51">
        <v>6.2E-4</v>
      </c>
      <c r="E5" s="51">
        <v>5.5000000000000003E-4</v>
      </c>
      <c r="F5" s="47">
        <v>5.5000000000000003E-4</v>
      </c>
      <c r="G5" s="54"/>
    </row>
    <row r="6" spans="2:8" x14ac:dyDescent="0.35">
      <c r="B6" s="50">
        <v>2</v>
      </c>
      <c r="C6" s="51">
        <v>3.7500000000000001E-4</v>
      </c>
      <c r="D6" s="51">
        <v>3.8299999999999999E-4</v>
      </c>
      <c r="E6" s="51">
        <v>2.92E-4</v>
      </c>
      <c r="F6" s="47">
        <v>2.9500000000000001E-4</v>
      </c>
      <c r="G6" s="54"/>
    </row>
    <row r="7" spans="2:8" x14ac:dyDescent="0.35">
      <c r="B7" s="50">
        <v>3</v>
      </c>
      <c r="C7" s="51">
        <v>2.9300000000000002E-4</v>
      </c>
      <c r="D7" s="51">
        <v>3.0499999999999999E-4</v>
      </c>
      <c r="E7" s="51">
        <v>2.0799999999999999E-4</v>
      </c>
      <c r="F7" s="47">
        <v>2.13E-4</v>
      </c>
      <c r="G7" s="54"/>
    </row>
    <row r="8" spans="2:8" x14ac:dyDescent="0.35">
      <c r="B8" s="50">
        <v>4</v>
      </c>
      <c r="C8" s="51">
        <v>2.31E-4</v>
      </c>
      <c r="D8" s="51">
        <v>2.4600000000000002E-4</v>
      </c>
      <c r="E8" s="51">
        <v>1.65E-4</v>
      </c>
      <c r="F8" s="47">
        <v>1.7100000000000001E-4</v>
      </c>
      <c r="G8" s="54"/>
    </row>
    <row r="9" spans="2:8" x14ac:dyDescent="0.35">
      <c r="B9" s="50">
        <v>5</v>
      </c>
      <c r="C9" s="51">
        <v>2.0900000000000001E-4</v>
      </c>
      <c r="D9" s="51">
        <v>2.2699999999999999E-4</v>
      </c>
      <c r="E9" s="51">
        <v>1.4200000000000001E-4</v>
      </c>
      <c r="F9" s="47">
        <v>1.4899999999999999E-4</v>
      </c>
      <c r="G9" s="54"/>
    </row>
    <row r="10" spans="2:8" x14ac:dyDescent="0.35">
      <c r="B10" s="50">
        <v>6</v>
      </c>
      <c r="C10" s="51">
        <v>1.8799999999999999E-4</v>
      </c>
      <c r="D10" s="51">
        <v>2.0799999999999999E-4</v>
      </c>
      <c r="E10" s="51">
        <v>1.2899999999999999E-4</v>
      </c>
      <c r="F10" s="47">
        <v>1.37E-4</v>
      </c>
      <c r="G10" s="54"/>
    </row>
    <row r="11" spans="2:8" x14ac:dyDescent="0.35">
      <c r="B11" s="50">
        <v>7</v>
      </c>
      <c r="C11" s="51">
        <v>1.76E-4</v>
      </c>
      <c r="D11" s="51">
        <v>1.9900000000000001E-4</v>
      </c>
      <c r="E11" s="51">
        <v>1.17E-4</v>
      </c>
      <c r="F11" s="47">
        <v>1.26E-4</v>
      </c>
      <c r="G11" s="54"/>
      <c r="H11" s="52"/>
    </row>
    <row r="12" spans="2:8" x14ac:dyDescent="0.35">
      <c r="B12" s="50">
        <v>8</v>
      </c>
      <c r="C12" s="51">
        <v>1.64E-4</v>
      </c>
      <c r="D12" s="51">
        <v>1.9000000000000001E-4</v>
      </c>
      <c r="E12" s="51">
        <v>1.13E-4</v>
      </c>
      <c r="F12" s="47">
        <v>1.2400000000000001E-4</v>
      </c>
      <c r="G12" s="54"/>
    </row>
    <row r="13" spans="2:8" x14ac:dyDescent="0.35">
      <c r="B13" s="50">
        <v>9</v>
      </c>
      <c r="C13" s="51">
        <v>1.6200000000000001E-4</v>
      </c>
      <c r="D13" s="51">
        <v>1.92E-4</v>
      </c>
      <c r="E13" s="51">
        <v>1.01E-4</v>
      </c>
      <c r="F13" s="47">
        <v>1.13E-4</v>
      </c>
      <c r="G13" s="54"/>
    </row>
    <row r="14" spans="2:8" x14ac:dyDescent="0.35">
      <c r="B14" s="50">
        <v>10</v>
      </c>
      <c r="C14" s="51">
        <v>1.6000000000000001E-4</v>
      </c>
      <c r="D14" s="51">
        <v>1.93E-4</v>
      </c>
      <c r="E14" s="51">
        <v>1.01E-4</v>
      </c>
      <c r="F14" s="47">
        <v>1.1E-4</v>
      </c>
      <c r="G14" s="54"/>
    </row>
    <row r="15" spans="2:8" x14ac:dyDescent="0.35">
      <c r="B15" s="50">
        <v>11</v>
      </c>
      <c r="C15" s="51">
        <v>1.5799999999999999E-4</v>
      </c>
      <c r="D15" s="51">
        <v>1.94E-4</v>
      </c>
      <c r="E15" s="51">
        <v>1.01E-4</v>
      </c>
      <c r="F15" s="47">
        <v>1.17E-4</v>
      </c>
      <c r="G15" s="54"/>
    </row>
    <row r="16" spans="2:8" x14ac:dyDescent="0.35">
      <c r="B16" s="50">
        <v>12</v>
      </c>
      <c r="C16" s="51">
        <v>1.64E-4</v>
      </c>
      <c r="D16" s="51">
        <v>2.0699999999999999E-4</v>
      </c>
      <c r="E16" s="51">
        <v>1.01E-4</v>
      </c>
      <c r="F16" s="47">
        <v>1.18E-4</v>
      </c>
      <c r="G16" s="54"/>
    </row>
    <row r="17" spans="2:7" x14ac:dyDescent="0.35">
      <c r="B17" s="50">
        <v>13</v>
      </c>
      <c r="C17" s="51">
        <v>1.9599999999999999E-4</v>
      </c>
      <c r="D17" s="51">
        <v>2.52E-4</v>
      </c>
      <c r="E17" s="51">
        <v>1.01E-4</v>
      </c>
      <c r="F17" s="47">
        <v>1.2E-4</v>
      </c>
      <c r="G17" s="54"/>
    </row>
    <row r="18" spans="2:7" x14ac:dyDescent="0.35">
      <c r="B18" s="50">
        <v>14</v>
      </c>
      <c r="C18" s="51">
        <v>2.43E-4</v>
      </c>
      <c r="D18" s="51">
        <v>3.2000000000000003E-4</v>
      </c>
      <c r="E18" s="51">
        <v>1.15E-4</v>
      </c>
      <c r="F18" s="47">
        <v>1.4100000000000001E-4</v>
      </c>
      <c r="G18" s="54"/>
    </row>
    <row r="19" spans="2:7" x14ac:dyDescent="0.35">
      <c r="B19" s="50">
        <v>15</v>
      </c>
      <c r="C19" s="51">
        <v>3.3E-4</v>
      </c>
      <c r="D19" s="51">
        <v>4.4499999999999997E-4</v>
      </c>
      <c r="E19" s="51">
        <v>1.34E-4</v>
      </c>
      <c r="F19" s="47">
        <v>1.6799999999999999E-4</v>
      </c>
      <c r="G19" s="54"/>
    </row>
    <row r="20" spans="2:7" x14ac:dyDescent="0.35">
      <c r="B20" s="50">
        <v>16</v>
      </c>
      <c r="C20" s="51">
        <v>4.2299999999999998E-4</v>
      </c>
      <c r="D20" s="51">
        <v>5.8200000000000005E-4</v>
      </c>
      <c r="E20" s="51">
        <v>1.5100000000000001E-4</v>
      </c>
      <c r="F20" s="47">
        <v>1.95E-4</v>
      </c>
      <c r="G20" s="54"/>
    </row>
    <row r="21" spans="2:7" x14ac:dyDescent="0.35">
      <c r="B21" s="50">
        <v>17</v>
      </c>
      <c r="C21" s="51">
        <v>5.9999999999999995E-4</v>
      </c>
      <c r="D21" s="51">
        <v>8.4599999999999996E-4</v>
      </c>
      <c r="E21" s="51">
        <v>1.7200000000000001E-4</v>
      </c>
      <c r="F21" s="47">
        <v>2.2699999999999999E-4</v>
      </c>
      <c r="G21" s="54"/>
    </row>
    <row r="22" spans="2:7" x14ac:dyDescent="0.35">
      <c r="B22" s="50">
        <v>18</v>
      </c>
      <c r="C22" s="51">
        <v>5.9400000000000002E-4</v>
      </c>
      <c r="D22" s="51">
        <v>8.1999999999999998E-4</v>
      </c>
      <c r="E22" s="51">
        <v>1.7799999999999999E-4</v>
      </c>
      <c r="F22" s="47">
        <v>2.32E-4</v>
      </c>
      <c r="G22" s="54"/>
    </row>
    <row r="23" spans="2:7" x14ac:dyDescent="0.35">
      <c r="B23" s="50">
        <v>19</v>
      </c>
      <c r="C23" s="51">
        <v>5.8699999999999996E-4</v>
      </c>
      <c r="D23" s="51">
        <v>7.94E-4</v>
      </c>
      <c r="E23" s="51">
        <v>1.85E-4</v>
      </c>
      <c r="F23" s="47">
        <v>2.3800000000000001E-4</v>
      </c>
      <c r="G23" s="54"/>
    </row>
    <row r="24" spans="2:7" x14ac:dyDescent="0.35">
      <c r="B24" s="50">
        <v>20</v>
      </c>
      <c r="C24" s="51">
        <v>5.8200000000000005E-4</v>
      </c>
      <c r="D24" s="51">
        <v>7.6999999999999996E-4</v>
      </c>
      <c r="E24" s="51">
        <v>1.93E-4</v>
      </c>
      <c r="F24" s="47">
        <v>2.4499999999999999E-4</v>
      </c>
      <c r="G24" s="54"/>
    </row>
    <row r="25" spans="2:7" x14ac:dyDescent="0.35">
      <c r="B25" s="50">
        <v>21</v>
      </c>
      <c r="C25" s="51">
        <v>5.7700000000000004E-4</v>
      </c>
      <c r="D25" s="51">
        <v>7.4700000000000005E-4</v>
      </c>
      <c r="E25" s="51">
        <v>2.02E-4</v>
      </c>
      <c r="F25" s="47">
        <v>2.52E-4</v>
      </c>
      <c r="G25" s="54"/>
    </row>
    <row r="26" spans="2:7" x14ac:dyDescent="0.35">
      <c r="B26" s="50">
        <v>22</v>
      </c>
      <c r="C26" s="51">
        <v>5.7200000000000003E-4</v>
      </c>
      <c r="D26" s="51">
        <v>7.2499999999999995E-4</v>
      </c>
      <c r="E26" s="51">
        <v>2.12E-4</v>
      </c>
      <c r="F26" s="47">
        <v>2.5999999999999998E-4</v>
      </c>
      <c r="G26" s="54"/>
    </row>
    <row r="27" spans="2:7" x14ac:dyDescent="0.35">
      <c r="B27" s="50">
        <v>23</v>
      </c>
      <c r="C27" s="51">
        <v>5.6899999999999995E-4</v>
      </c>
      <c r="D27" s="51">
        <v>7.0500000000000001E-4</v>
      </c>
      <c r="E27" s="51">
        <v>2.23E-4</v>
      </c>
      <c r="F27" s="47">
        <v>2.6899999999999998E-4</v>
      </c>
      <c r="G27" s="54"/>
    </row>
    <row r="28" spans="2:7" x14ac:dyDescent="0.35">
      <c r="B28" s="50">
        <v>24</v>
      </c>
      <c r="C28" s="51">
        <v>5.6700000000000001E-4</v>
      </c>
      <c r="D28" s="51">
        <v>6.87E-4</v>
      </c>
      <c r="E28" s="51">
        <v>2.3499999999999999E-4</v>
      </c>
      <c r="F28" s="47">
        <v>2.7900000000000001E-4</v>
      </c>
      <c r="G28" s="54"/>
    </row>
    <row r="29" spans="2:7" x14ac:dyDescent="0.35">
      <c r="B29" s="50">
        <v>25</v>
      </c>
      <c r="C29" s="51">
        <v>5.6599999999999999E-4</v>
      </c>
      <c r="D29" s="51">
        <v>6.7000000000000002E-4</v>
      </c>
      <c r="E29" s="51">
        <v>2.4800000000000001E-4</v>
      </c>
      <c r="F29" s="47">
        <v>2.9E-4</v>
      </c>
      <c r="G29" s="54"/>
    </row>
    <row r="30" spans="2:7" x14ac:dyDescent="0.35">
      <c r="B30" s="50">
        <v>26</v>
      </c>
      <c r="C30" s="51">
        <v>5.6700000000000001E-4</v>
      </c>
      <c r="D30" s="51">
        <v>6.5600000000000001E-4</v>
      </c>
      <c r="E30" s="51">
        <v>2.63E-4</v>
      </c>
      <c r="F30" s="47">
        <v>3.0299999999999999E-4</v>
      </c>
      <c r="G30" s="54"/>
    </row>
    <row r="31" spans="2:7" x14ac:dyDescent="0.35">
      <c r="B31" s="50">
        <v>27</v>
      </c>
      <c r="C31" s="51">
        <v>5.6999999999999998E-4</v>
      </c>
      <c r="D31" s="51">
        <v>6.4400000000000004E-4</v>
      </c>
      <c r="E31" s="51">
        <v>2.7900000000000001E-4</v>
      </c>
      <c r="F31" s="47">
        <v>3.1700000000000001E-4</v>
      </c>
      <c r="G31" s="54"/>
    </row>
    <row r="32" spans="2:7" x14ac:dyDescent="0.35">
      <c r="B32" s="50">
        <v>28</v>
      </c>
      <c r="C32" s="51">
        <v>5.7399999999999997E-4</v>
      </c>
      <c r="D32" s="51">
        <v>6.3400000000000001E-4</v>
      </c>
      <c r="E32" s="51">
        <v>2.9700000000000001E-4</v>
      </c>
      <c r="F32" s="47">
        <v>3.3199999999999999E-4</v>
      </c>
      <c r="G32" s="54"/>
    </row>
    <row r="33" spans="2:7" x14ac:dyDescent="0.35">
      <c r="B33" s="50">
        <v>29</v>
      </c>
      <c r="C33" s="51">
        <v>5.8E-4</v>
      </c>
      <c r="D33" s="51">
        <v>6.2799999999999998E-4</v>
      </c>
      <c r="E33" s="51">
        <v>3.1700000000000001E-4</v>
      </c>
      <c r="F33" s="47">
        <v>3.4900000000000003E-4</v>
      </c>
      <c r="G33" s="54"/>
    </row>
    <row r="34" spans="2:7" x14ac:dyDescent="0.35">
      <c r="B34" s="50">
        <v>30</v>
      </c>
      <c r="C34" s="51">
        <v>5.9000000000000003E-4</v>
      </c>
      <c r="D34" s="51">
        <v>6.2500000000000001E-4</v>
      </c>
      <c r="E34" s="51">
        <v>3.39E-4</v>
      </c>
      <c r="F34" s="47">
        <v>3.6900000000000002E-4</v>
      </c>
      <c r="G34" s="54"/>
    </row>
    <row r="35" spans="2:7" x14ac:dyDescent="0.35">
      <c r="B35" s="50">
        <v>31</v>
      </c>
      <c r="C35" s="51">
        <v>6.02E-4</v>
      </c>
      <c r="D35" s="51">
        <v>6.2600000000000004E-4</v>
      </c>
      <c r="E35" s="51">
        <v>3.6400000000000001E-4</v>
      </c>
      <c r="F35" s="47">
        <v>3.8999999999999999E-4</v>
      </c>
      <c r="G35" s="54"/>
    </row>
    <row r="36" spans="2:7" x14ac:dyDescent="0.35">
      <c r="B36" s="50">
        <v>32</v>
      </c>
      <c r="C36" s="51">
        <v>6.1700000000000004E-4</v>
      </c>
      <c r="D36" s="51">
        <v>6.3000000000000003E-4</v>
      </c>
      <c r="E36" s="51">
        <v>3.9100000000000002E-4</v>
      </c>
      <c r="F36" s="47">
        <v>4.1399999999999998E-4</v>
      </c>
      <c r="G36" s="54"/>
    </row>
    <row r="37" spans="2:7" x14ac:dyDescent="0.35">
      <c r="B37" s="50">
        <v>33</v>
      </c>
      <c r="C37" s="51">
        <v>6.3599999999999996E-4</v>
      </c>
      <c r="D37" s="51">
        <v>6.4000000000000005E-4</v>
      </c>
      <c r="E37" s="51">
        <v>4.2200000000000001E-4</v>
      </c>
      <c r="F37" s="47">
        <v>4.4000000000000002E-4</v>
      </c>
      <c r="G37" s="54"/>
    </row>
    <row r="38" spans="2:7" x14ac:dyDescent="0.35">
      <c r="B38" s="50">
        <v>34</v>
      </c>
      <c r="C38" s="51">
        <v>6.6E-4</v>
      </c>
      <c r="D38" s="51">
        <v>6.5499999999999998E-4</v>
      </c>
      <c r="E38" s="51">
        <v>4.55E-4</v>
      </c>
      <c r="F38" s="47">
        <v>4.6900000000000002E-4</v>
      </c>
      <c r="G38" s="54"/>
    </row>
    <row r="39" spans="2:7" x14ac:dyDescent="0.35">
      <c r="B39" s="50">
        <v>35</v>
      </c>
      <c r="C39" s="51">
        <v>6.8900000000000005E-4</v>
      </c>
      <c r="D39" s="51">
        <v>6.7599999999999995E-4</v>
      </c>
      <c r="E39" s="51">
        <v>4.9200000000000003E-4</v>
      </c>
      <c r="F39" s="47">
        <v>5.0199999999999995E-4</v>
      </c>
      <c r="G39" s="54"/>
    </row>
    <row r="40" spans="2:7" x14ac:dyDescent="0.35">
      <c r="B40" s="50">
        <v>36</v>
      </c>
      <c r="C40" s="51">
        <v>7.2400000000000003E-4</v>
      </c>
      <c r="D40" s="51">
        <v>7.0299999999999996E-4</v>
      </c>
      <c r="E40" s="51">
        <v>5.3300000000000005E-4</v>
      </c>
      <c r="F40" s="47">
        <v>5.3799999999999996E-4</v>
      </c>
      <c r="G40" s="54"/>
    </row>
    <row r="41" spans="2:7" x14ac:dyDescent="0.35">
      <c r="B41" s="50">
        <v>37</v>
      </c>
      <c r="C41" s="51">
        <v>7.6499999999999995E-4</v>
      </c>
      <c r="D41" s="51">
        <v>7.3800000000000005E-4</v>
      </c>
      <c r="E41" s="51">
        <v>5.7899999999999998E-4</v>
      </c>
      <c r="F41" s="47">
        <v>5.7899999999999998E-4</v>
      </c>
      <c r="G41" s="54"/>
    </row>
    <row r="42" spans="2:7" x14ac:dyDescent="0.35">
      <c r="B42" s="50">
        <v>38</v>
      </c>
      <c r="C42" s="51">
        <v>8.1300000000000003E-4</v>
      </c>
      <c r="D42" s="51">
        <v>7.8100000000000001E-4</v>
      </c>
      <c r="E42" s="51">
        <v>6.29E-4</v>
      </c>
      <c r="F42" s="47">
        <v>6.2399999999999999E-4</v>
      </c>
      <c r="G42" s="54"/>
    </row>
    <row r="43" spans="2:7" x14ac:dyDescent="0.35">
      <c r="B43" s="50">
        <v>39</v>
      </c>
      <c r="C43" s="51">
        <v>8.7000000000000001E-4</v>
      </c>
      <c r="D43" s="51">
        <v>8.3299999999999997E-4</v>
      </c>
      <c r="E43" s="51">
        <v>6.8499999999999995E-4</v>
      </c>
      <c r="F43" s="47">
        <v>6.7400000000000001E-4</v>
      </c>
      <c r="G43" s="54"/>
    </row>
    <row r="44" spans="2:7" x14ac:dyDescent="0.35">
      <c r="B44" s="50">
        <v>40</v>
      </c>
      <c r="C44" s="51">
        <v>9.3700000000000001E-4</v>
      </c>
      <c r="D44" s="51">
        <v>8.9599999999999999E-4</v>
      </c>
      <c r="E44" s="51">
        <v>7.4700000000000005E-4</v>
      </c>
      <c r="F44" s="47">
        <v>7.2900000000000005E-4</v>
      </c>
      <c r="G44" s="54"/>
    </row>
    <row r="45" spans="2:7" x14ac:dyDescent="0.35">
      <c r="B45" s="50">
        <v>41</v>
      </c>
      <c r="C45" s="51">
        <v>1.0139999999999999E-3</v>
      </c>
      <c r="D45" s="51">
        <v>9.7000000000000005E-4</v>
      </c>
      <c r="E45" s="51">
        <v>8.1599999999999999E-4</v>
      </c>
      <c r="F45" s="47">
        <v>7.9100000000000004E-4</v>
      </c>
      <c r="G45" s="54"/>
    </row>
    <row r="46" spans="2:7" x14ac:dyDescent="0.35">
      <c r="B46" s="50">
        <v>42</v>
      </c>
      <c r="C46" s="51">
        <v>1.1039999999999999E-3</v>
      </c>
      <c r="D46" s="51">
        <v>1.057E-3</v>
      </c>
      <c r="E46" s="51">
        <v>8.92E-4</v>
      </c>
      <c r="F46" s="47">
        <v>8.5999999999999998E-4</v>
      </c>
      <c r="G46" s="54"/>
    </row>
    <row r="47" spans="2:7" x14ac:dyDescent="0.35">
      <c r="B47" s="50">
        <v>43</v>
      </c>
      <c r="C47" s="51">
        <v>1.2080000000000001E-3</v>
      </c>
      <c r="D47" s="51">
        <v>1.158E-3</v>
      </c>
      <c r="E47" s="51">
        <v>9.77E-4</v>
      </c>
      <c r="F47" s="47">
        <v>9.3700000000000001E-4</v>
      </c>
      <c r="G47" s="54"/>
    </row>
    <row r="48" spans="2:7" x14ac:dyDescent="0.35">
      <c r="B48" s="50">
        <v>44</v>
      </c>
      <c r="C48" s="51">
        <v>1.3270000000000001E-3</v>
      </c>
      <c r="D48" s="51">
        <v>1.2750000000000001E-3</v>
      </c>
      <c r="E48" s="51">
        <v>1.07E-3</v>
      </c>
      <c r="F48" s="47">
        <v>1.0219999999999999E-3</v>
      </c>
      <c r="G48" s="54"/>
    </row>
    <row r="49" spans="2:7" x14ac:dyDescent="0.35">
      <c r="B49" s="50">
        <v>45</v>
      </c>
      <c r="C49" s="51">
        <v>1.4649999999999999E-3</v>
      </c>
      <c r="D49" s="51">
        <v>1.41E-3</v>
      </c>
      <c r="E49" s="51">
        <v>1.1739999999999999E-3</v>
      </c>
      <c r="F49" s="47">
        <v>1.1169999999999999E-3</v>
      </c>
      <c r="G49" s="54"/>
    </row>
    <row r="50" spans="2:7" x14ac:dyDescent="0.35">
      <c r="B50" s="50">
        <v>46</v>
      </c>
      <c r="C50" s="51">
        <v>1.622E-3</v>
      </c>
      <c r="D50" s="51">
        <v>1.565E-3</v>
      </c>
      <c r="E50" s="51">
        <v>1.2880000000000001E-3</v>
      </c>
      <c r="F50" s="47">
        <v>1.2229999999999999E-3</v>
      </c>
      <c r="G50" s="54"/>
    </row>
    <row r="51" spans="2:7" x14ac:dyDescent="0.35">
      <c r="B51" s="50">
        <v>47</v>
      </c>
      <c r="C51" s="51">
        <v>1.802E-3</v>
      </c>
      <c r="D51" s="51">
        <v>1.743E-3</v>
      </c>
      <c r="E51" s="51">
        <v>1.4159999999999999E-3</v>
      </c>
      <c r="F51" s="47">
        <v>1.341E-3</v>
      </c>
      <c r="G51" s="54"/>
    </row>
    <row r="52" spans="2:7" x14ac:dyDescent="0.35">
      <c r="B52" s="50">
        <v>48</v>
      </c>
      <c r="C52" s="51">
        <v>2.0079999999999998E-3</v>
      </c>
      <c r="D52" s="51">
        <v>1.9449999999999999E-3</v>
      </c>
      <c r="E52" s="51">
        <v>1.5560000000000001E-3</v>
      </c>
      <c r="F52" s="47">
        <v>1.472E-3</v>
      </c>
      <c r="G52" s="54"/>
    </row>
    <row r="53" spans="2:7" x14ac:dyDescent="0.35">
      <c r="B53" s="50">
        <v>49</v>
      </c>
      <c r="C53" s="51">
        <v>2.2409999999999999E-3</v>
      </c>
      <c r="D53" s="51">
        <v>2.1749999999999999E-3</v>
      </c>
      <c r="E53" s="51">
        <v>1.7129999999999999E-3</v>
      </c>
      <c r="F53" s="47">
        <v>1.6180000000000001E-3</v>
      </c>
      <c r="G53" s="54"/>
    </row>
    <row r="54" spans="2:7" x14ac:dyDescent="0.35">
      <c r="B54" s="50">
        <v>50</v>
      </c>
      <c r="C54" s="51">
        <v>2.5079999999999998E-3</v>
      </c>
      <c r="D54" s="51">
        <v>2.4359999999999998E-3</v>
      </c>
      <c r="E54" s="51">
        <v>1.8860000000000001E-3</v>
      </c>
      <c r="F54" s="47">
        <v>1.7799999999999999E-3</v>
      </c>
      <c r="G54" s="54"/>
    </row>
    <row r="55" spans="2:7" x14ac:dyDescent="0.35">
      <c r="B55" s="50">
        <v>51</v>
      </c>
      <c r="C55" s="51">
        <v>2.8089999999999999E-3</v>
      </c>
      <c r="D55" s="51">
        <v>2.7309999999999999E-3</v>
      </c>
      <c r="E55" s="51">
        <v>2.0769999999999999E-3</v>
      </c>
      <c r="F55" s="47">
        <v>1.9599999999999999E-3</v>
      </c>
      <c r="G55" s="54"/>
    </row>
    <row r="56" spans="2:7" x14ac:dyDescent="0.35">
      <c r="B56" s="50">
        <v>52</v>
      </c>
      <c r="C56" s="51">
        <v>3.1519999999999999E-3</v>
      </c>
      <c r="D56" s="51">
        <v>3.0639999999999999E-3</v>
      </c>
      <c r="E56" s="51">
        <v>2.2899999999999999E-3</v>
      </c>
      <c r="F56" s="47">
        <v>2.1610000000000002E-3</v>
      </c>
      <c r="G56" s="54"/>
    </row>
    <row r="57" spans="2:7" x14ac:dyDescent="0.35">
      <c r="B57" s="50">
        <v>53</v>
      </c>
      <c r="C57" s="51">
        <v>3.539E-3</v>
      </c>
      <c r="D57" s="51">
        <v>3.441E-3</v>
      </c>
      <c r="E57" s="51">
        <v>2.5249999999999999E-3</v>
      </c>
      <c r="F57" s="47">
        <v>2.3839999999999998E-3</v>
      </c>
      <c r="G57" s="54"/>
    </row>
    <row r="58" spans="2:7" x14ac:dyDescent="0.35">
      <c r="B58" s="50">
        <v>54</v>
      </c>
      <c r="C58" s="51">
        <v>3.9760000000000004E-3</v>
      </c>
      <c r="D58" s="51">
        <v>3.8639999999999998E-3</v>
      </c>
      <c r="E58" s="51">
        <v>2.7859999999999998E-3</v>
      </c>
      <c r="F58" s="47">
        <v>2.6329999999999999E-3</v>
      </c>
      <c r="G58" s="54"/>
    </row>
    <row r="59" spans="2:7" x14ac:dyDescent="0.35">
      <c r="B59" s="50">
        <v>55</v>
      </c>
      <c r="C59" s="51">
        <v>4.4689999999999999E-3</v>
      </c>
      <c r="D59" s="51">
        <v>4.3410000000000002E-3</v>
      </c>
      <c r="E59" s="51">
        <v>3.075E-3</v>
      </c>
      <c r="F59" s="47">
        <v>2.9090000000000001E-3</v>
      </c>
      <c r="G59" s="54"/>
    </row>
    <row r="60" spans="2:7" x14ac:dyDescent="0.35">
      <c r="B60" s="50">
        <v>56</v>
      </c>
      <c r="C60" s="51">
        <v>5.025E-3</v>
      </c>
      <c r="D60" s="51">
        <v>4.8770000000000003E-3</v>
      </c>
      <c r="E60" s="51">
        <v>3.395E-3</v>
      </c>
      <c r="F60" s="47">
        <v>3.2169999999999998E-3</v>
      </c>
      <c r="G60" s="54"/>
    </row>
    <row r="61" spans="2:7" x14ac:dyDescent="0.35">
      <c r="B61" s="50">
        <v>57</v>
      </c>
      <c r="C61" s="51">
        <v>5.6499999999999996E-3</v>
      </c>
      <c r="D61" s="51">
        <v>5.4780000000000002E-3</v>
      </c>
      <c r="E61" s="51">
        <v>3.7490000000000002E-3</v>
      </c>
      <c r="F61" s="47">
        <v>3.5590000000000001E-3</v>
      </c>
      <c r="G61" s="54"/>
    </row>
    <row r="62" spans="2:7" x14ac:dyDescent="0.35">
      <c r="B62" s="50">
        <v>58</v>
      </c>
      <c r="C62" s="51">
        <v>6.352E-3</v>
      </c>
      <c r="D62" s="51">
        <v>6.1529999999999996E-3</v>
      </c>
      <c r="E62" s="51">
        <v>4.1419999999999998E-3</v>
      </c>
      <c r="F62" s="47">
        <v>3.9399999999999999E-3</v>
      </c>
      <c r="G62" s="54"/>
    </row>
    <row r="63" spans="2:7" x14ac:dyDescent="0.35">
      <c r="B63" s="50">
        <v>59</v>
      </c>
      <c r="C63" s="51">
        <v>7.1399999999999996E-3</v>
      </c>
      <c r="D63" s="51">
        <v>6.9080000000000001E-3</v>
      </c>
      <c r="E63" s="51">
        <v>4.5770000000000003E-3</v>
      </c>
      <c r="F63" s="47">
        <v>4.3629999999999997E-3</v>
      </c>
      <c r="G63" s="54"/>
    </row>
    <row r="64" spans="2:7" x14ac:dyDescent="0.35">
      <c r="B64" s="50">
        <v>60</v>
      </c>
      <c r="C64" s="51">
        <v>8.0219999999999996E-3</v>
      </c>
      <c r="D64" s="51">
        <v>7.7539999999999996E-3</v>
      </c>
      <c r="E64" s="51">
        <v>5.058E-3</v>
      </c>
      <c r="F64" s="47">
        <v>4.8339999999999998E-3</v>
      </c>
      <c r="G64" s="54"/>
    </row>
    <row r="65" spans="2:7" x14ac:dyDescent="0.35">
      <c r="B65" s="50">
        <v>61</v>
      </c>
      <c r="C65" s="51">
        <v>9.0089999999999996E-3</v>
      </c>
      <c r="D65" s="51">
        <v>8.6999999999999994E-3</v>
      </c>
      <c r="E65" s="51">
        <v>5.5919999999999997E-3</v>
      </c>
      <c r="F65" s="47">
        <v>5.3579999999999999E-3</v>
      </c>
      <c r="G65" s="54"/>
    </row>
    <row r="66" spans="2:7" x14ac:dyDescent="0.35">
      <c r="B66" s="50">
        <v>62</v>
      </c>
      <c r="C66" s="51">
        <v>1.0111999999999999E-2</v>
      </c>
      <c r="D66" s="51">
        <v>9.757E-3</v>
      </c>
      <c r="E66" s="51">
        <v>6.1830000000000001E-3</v>
      </c>
      <c r="F66" s="47">
        <v>5.9410000000000001E-3</v>
      </c>
      <c r="G66" s="54"/>
    </row>
    <row r="67" spans="2:7" x14ac:dyDescent="0.35">
      <c r="B67" s="50">
        <v>63</v>
      </c>
      <c r="C67" s="51">
        <v>1.1344E-2</v>
      </c>
      <c r="D67" s="51">
        <v>1.0937000000000001E-2</v>
      </c>
      <c r="E67" s="51">
        <v>6.8380000000000003E-3</v>
      </c>
      <c r="F67" s="47">
        <v>6.5890000000000002E-3</v>
      </c>
      <c r="G67" s="54"/>
    </row>
    <row r="68" spans="2:7" x14ac:dyDescent="0.35">
      <c r="B68" s="50">
        <v>64</v>
      </c>
      <c r="C68" s="51">
        <v>1.2716E-2</v>
      </c>
      <c r="D68" s="51">
        <v>1.2255E-2</v>
      </c>
      <c r="E68" s="51">
        <v>7.5620000000000001E-3</v>
      </c>
      <c r="F68" s="47">
        <v>7.3099999999999997E-3</v>
      </c>
      <c r="G68" s="54"/>
    </row>
    <row r="69" spans="2:7" x14ac:dyDescent="0.35">
      <c r="B69" s="50">
        <v>65</v>
      </c>
      <c r="C69" s="51">
        <v>1.4243E-2</v>
      </c>
      <c r="D69" s="51">
        <v>1.3724E-2</v>
      </c>
      <c r="E69" s="51">
        <v>8.3649999999999992E-3</v>
      </c>
      <c r="F69" s="47">
        <v>8.1110000000000002E-3</v>
      </c>
      <c r="G69" s="54"/>
    </row>
    <row r="70" spans="2:7" x14ac:dyDescent="0.35">
      <c r="B70" s="50">
        <v>66</v>
      </c>
      <c r="C70" s="51">
        <v>1.5939999999999999E-2</v>
      </c>
      <c r="D70" s="51">
        <v>1.5363E-2</v>
      </c>
      <c r="E70" s="51">
        <v>9.2540000000000001E-3</v>
      </c>
      <c r="F70" s="47">
        <v>9.0019999999999996E-3</v>
      </c>
      <c r="G70" s="54"/>
    </row>
    <row r="71" spans="2:7" x14ac:dyDescent="0.35">
      <c r="B71" s="50">
        <v>67</v>
      </c>
      <c r="C71" s="51">
        <v>1.7824E-2</v>
      </c>
      <c r="D71" s="51">
        <v>1.7187000000000001E-2</v>
      </c>
      <c r="E71" s="51">
        <v>1.0238000000000001E-2</v>
      </c>
      <c r="F71" s="47">
        <v>9.9930000000000001E-3</v>
      </c>
      <c r="G71" s="54"/>
    </row>
    <row r="72" spans="2:7" x14ac:dyDescent="0.35">
      <c r="B72" s="50">
        <v>68</v>
      </c>
      <c r="C72" s="51">
        <v>1.9913E-2</v>
      </c>
      <c r="D72" s="51">
        <v>1.9219E-2</v>
      </c>
      <c r="E72" s="51">
        <v>1.1327E-2</v>
      </c>
      <c r="F72" s="47">
        <v>1.1095000000000001E-2</v>
      </c>
      <c r="G72" s="54"/>
    </row>
    <row r="73" spans="2:7" x14ac:dyDescent="0.35">
      <c r="B73" s="50">
        <v>69</v>
      </c>
      <c r="C73" s="51">
        <v>2.2225999999999999E-2</v>
      </c>
      <c r="D73" s="51">
        <v>2.1479000000000002E-2</v>
      </c>
      <c r="E73" s="51">
        <v>1.2533000000000001E-2</v>
      </c>
      <c r="F73" s="47">
        <v>1.2319E-2</v>
      </c>
      <c r="G73" s="54"/>
    </row>
    <row r="74" spans="2:7" x14ac:dyDescent="0.35">
      <c r="B74" s="50">
        <v>70</v>
      </c>
      <c r="C74" s="51">
        <v>2.4782999999999999E-2</v>
      </c>
      <c r="D74" s="51">
        <v>2.3991999999999999E-2</v>
      </c>
      <c r="E74" s="51">
        <v>1.3867000000000001E-2</v>
      </c>
      <c r="F74" s="47">
        <v>1.3679999999999999E-2</v>
      </c>
      <c r="G74" s="54"/>
    </row>
    <row r="75" spans="2:7" x14ac:dyDescent="0.35">
      <c r="B75" s="50">
        <v>71</v>
      </c>
      <c r="C75" s="51">
        <v>2.7605999999999999E-2</v>
      </c>
      <c r="D75" s="51">
        <v>2.6783999999999999E-2</v>
      </c>
      <c r="E75" s="51">
        <v>1.5343000000000001E-2</v>
      </c>
      <c r="F75" s="47">
        <v>1.5192000000000001E-2</v>
      </c>
      <c r="G75" s="54"/>
    </row>
    <row r="76" spans="2:7" x14ac:dyDescent="0.35">
      <c r="B76" s="50">
        <v>72</v>
      </c>
      <c r="C76" s="51">
        <v>3.0717999999999999E-2</v>
      </c>
      <c r="D76" s="51">
        <v>2.9884999999999998E-2</v>
      </c>
      <c r="E76" s="51">
        <v>1.6976999999999999E-2</v>
      </c>
      <c r="F76" s="47">
        <v>1.6872999999999999E-2</v>
      </c>
      <c r="G76" s="54"/>
    </row>
    <row r="77" spans="2:7" x14ac:dyDescent="0.35">
      <c r="B77" s="50">
        <v>73</v>
      </c>
      <c r="C77" s="51">
        <v>3.4144000000000001E-2</v>
      </c>
      <c r="D77" s="51">
        <v>3.3327000000000002E-2</v>
      </c>
      <c r="E77" s="51">
        <v>1.8783999999999999E-2</v>
      </c>
      <c r="F77" s="47">
        <v>1.8738999999999999E-2</v>
      </c>
      <c r="G77" s="54"/>
    </row>
    <row r="78" spans="2:7" x14ac:dyDescent="0.35">
      <c r="B78" s="50">
        <v>74</v>
      </c>
      <c r="C78" s="51">
        <v>3.7911E-2</v>
      </c>
      <c r="D78" s="51">
        <v>3.7143000000000002E-2</v>
      </c>
      <c r="E78" s="51">
        <v>2.0782999999999999E-2</v>
      </c>
      <c r="F78" s="47">
        <v>2.0812000000000001E-2</v>
      </c>
      <c r="G78" s="54"/>
    </row>
    <row r="79" spans="2:7" x14ac:dyDescent="0.35">
      <c r="B79" s="50">
        <v>75</v>
      </c>
      <c r="C79" s="51">
        <v>4.2046E-2</v>
      </c>
      <c r="D79" s="51">
        <v>4.1371999999999999E-2</v>
      </c>
      <c r="E79" s="51">
        <v>2.2994000000000001E-2</v>
      </c>
      <c r="F79" s="47">
        <v>2.3113999999999999E-2</v>
      </c>
      <c r="G79" s="54"/>
    </row>
    <row r="80" spans="2:7" x14ac:dyDescent="0.35">
      <c r="B80" s="50">
        <v>76</v>
      </c>
      <c r="C80" s="51">
        <v>4.6578000000000001E-2</v>
      </c>
      <c r="D80" s="51">
        <v>4.6054999999999999E-2</v>
      </c>
      <c r="E80" s="51">
        <v>2.5437999999999999E-2</v>
      </c>
      <c r="F80" s="47">
        <v>2.5669000000000001E-2</v>
      </c>
      <c r="G80" s="54"/>
    </row>
    <row r="81" spans="2:7" x14ac:dyDescent="0.35">
      <c r="B81" s="50">
        <v>77</v>
      </c>
      <c r="C81" s="51">
        <v>5.1538E-2</v>
      </c>
      <c r="D81" s="51">
        <v>5.1235999999999997E-2</v>
      </c>
      <c r="E81" s="51">
        <v>2.8138E-2</v>
      </c>
      <c r="F81" s="47">
        <v>2.8504999999999999E-2</v>
      </c>
      <c r="G81" s="54"/>
    </row>
    <row r="82" spans="2:7" x14ac:dyDescent="0.35">
      <c r="B82" s="50">
        <v>78</v>
      </c>
      <c r="C82" s="51">
        <v>5.6956E-2</v>
      </c>
      <c r="D82" s="51">
        <v>5.6965000000000002E-2</v>
      </c>
      <c r="E82" s="51">
        <v>3.1123000000000001E-2</v>
      </c>
      <c r="F82" s="47">
        <v>3.1652E-2</v>
      </c>
      <c r="G82" s="54"/>
    </row>
    <row r="83" spans="2:7" x14ac:dyDescent="0.35">
      <c r="B83" s="50">
        <v>79</v>
      </c>
      <c r="C83" s="51">
        <v>6.2867000000000006E-2</v>
      </c>
      <c r="D83" s="51">
        <v>6.3292000000000001E-2</v>
      </c>
      <c r="E83" s="51">
        <v>3.4418999999999998E-2</v>
      </c>
      <c r="F83" s="47">
        <v>3.5140999999999999E-2</v>
      </c>
      <c r="G83" s="54"/>
    </row>
    <row r="84" spans="2:7" x14ac:dyDescent="0.35">
      <c r="B84" s="50">
        <v>80</v>
      </c>
      <c r="C84" s="51">
        <v>6.9303000000000003E-2</v>
      </c>
      <c r="D84" s="51">
        <v>7.0273000000000002E-2</v>
      </c>
      <c r="E84" s="51">
        <v>3.8059000000000003E-2</v>
      </c>
      <c r="F84" s="47">
        <v>3.9009000000000002E-2</v>
      </c>
      <c r="G84" s="54"/>
    </row>
    <row r="85" spans="2:7" x14ac:dyDescent="0.35">
      <c r="B85" s="50">
        <v>81</v>
      </c>
      <c r="C85" s="51">
        <v>7.6300000000000007E-2</v>
      </c>
      <c r="D85" s="51">
        <v>7.7968999999999997E-2</v>
      </c>
      <c r="E85" s="51">
        <v>4.2077000000000003E-2</v>
      </c>
      <c r="F85" s="47">
        <v>4.3296000000000001E-2</v>
      </c>
      <c r="G85" s="54"/>
    </row>
    <row r="86" spans="2:7" x14ac:dyDescent="0.35">
      <c r="B86" s="50">
        <v>82</v>
      </c>
      <c r="C86" s="51">
        <v>8.3892999999999995E-2</v>
      </c>
      <c r="D86" s="51">
        <v>8.6443000000000006E-2</v>
      </c>
      <c r="E86" s="51">
        <v>4.6510000000000003E-2</v>
      </c>
      <c r="F86" s="47">
        <v>4.8044999999999997E-2</v>
      </c>
      <c r="G86" s="54"/>
    </row>
    <row r="87" spans="2:7" x14ac:dyDescent="0.35">
      <c r="B87" s="50">
        <v>83</v>
      </c>
      <c r="C87" s="51">
        <v>9.2117000000000004E-2</v>
      </c>
      <c r="D87" s="51">
        <v>9.5763000000000001E-2</v>
      </c>
      <c r="E87" s="51">
        <v>5.1397999999999999E-2</v>
      </c>
      <c r="F87" s="47">
        <v>5.3301000000000001E-2</v>
      </c>
      <c r="G87" s="54"/>
    </row>
    <row r="88" spans="2:7" x14ac:dyDescent="0.35">
      <c r="B88" s="50">
        <v>84</v>
      </c>
      <c r="C88" s="51">
        <v>0.101007</v>
      </c>
      <c r="D88" s="51">
        <v>0.105998</v>
      </c>
      <c r="E88" s="51">
        <v>5.6786000000000003E-2</v>
      </c>
      <c r="F88" s="47">
        <v>5.9117000000000003E-2</v>
      </c>
      <c r="G88" s="54"/>
    </row>
    <row r="89" spans="2:7" x14ac:dyDescent="0.35">
      <c r="B89" s="50">
        <v>85</v>
      </c>
      <c r="C89" s="51">
        <v>0.1106</v>
      </c>
      <c r="D89" s="51">
        <v>0.11722399999999999</v>
      </c>
      <c r="E89" s="51">
        <v>6.2720999999999999E-2</v>
      </c>
      <c r="F89" s="47">
        <v>6.5546999999999994E-2</v>
      </c>
      <c r="G89" s="54"/>
    </row>
    <row r="90" spans="2:7" x14ac:dyDescent="0.35">
      <c r="B90" s="50">
        <v>86</v>
      </c>
      <c r="C90" s="51">
        <v>0.12092899999999999</v>
      </c>
      <c r="D90" s="51">
        <v>0.12951799999999999</v>
      </c>
      <c r="E90" s="51">
        <v>6.9253999999999996E-2</v>
      </c>
      <c r="F90" s="47">
        <v>7.2650999999999993E-2</v>
      </c>
      <c r="G90" s="54"/>
    </row>
    <row r="91" spans="2:7" x14ac:dyDescent="0.35">
      <c r="B91" s="50">
        <v>87</v>
      </c>
      <c r="C91" s="51">
        <v>0.13202800000000001</v>
      </c>
      <c r="D91" s="51">
        <v>0.142957</v>
      </c>
      <c r="E91" s="51">
        <v>7.6440999999999995E-2</v>
      </c>
      <c r="F91" s="47">
        <v>8.0493999999999996E-2</v>
      </c>
      <c r="G91" s="54"/>
    </row>
    <row r="92" spans="2:7" x14ac:dyDescent="0.35">
      <c r="B92" s="50">
        <v>88</v>
      </c>
      <c r="C92" s="51">
        <v>0.143929</v>
      </c>
      <c r="D92" s="51">
        <v>0.15762200000000001</v>
      </c>
      <c r="E92" s="51">
        <v>8.4339999999999998E-2</v>
      </c>
      <c r="F92" s="47">
        <v>8.9144000000000001E-2</v>
      </c>
      <c r="G92" s="54"/>
    </row>
    <row r="93" spans="2:7" x14ac:dyDescent="0.35">
      <c r="B93" s="50">
        <v>89</v>
      </c>
      <c r="C93" s="51">
        <v>0.15665999999999999</v>
      </c>
      <c r="D93" s="51">
        <v>0.173593</v>
      </c>
      <c r="E93" s="51">
        <v>9.3016000000000001E-2</v>
      </c>
      <c r="F93" s="47">
        <v>9.8673999999999998E-2</v>
      </c>
      <c r="G93" s="54"/>
    </row>
    <row r="94" spans="2:7" x14ac:dyDescent="0.35">
      <c r="B94" s="50">
        <v>90</v>
      </c>
      <c r="C94" s="51">
        <v>0.17024700000000001</v>
      </c>
      <c r="D94" s="51">
        <v>0.19094800000000001</v>
      </c>
      <c r="E94" s="51">
        <v>0.102533</v>
      </c>
      <c r="F94" s="47">
        <v>0.109163</v>
      </c>
      <c r="G94" s="54"/>
    </row>
    <row r="95" spans="2:7" x14ac:dyDescent="0.35">
      <c r="B95" s="50">
        <v>91</v>
      </c>
      <c r="C95" s="51">
        <v>0.18471399999999999</v>
      </c>
      <c r="D95" s="51">
        <v>0.209761</v>
      </c>
      <c r="E95" s="51">
        <v>0.11296399999999999</v>
      </c>
      <c r="F95" s="47">
        <v>0.12069299999999999</v>
      </c>
      <c r="G95" s="54"/>
    </row>
    <row r="96" spans="2:7" x14ac:dyDescent="0.35">
      <c r="B96" s="50">
        <v>92</v>
      </c>
      <c r="C96" s="51">
        <v>0.20007900000000001</v>
      </c>
      <c r="D96" s="51">
        <v>0.230102</v>
      </c>
      <c r="E96" s="51">
        <v>0.12438100000000001</v>
      </c>
      <c r="F96" s="47">
        <v>0.13334799999999999</v>
      </c>
      <c r="G96" s="54"/>
    </row>
    <row r="97" spans="2:7" x14ac:dyDescent="0.35">
      <c r="B97" s="50">
        <v>93</v>
      </c>
      <c r="C97" s="51">
        <v>0.21635399999999999</v>
      </c>
      <c r="D97" s="51">
        <v>0.25202999999999998</v>
      </c>
      <c r="E97" s="51">
        <v>0.13686200000000001</v>
      </c>
      <c r="F97" s="47">
        <v>0.14721799999999999</v>
      </c>
      <c r="G97" s="54"/>
    </row>
    <row r="98" spans="2:7" x14ac:dyDescent="0.35">
      <c r="B98" s="50">
        <v>94</v>
      </c>
      <c r="C98" s="51">
        <v>0.23354800000000001</v>
      </c>
      <c r="D98" s="51">
        <v>0.27559499999999998</v>
      </c>
      <c r="E98" s="51">
        <v>0.15048600000000001</v>
      </c>
      <c r="F98" s="47">
        <v>0.16239200000000001</v>
      </c>
      <c r="G98" s="54"/>
    </row>
    <row r="99" spans="2:7" x14ac:dyDescent="0.35">
      <c r="B99" s="50">
        <v>95</v>
      </c>
      <c r="C99" s="51">
        <v>0.251662</v>
      </c>
      <c r="D99" s="51">
        <v>0.30083100000000002</v>
      </c>
      <c r="E99" s="51">
        <v>0.16533200000000001</v>
      </c>
      <c r="F99" s="47">
        <v>0.17896300000000001</v>
      </c>
      <c r="G99" s="54"/>
    </row>
    <row r="100" spans="2:7" x14ac:dyDescent="0.35">
      <c r="B100" s="50">
        <v>96</v>
      </c>
      <c r="C100" s="51">
        <v>0.27068799999999998</v>
      </c>
      <c r="D100" s="51">
        <v>0.32775300000000002</v>
      </c>
      <c r="E100" s="51">
        <v>0.181481</v>
      </c>
      <c r="F100" s="47">
        <v>0.197018</v>
      </c>
      <c r="G100" s="54"/>
    </row>
    <row r="101" spans="2:7" x14ac:dyDescent="0.35">
      <c r="B101" s="50">
        <v>97</v>
      </c>
      <c r="C101" s="51">
        <v>0.29061300000000001</v>
      </c>
      <c r="D101" s="51">
        <v>0.35635299999999998</v>
      </c>
      <c r="E101" s="51">
        <v>0.19901199999999999</v>
      </c>
      <c r="F101" s="47">
        <v>0.216645</v>
      </c>
      <c r="G101" s="54"/>
    </row>
    <row r="102" spans="2:7" x14ac:dyDescent="0.35">
      <c r="B102" s="50">
        <v>98</v>
      </c>
      <c r="C102" s="51">
        <v>0.31141400000000002</v>
      </c>
      <c r="D102" s="51">
        <v>0.38659399999999999</v>
      </c>
      <c r="E102" s="51">
        <v>0.218002</v>
      </c>
      <c r="F102" s="47">
        <v>0.237923</v>
      </c>
      <c r="G102" s="54"/>
    </row>
    <row r="103" spans="2:7" x14ac:dyDescent="0.35">
      <c r="B103" s="50">
        <v>99</v>
      </c>
      <c r="C103" s="51">
        <v>0.33305800000000002</v>
      </c>
      <c r="D103" s="51">
        <v>0.41841</v>
      </c>
      <c r="E103" s="51">
        <v>0.23852000000000001</v>
      </c>
      <c r="F103" s="47">
        <v>0.26092399999999999</v>
      </c>
      <c r="G103" s="54"/>
    </row>
    <row r="104" spans="2:7" x14ac:dyDescent="0.35">
      <c r="B104" s="50">
        <v>100</v>
      </c>
      <c r="C104" s="51">
        <v>0.35550500000000002</v>
      </c>
      <c r="D104" s="51">
        <v>0.45169500000000001</v>
      </c>
      <c r="E104" s="51">
        <v>0.26062999999999997</v>
      </c>
      <c r="F104" s="47">
        <v>0.28570699999999999</v>
      </c>
      <c r="G104" s="54"/>
    </row>
    <row r="105" spans="2:7" x14ac:dyDescent="0.35">
      <c r="B105" s="50">
        <v>101</v>
      </c>
      <c r="C105" s="51">
        <v>0.37870199999999998</v>
      </c>
      <c r="D105" s="51">
        <v>0.48630299999999999</v>
      </c>
      <c r="E105" s="51">
        <v>0.284383</v>
      </c>
      <c r="F105" s="47">
        <v>0.31231100000000001</v>
      </c>
      <c r="G105" s="54"/>
    </row>
    <row r="106" spans="2:7" x14ac:dyDescent="0.35">
      <c r="B106" s="50">
        <v>102</v>
      </c>
      <c r="C106" s="51">
        <v>0.402588</v>
      </c>
      <c r="D106" s="51">
        <v>0.52204300000000003</v>
      </c>
      <c r="E106" s="51">
        <v>0.30981399999999998</v>
      </c>
      <c r="F106" s="47">
        <v>0.340754</v>
      </c>
      <c r="G106" s="54"/>
    </row>
    <row r="107" spans="2:7" x14ac:dyDescent="0.35">
      <c r="B107" s="50">
        <v>103</v>
      </c>
      <c r="C107" s="51">
        <v>0.42709000000000003</v>
      </c>
      <c r="D107" s="51">
        <v>0.55867699999999998</v>
      </c>
      <c r="E107" s="51">
        <v>0.33694299999999999</v>
      </c>
      <c r="F107" s="47">
        <v>0.371027</v>
      </c>
      <c r="G107" s="54"/>
    </row>
    <row r="108" spans="2:7" x14ac:dyDescent="0.35">
      <c r="B108" s="50">
        <v>104</v>
      </c>
      <c r="C108" s="51">
        <v>0.452127</v>
      </c>
      <c r="D108" s="51">
        <v>0.59592100000000003</v>
      </c>
      <c r="E108" s="51">
        <v>0.36576199999999998</v>
      </c>
      <c r="F108" s="47">
        <v>0.40308500000000003</v>
      </c>
      <c r="G108" s="54"/>
    </row>
    <row r="109" spans="2:7" x14ac:dyDescent="0.35">
      <c r="B109" s="50">
        <v>105</v>
      </c>
      <c r="C109" s="51">
        <v>0.47760799999999998</v>
      </c>
      <c r="D109" s="51">
        <v>0.63344500000000004</v>
      </c>
      <c r="E109" s="51">
        <v>0.39623799999999998</v>
      </c>
      <c r="F109" s="47">
        <v>0.43684400000000001</v>
      </c>
      <c r="G109" s="54"/>
    </row>
    <row r="110" spans="2:7" x14ac:dyDescent="0.35">
      <c r="B110" s="50">
        <v>106</v>
      </c>
      <c r="C110" s="51">
        <v>0.50343199999999999</v>
      </c>
      <c r="D110" s="51">
        <v>0.670875</v>
      </c>
      <c r="E110" s="51">
        <v>0.42830299999999999</v>
      </c>
      <c r="F110" s="47">
        <v>0.47217399999999998</v>
      </c>
      <c r="G110" s="54"/>
    </row>
    <row r="111" spans="2:7" x14ac:dyDescent="0.35">
      <c r="B111" s="50">
        <v>107</v>
      </c>
      <c r="C111" s="51">
        <v>0.52949299999999999</v>
      </c>
      <c r="D111" s="51">
        <v>0.70780399999999999</v>
      </c>
      <c r="E111" s="51">
        <v>0.46185100000000001</v>
      </c>
      <c r="F111" s="47">
        <v>0.50889200000000001</v>
      </c>
      <c r="G111" s="54"/>
    </row>
    <row r="112" spans="2:7" x14ac:dyDescent="0.35">
      <c r="B112" s="50">
        <v>108</v>
      </c>
      <c r="C112" s="51">
        <v>0.555674</v>
      </c>
      <c r="D112" s="51">
        <v>0.74380400000000002</v>
      </c>
      <c r="E112" s="51">
        <v>0.49673400000000001</v>
      </c>
      <c r="F112" s="47">
        <v>0.546759</v>
      </c>
      <c r="G112" s="54"/>
    </row>
    <row r="113" spans="2:7" x14ac:dyDescent="0.35">
      <c r="B113" s="50">
        <v>109</v>
      </c>
      <c r="C113" s="51">
        <v>0.58185699999999996</v>
      </c>
      <c r="D113" s="51">
        <v>0.77843499999999999</v>
      </c>
      <c r="E113" s="51">
        <v>0.53275600000000001</v>
      </c>
      <c r="F113" s="47">
        <v>0.58547800000000005</v>
      </c>
      <c r="G113" s="54"/>
    </row>
    <row r="114" spans="2:7" x14ac:dyDescent="0.35">
      <c r="B114" s="50">
        <v>110</v>
      </c>
      <c r="C114" s="51">
        <v>0.60791799999999996</v>
      </c>
      <c r="D114" s="51">
        <v>0.81126399999999999</v>
      </c>
      <c r="E114" s="51">
        <v>0.56967000000000001</v>
      </c>
      <c r="F114" s="47">
        <v>0.624691</v>
      </c>
      <c r="G114" s="54"/>
    </row>
    <row r="115" spans="2:7" x14ac:dyDescent="0.35">
      <c r="B115" s="50">
        <v>111</v>
      </c>
      <c r="C115" s="51">
        <v>0.63373100000000004</v>
      </c>
      <c r="D115" s="51">
        <v>0.84189099999999994</v>
      </c>
      <c r="E115" s="51">
        <v>0.60718099999999997</v>
      </c>
      <c r="F115" s="47">
        <v>0.66398500000000005</v>
      </c>
      <c r="G115" s="54"/>
    </row>
    <row r="116" spans="2:7" x14ac:dyDescent="0.35">
      <c r="B116" s="50">
        <v>112</v>
      </c>
      <c r="C116" s="51">
        <v>0.65917099999999995</v>
      </c>
      <c r="D116" s="51">
        <v>0.86996099999999998</v>
      </c>
      <c r="E116" s="51">
        <v>0.64494200000000002</v>
      </c>
      <c r="F116" s="47">
        <v>0.70289599999999997</v>
      </c>
      <c r="G116" s="54"/>
    </row>
    <row r="117" spans="2:7" x14ac:dyDescent="0.35">
      <c r="B117" s="50">
        <v>113</v>
      </c>
      <c r="C117" s="51">
        <v>0.684114</v>
      </c>
      <c r="D117" s="51">
        <v>0.89519300000000002</v>
      </c>
      <c r="E117" s="51">
        <v>0.68256300000000003</v>
      </c>
      <c r="F117" s="47">
        <v>0.74092599999999997</v>
      </c>
      <c r="G117" s="54"/>
    </row>
    <row r="118" spans="2:7" x14ac:dyDescent="0.35">
      <c r="B118" s="50">
        <v>114</v>
      </c>
      <c r="C118" s="51">
        <v>0.70844200000000002</v>
      </c>
      <c r="D118" s="51">
        <v>0.91739300000000001</v>
      </c>
      <c r="E118" s="51">
        <v>0.71961600000000003</v>
      </c>
      <c r="F118" s="47">
        <v>0.77755300000000005</v>
      </c>
      <c r="G118" s="54"/>
    </row>
    <row r="119" spans="2:7" x14ac:dyDescent="0.35">
      <c r="B119" s="50">
        <v>115</v>
      </c>
      <c r="C119" s="51">
        <v>0.73204199999999997</v>
      </c>
      <c r="D119" s="51">
        <v>0.93647000000000002</v>
      </c>
      <c r="E119" s="51">
        <v>0.75564699999999996</v>
      </c>
      <c r="F119" s="47">
        <v>0.81225999999999998</v>
      </c>
      <c r="G119" s="54"/>
    </row>
    <row r="120" spans="2:7" x14ac:dyDescent="0.35">
      <c r="B120" s="50">
        <v>116</v>
      </c>
      <c r="C120" s="51">
        <v>0.75480899999999995</v>
      </c>
      <c r="D120" s="51">
        <v>0.95244600000000001</v>
      </c>
      <c r="E120" s="51">
        <v>0.79019200000000001</v>
      </c>
      <c r="F120" s="47">
        <v>0.844557</v>
      </c>
      <c r="G120" s="54"/>
    </row>
    <row r="121" spans="2:7" x14ac:dyDescent="0.35">
      <c r="B121" s="50">
        <v>117</v>
      </c>
      <c r="C121" s="51">
        <v>0.77664800000000001</v>
      </c>
      <c r="D121" s="51">
        <v>0.96544799999999997</v>
      </c>
      <c r="E121" s="51">
        <v>0.82279999999999998</v>
      </c>
      <c r="F121" s="47">
        <v>0.87401099999999998</v>
      </c>
      <c r="G121" s="54"/>
    </row>
    <row r="122" spans="2:7" x14ac:dyDescent="0.35">
      <c r="B122" s="50">
        <v>118</v>
      </c>
      <c r="C122" s="51">
        <v>0.79747699999999999</v>
      </c>
      <c r="D122" s="51">
        <v>0.97570400000000002</v>
      </c>
      <c r="E122" s="51">
        <v>0.85304999999999997</v>
      </c>
      <c r="F122" s="47">
        <v>0.90027699999999999</v>
      </c>
      <c r="G122" s="54"/>
    </row>
    <row r="123" spans="2:7" x14ac:dyDescent="0.35">
      <c r="B123" s="50">
        <v>119</v>
      </c>
      <c r="C123" s="51">
        <v>0.81722499999999998</v>
      </c>
      <c r="D123" s="51">
        <v>0.98352099999999998</v>
      </c>
      <c r="E123" s="51">
        <v>0.880579</v>
      </c>
      <c r="F123" s="47">
        <v>0.92312300000000003</v>
      </c>
      <c r="G123" s="54"/>
    </row>
    <row r="124" spans="2:7" x14ac:dyDescent="0.35">
      <c r="B124" s="50">
        <v>120</v>
      </c>
      <c r="C124" s="51">
        <v>1</v>
      </c>
      <c r="D124" s="51">
        <v>1</v>
      </c>
      <c r="E124" s="51">
        <v>1</v>
      </c>
      <c r="F124" s="47">
        <v>1</v>
      </c>
      <c r="G124" s="54"/>
    </row>
  </sheetData>
  <sheetProtection sheet="1" objects="1" scenarios="1"/>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E35C-7015-4F5E-BE7C-2FBB28E6C64E}">
  <dimension ref="B2:J22"/>
  <sheetViews>
    <sheetView showGridLines="0" workbookViewId="0">
      <selection activeCell="H3" sqref="H3"/>
    </sheetView>
  </sheetViews>
  <sheetFormatPr defaultRowHeight="14.5" x14ac:dyDescent="0.35"/>
  <cols>
    <col min="2" max="2" width="7.26953125" customWidth="1"/>
    <col min="3" max="3" width="13.36328125" bestFit="1" customWidth="1"/>
    <col min="4" max="4" width="10.6328125" bestFit="1" customWidth="1"/>
    <col min="5" max="6" width="11.1796875" bestFit="1" customWidth="1"/>
    <col min="8" max="8" width="8.453125" customWidth="1"/>
    <col min="9" max="9" width="15.26953125" bestFit="1" customWidth="1"/>
    <col min="10" max="11" width="19.08984375" bestFit="1" customWidth="1"/>
  </cols>
  <sheetData>
    <row r="2" spans="2:10" x14ac:dyDescent="0.35">
      <c r="B2" s="13" t="s">
        <v>92</v>
      </c>
    </row>
    <row r="3" spans="2:10" x14ac:dyDescent="0.35">
      <c r="B3" t="s">
        <v>46</v>
      </c>
      <c r="H3" t="s">
        <v>36</v>
      </c>
    </row>
    <row r="4" spans="2:10" x14ac:dyDescent="0.35">
      <c r="B4" s="1" t="s">
        <v>12</v>
      </c>
      <c r="C4" s="1" t="s">
        <v>7</v>
      </c>
      <c r="D4" s="1" t="s">
        <v>8</v>
      </c>
      <c r="E4" s="1" t="s">
        <v>13</v>
      </c>
      <c r="H4" s="1" t="s">
        <v>12</v>
      </c>
      <c r="I4" s="1" t="s">
        <v>50</v>
      </c>
      <c r="J4" s="1" t="s">
        <v>51</v>
      </c>
    </row>
    <row r="5" spans="2:10" x14ac:dyDescent="0.35">
      <c r="B5" s="1">
        <v>1</v>
      </c>
      <c r="C5" s="1" t="s">
        <v>10</v>
      </c>
      <c r="D5" s="1" t="s">
        <v>9</v>
      </c>
      <c r="E5" s="1" t="s">
        <v>14</v>
      </c>
      <c r="H5" s="1">
        <v>1</v>
      </c>
      <c r="I5" s="1" t="s">
        <v>37</v>
      </c>
      <c r="J5" s="1">
        <v>0</v>
      </c>
    </row>
    <row r="6" spans="2:10" x14ac:dyDescent="0.35">
      <c r="B6" s="1">
        <v>2</v>
      </c>
      <c r="C6" s="1" t="s">
        <v>11</v>
      </c>
      <c r="D6" s="1" t="s">
        <v>9</v>
      </c>
      <c r="E6" s="1" t="s">
        <v>14</v>
      </c>
      <c r="H6" s="1">
        <v>2</v>
      </c>
      <c r="I6" s="1" t="s">
        <v>38</v>
      </c>
      <c r="J6" s="1">
        <v>1</v>
      </c>
    </row>
    <row r="7" spans="2:10" x14ac:dyDescent="0.35">
      <c r="B7" s="1">
        <v>3</v>
      </c>
      <c r="C7" s="1" t="s">
        <v>15</v>
      </c>
      <c r="D7" s="1" t="s">
        <v>9</v>
      </c>
      <c r="E7" s="1" t="s">
        <v>16</v>
      </c>
      <c r="H7" s="1">
        <v>3</v>
      </c>
      <c r="I7" s="1" t="s">
        <v>47</v>
      </c>
      <c r="J7" s="1">
        <v>2</v>
      </c>
    </row>
    <row r="8" spans="2:10" x14ac:dyDescent="0.35">
      <c r="B8" s="1">
        <v>4</v>
      </c>
      <c r="C8" s="1" t="s">
        <v>89</v>
      </c>
      <c r="D8" s="1" t="s">
        <v>9</v>
      </c>
      <c r="E8" s="1" t="s">
        <v>16</v>
      </c>
      <c r="H8" s="1">
        <v>4</v>
      </c>
      <c r="I8" s="1" t="s">
        <v>48</v>
      </c>
      <c r="J8" s="1">
        <v>4</v>
      </c>
    </row>
    <row r="9" spans="2:10" x14ac:dyDescent="0.35">
      <c r="B9" s="1">
        <v>5</v>
      </c>
      <c r="C9" s="1"/>
      <c r="D9" s="1"/>
      <c r="E9" s="1"/>
      <c r="H9" s="1">
        <v>5</v>
      </c>
      <c r="I9" s="1" t="s">
        <v>49</v>
      </c>
      <c r="J9" s="1">
        <v>12</v>
      </c>
    </row>
    <row r="10" spans="2:10" x14ac:dyDescent="0.35">
      <c r="B10" s="1">
        <v>6</v>
      </c>
      <c r="C10" s="1"/>
      <c r="D10" s="1"/>
      <c r="E10" s="1"/>
    </row>
    <row r="11" spans="2:10" x14ac:dyDescent="0.35">
      <c r="B11" s="1">
        <v>7</v>
      </c>
      <c r="C11" s="1"/>
      <c r="D11" s="1"/>
      <c r="E11" s="1"/>
    </row>
    <row r="12" spans="2:10" x14ac:dyDescent="0.35">
      <c r="B12" s="1">
        <v>8</v>
      </c>
      <c r="C12" s="1"/>
      <c r="D12" s="1"/>
      <c r="E12" s="1"/>
      <c r="H12" t="s">
        <v>55</v>
      </c>
    </row>
    <row r="13" spans="2:10" x14ac:dyDescent="0.35">
      <c r="B13" s="1">
        <v>9</v>
      </c>
      <c r="C13" s="1"/>
      <c r="D13" s="1"/>
      <c r="E13" s="1"/>
      <c r="H13" s="1" t="s">
        <v>12</v>
      </c>
      <c r="I13" s="1" t="s">
        <v>56</v>
      </c>
    </row>
    <row r="14" spans="2:10" x14ac:dyDescent="0.35">
      <c r="B14" s="1">
        <v>10</v>
      </c>
      <c r="C14" s="1"/>
      <c r="D14" s="1"/>
      <c r="E14" s="1"/>
      <c r="H14" s="1">
        <v>1</v>
      </c>
      <c r="I14" s="1" t="s">
        <v>4</v>
      </c>
    </row>
    <row r="15" spans="2:10" x14ac:dyDescent="0.35">
      <c r="B15" s="1">
        <v>11</v>
      </c>
      <c r="C15" s="1"/>
      <c r="D15" s="1"/>
      <c r="E15" s="1"/>
      <c r="H15" s="1">
        <v>2</v>
      </c>
      <c r="I15" s="1" t="s">
        <v>53</v>
      </c>
    </row>
    <row r="16" spans="2:10" x14ac:dyDescent="0.35">
      <c r="B16" s="1">
        <v>12</v>
      </c>
      <c r="C16" s="1"/>
      <c r="D16" s="1"/>
      <c r="E16" s="1"/>
      <c r="H16" s="1">
        <v>3</v>
      </c>
      <c r="I16" s="1" t="s">
        <v>54</v>
      </c>
    </row>
    <row r="17" spans="2:9" x14ac:dyDescent="0.35">
      <c r="B17" s="1">
        <v>13</v>
      </c>
      <c r="C17" s="1"/>
      <c r="D17" s="1"/>
      <c r="E17" s="1"/>
      <c r="H17" s="1">
        <v>4</v>
      </c>
      <c r="I17" s="1" t="s">
        <v>5</v>
      </c>
    </row>
    <row r="18" spans="2:9" x14ac:dyDescent="0.35">
      <c r="B18" s="1">
        <v>14</v>
      </c>
      <c r="C18" s="1"/>
      <c r="D18" s="1"/>
      <c r="E18" s="1"/>
      <c r="H18" s="1">
        <v>5</v>
      </c>
      <c r="I18" s="1"/>
    </row>
    <row r="19" spans="2:9" x14ac:dyDescent="0.35">
      <c r="B19" s="1">
        <v>15</v>
      </c>
      <c r="C19" s="1"/>
      <c r="D19" s="1"/>
      <c r="E19" s="1"/>
    </row>
    <row r="20" spans="2:9" x14ac:dyDescent="0.35">
      <c r="B20" s="1">
        <v>16</v>
      </c>
      <c r="C20" s="1"/>
      <c r="D20" s="1"/>
      <c r="E20" s="1"/>
    </row>
    <row r="21" spans="2:9" x14ac:dyDescent="0.35">
      <c r="B21" s="1">
        <v>17</v>
      </c>
      <c r="C21" s="1"/>
      <c r="D21" s="1"/>
      <c r="E21" s="1"/>
    </row>
    <row r="22" spans="2:9" x14ac:dyDescent="0.35">
      <c r="B22" s="1">
        <v>18</v>
      </c>
      <c r="C22" s="1"/>
      <c r="D22" s="1"/>
      <c r="E22" s="1"/>
    </row>
  </sheetData>
  <sheetProtection sheet="1" objects="1" scenarios="1"/>
  <dataValidations disablePrompts="1" count="1">
    <dataValidation type="list" allowBlank="1" showInputMessage="1" showErrorMessage="1" sqref="H25" xr:uid="{344C9076-1EAC-41FF-A63C-612372EA00AB}">
      <formula1>test</formula1>
    </dataValidation>
  </dataValidations>
  <pageMargins left="0.7" right="0.7" top="0.75" bottom="0.75" header="0.3" footer="0.3"/>
  <pageSetup orientation="portrait" horizontalDpi="1200" verticalDpi="1200"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D44C-93A1-4FC0-B274-61AED4269FBC}">
  <dimension ref="B2:H8"/>
  <sheetViews>
    <sheetView showGridLines="0" workbookViewId="0">
      <selection activeCell="E14" sqref="E14"/>
    </sheetView>
  </sheetViews>
  <sheetFormatPr defaultRowHeight="14.5" x14ac:dyDescent="0.35"/>
  <cols>
    <col min="2" max="2" width="14.36328125" bestFit="1" customWidth="1"/>
    <col min="3" max="3" width="7.81640625" bestFit="1" customWidth="1"/>
    <col min="4" max="4" width="16.1796875" bestFit="1" customWidth="1"/>
    <col min="5" max="5" width="21.26953125" bestFit="1" customWidth="1"/>
    <col min="6" max="6" width="11.1796875" bestFit="1" customWidth="1"/>
  </cols>
  <sheetData>
    <row r="2" spans="2:8" x14ac:dyDescent="0.35">
      <c r="B2" s="13" t="s">
        <v>80</v>
      </c>
    </row>
    <row r="3" spans="2:8" ht="15" thickBot="1" x14ac:dyDescent="0.4">
      <c r="B3" s="9" t="s">
        <v>17</v>
      </c>
      <c r="C3" s="9" t="s">
        <v>18</v>
      </c>
      <c r="D3" s="9" t="s">
        <v>19</v>
      </c>
      <c r="E3" s="9" t="s">
        <v>20</v>
      </c>
      <c r="F3" s="9" t="s">
        <v>36</v>
      </c>
      <c r="G3" s="9" t="s">
        <v>52</v>
      </c>
      <c r="H3" s="9" t="s">
        <v>79</v>
      </c>
    </row>
    <row r="4" spans="2:8" x14ac:dyDescent="0.35">
      <c r="B4" t="str" cm="1">
        <f t="array" ref="B4:B7">_xlfn._xlws.SORT(_xlfn.UNIQUE(_xlfn._xlws.FILTER(MortalityInfo[name],MortalityInfo[name]&lt;&gt;"")))</f>
        <v>AF92 Ultimate</v>
      </c>
      <c r="C4" t="str" cm="1">
        <f t="array" ref="C4:C5">_xlfn._xlws.SORT(_xlfn.UNIQUE(_xlfn._xlws.FILTER(MortalityInfo[gender],MortalityInfo[gender]&lt;&gt;"")))</f>
        <v>Female</v>
      </c>
      <c r="D4" t="str" cm="1">
        <f t="array" ref="D4">_xlfn._xlws.SORT(_xlfn.UNIQUE(_xlfn._xlws.FILTER(MortalityInfo[region],MortalityInfo[region]&lt;&gt;"")))</f>
        <v>UK</v>
      </c>
      <c r="E4" t="str" cm="1">
        <f t="array" ref="E4:E5">_xlfn._xlws.SORT(_xlfn.UNIQUE(_xlfn._xlws.FILTER(MortalityInfo[name],(MortalityInfo[region]='User Input'!$C$11)*(MortalityInfo[gender]='User Input'!$C$10))))</f>
        <v>AM92 Ultimate</v>
      </c>
      <c r="F4" t="str" cm="1">
        <f t="array" ref="F4:F8">_xlfn.UNIQUE(_xlfn._xlws.FILTER(Frequencies[frequency],Frequencies[frequency]&lt;&gt;""))</f>
        <v>Single</v>
      </c>
      <c r="G4" t="str" cm="1">
        <f t="array" ref="G4:G7">_xlfn.UNIQUE(_xlfn._xlws.FILTER(PolicyTypes[type],PolicyTypes[type]&lt;&gt;""))</f>
        <v>Whole Life</v>
      </c>
      <c r="H4" t="str" cm="1">
        <f t="array" ref="H4:H5">IF('User Input'!$E$11="Whole Life",{"While alive";"Limited term"},"Limited term")</f>
        <v>While alive</v>
      </c>
    </row>
    <row r="5" spans="2:8" x14ac:dyDescent="0.35">
      <c r="B5" t="str">
        <v>AM92 Ultimate</v>
      </c>
      <c r="C5" t="str">
        <v>Male</v>
      </c>
      <c r="E5" t="str">
        <v>TM92 Ultimate</v>
      </c>
      <c r="F5" t="str">
        <v>Annual</v>
      </c>
      <c r="G5" t="str">
        <v>Term</v>
      </c>
      <c r="H5" t="str">
        <v>Limited term</v>
      </c>
    </row>
    <row r="6" spans="2:8" x14ac:dyDescent="0.35">
      <c r="B6" t="str">
        <v>TF92 Ultimate</v>
      </c>
      <c r="F6" t="str">
        <v>Semi-annual</v>
      </c>
      <c r="G6" t="str">
        <v>Endowment</v>
      </c>
    </row>
    <row r="7" spans="2:8" x14ac:dyDescent="0.35">
      <c r="B7" t="str">
        <v>TM92 Ultimate</v>
      </c>
      <c r="F7" t="str">
        <v>Quarterly</v>
      </c>
      <c r="G7" t="str">
        <v>Pure Endowment</v>
      </c>
    </row>
    <row r="8" spans="2:8" x14ac:dyDescent="0.35">
      <c r="F8" t="str">
        <v>Monthly</v>
      </c>
    </row>
  </sheetData>
  <sheetProtection sheet="1" objects="1" scenarios="1"/>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DF76-CE2D-4454-ACBD-BA7620FF3981}">
  <dimension ref="B2:O130"/>
  <sheetViews>
    <sheetView workbookViewId="0">
      <selection activeCell="H4" sqref="H4"/>
    </sheetView>
  </sheetViews>
  <sheetFormatPr defaultRowHeight="14.5" x14ac:dyDescent="0.35"/>
  <cols>
    <col min="2" max="2" width="7.7265625" customWidth="1"/>
    <col min="5" max="5" width="8.81640625" customWidth="1"/>
    <col min="8" max="9" width="11.36328125" bestFit="1" customWidth="1"/>
    <col min="10" max="10" width="11.81640625" bestFit="1" customWidth="1"/>
    <col min="11" max="11" width="15.26953125" bestFit="1" customWidth="1"/>
    <col min="12" max="12" width="13.90625" bestFit="1" customWidth="1"/>
    <col min="13" max="13" width="11.1796875" customWidth="1"/>
  </cols>
  <sheetData>
    <row r="2" spans="2:15" ht="15" thickBot="1" x14ac:dyDescent="0.4">
      <c r="B2" s="13" t="s">
        <v>57</v>
      </c>
    </row>
    <row r="3" spans="2:15" ht="15" thickBot="1" x14ac:dyDescent="0.4">
      <c r="B3" s="64" t="s">
        <v>67</v>
      </c>
      <c r="C3" s="65"/>
      <c r="D3" s="65"/>
      <c r="E3" s="65"/>
      <c r="F3" s="66"/>
    </row>
    <row r="4" spans="2:15" ht="29" x14ac:dyDescent="0.35">
      <c r="B4" s="14" t="s">
        <v>60</v>
      </c>
      <c r="C4" s="2">
        <f>current_age</f>
        <v>0</v>
      </c>
      <c r="D4" s="15"/>
      <c r="E4" s="14" t="s">
        <v>59</v>
      </c>
      <c r="F4" s="2">
        <f>_xlfn.MAXIFS('Mortality Tables'!$B$4:$B$124,_xlfn.XLOOKUP(mortality_table,'Mortality Tables'!$B$3:$G$3,'Mortality Tables'!$B$4:$G$124,0,0),"&gt;0")</f>
        <v>120</v>
      </c>
    </row>
    <row r="5" spans="2:15" x14ac:dyDescent="0.35">
      <c r="B5" t="s">
        <v>90</v>
      </c>
      <c r="C5" t="str">
        <f>mortality_table</f>
        <v>AM92 Ultimate</v>
      </c>
      <c r="D5" s="15"/>
      <c r="E5" s="15" t="s">
        <v>53</v>
      </c>
      <c r="F5" s="2">
        <f>term_of_coverage</f>
        <v>25</v>
      </c>
    </row>
    <row r="6" spans="2:15" ht="15" thickBot="1" x14ac:dyDescent="0.4"/>
    <row r="7" spans="2:15" ht="17" customHeight="1" thickBot="1" x14ac:dyDescent="0.4">
      <c r="B7" s="62" t="s">
        <v>1</v>
      </c>
      <c r="C7" s="58" t="s">
        <v>6</v>
      </c>
      <c r="D7" s="60" t="s">
        <v>43</v>
      </c>
      <c r="E7" s="60" t="s">
        <v>44</v>
      </c>
      <c r="F7" s="60" t="s">
        <v>45</v>
      </c>
      <c r="G7" s="60" t="s">
        <v>2</v>
      </c>
      <c r="H7" s="60" t="s">
        <v>42</v>
      </c>
      <c r="I7" s="58" t="s">
        <v>23</v>
      </c>
      <c r="J7" s="55" t="s">
        <v>3</v>
      </c>
      <c r="K7" s="56"/>
      <c r="L7" s="56"/>
      <c r="M7" s="57"/>
    </row>
    <row r="8" spans="2:15" ht="15" thickBot="1" x14ac:dyDescent="0.4">
      <c r="B8" s="63"/>
      <c r="C8" s="59"/>
      <c r="D8" s="61"/>
      <c r="E8" s="61"/>
      <c r="F8" s="61"/>
      <c r="G8" s="61"/>
      <c r="H8" s="61"/>
      <c r="I8" s="59"/>
      <c r="J8" s="6" t="s">
        <v>4</v>
      </c>
      <c r="K8" s="7" t="s">
        <v>5</v>
      </c>
      <c r="L8" s="7" t="s">
        <v>53</v>
      </c>
      <c r="M8" s="8" t="s">
        <v>54</v>
      </c>
      <c r="O8" s="2"/>
    </row>
    <row r="9" spans="2:15" x14ac:dyDescent="0.35">
      <c r="B9" s="3">
        <f>0</f>
        <v>0</v>
      </c>
      <c r="C9" s="4">
        <f t="shared" ref="C9:C40" si="0">IF($C$4+B9&lt;=$F$4,$C$4+B9)</f>
        <v>0</v>
      </c>
      <c r="D9" s="2" cm="1">
        <f t="array" ref="D9">_xlfn.XLOOKUP(C9,'Mortality Tables'!$B$4:$B$124,_xlfn.XLOOKUP(mortality_table,'Mortality Tables'!$B$3:$G$3,'Mortality Tables'!$B$4:$G$124,0,0),0,0)</f>
        <v>3.5990000000000002E-3</v>
      </c>
      <c r="E9" s="2">
        <f>1-D9</f>
        <v>0.99640099999999998</v>
      </c>
      <c r="F9" s="5">
        <v>1</v>
      </c>
      <c r="G9" s="2">
        <f>D9*F9</f>
        <v>3.5990000000000002E-3</v>
      </c>
      <c r="H9" s="2">
        <f t="shared" ref="H9:H40" si="1">(1+interest_rate)^-(B9+1)</f>
        <v>0.95238095238095233</v>
      </c>
      <c r="I9" s="2">
        <f t="shared" ref="I9:I40" si="2">sum_assured</f>
        <v>100000</v>
      </c>
      <c r="J9" s="3">
        <f>_xlfn.IFNA(PRODUCT(G9:I9),0)</f>
        <v>342.76190476190476</v>
      </c>
      <c r="K9" s="2">
        <f t="shared" ref="K9:K40" si="3">IF(B9&lt;&gt;term_of_coverage,0,F9*H9*I9*(1+interest_rate))</f>
        <v>0</v>
      </c>
      <c r="L9" s="2">
        <f t="shared" ref="L9:L40" si="4">IF(B9&lt;term_of_coverage,PRODUCT(G9:I9),0)</f>
        <v>342.76190476190476</v>
      </c>
      <c r="M9" s="4">
        <f>K9+L9</f>
        <v>342.76190476190476</v>
      </c>
    </row>
    <row r="10" spans="2:15" x14ac:dyDescent="0.35">
      <c r="B10" s="3">
        <f>B9+1</f>
        <v>1</v>
      </c>
      <c r="C10" s="4">
        <f t="shared" si="0"/>
        <v>1</v>
      </c>
      <c r="D10" s="2" cm="1">
        <f t="array" ref="D10">_xlfn.XLOOKUP(C10,'Mortality Tables'!$B$4:$B$124,_xlfn.XLOOKUP(mortality_table,'Mortality Tables'!$B$3:$G$3,'Mortality Tables'!$B$4:$G$124,0,0),0,0)</f>
        <v>6.2E-4</v>
      </c>
      <c r="E10" s="2">
        <f t="shared" ref="E10:E73" si="5">1-D10</f>
        <v>0.99938000000000005</v>
      </c>
      <c r="F10" s="2">
        <f>E9*F9</f>
        <v>0.99640099999999998</v>
      </c>
      <c r="G10" s="2">
        <f t="shared" ref="G10:G73" si="6">D10*F10</f>
        <v>6.1776862E-4</v>
      </c>
      <c r="H10" s="2">
        <f t="shared" si="1"/>
        <v>0.90702947845804982</v>
      </c>
      <c r="I10" s="2">
        <f t="shared" si="2"/>
        <v>100000</v>
      </c>
      <c r="J10" s="3">
        <f t="shared" ref="J10:J73" si="7">_xlfn.IFNA(PRODUCT(G10:I10),0)</f>
        <v>56.033434920634917</v>
      </c>
      <c r="K10" s="2">
        <f t="shared" si="3"/>
        <v>0</v>
      </c>
      <c r="L10" s="2">
        <f t="shared" si="4"/>
        <v>56.033434920634917</v>
      </c>
      <c r="M10" s="4">
        <f t="shared" ref="M10:M73" si="8">K10+L10</f>
        <v>56.033434920634917</v>
      </c>
    </row>
    <row r="11" spans="2:15" x14ac:dyDescent="0.35">
      <c r="B11" s="3">
        <f t="shared" ref="B11:B74" si="9">B10+1</f>
        <v>2</v>
      </c>
      <c r="C11" s="4">
        <f t="shared" si="0"/>
        <v>2</v>
      </c>
      <c r="D11" s="2" cm="1">
        <f t="array" ref="D11">_xlfn.XLOOKUP(C11,'Mortality Tables'!$B$4:$B$124,_xlfn.XLOOKUP(mortality_table,'Mortality Tables'!$B$3:$G$3,'Mortality Tables'!$B$4:$G$124,0,0),0,0)</f>
        <v>3.7500000000000001E-4</v>
      </c>
      <c r="E11" s="2">
        <f t="shared" si="5"/>
        <v>0.99962499999999999</v>
      </c>
      <c r="F11" s="2">
        <f t="shared" ref="F11:F74" si="10">E10*F10</f>
        <v>0.99578323138000002</v>
      </c>
      <c r="G11" s="2">
        <f t="shared" si="6"/>
        <v>3.7341871176750001E-4</v>
      </c>
      <c r="H11" s="2">
        <f t="shared" si="1"/>
        <v>0.86383759853147601</v>
      </c>
      <c r="I11" s="2">
        <f t="shared" si="2"/>
        <v>100000</v>
      </c>
      <c r="J11" s="3">
        <f t="shared" si="7"/>
        <v>32.257312321995464</v>
      </c>
      <c r="K11" s="2">
        <f t="shared" si="3"/>
        <v>0</v>
      </c>
      <c r="L11" s="2">
        <f t="shared" si="4"/>
        <v>32.257312321995464</v>
      </c>
      <c r="M11" s="4">
        <f t="shared" si="8"/>
        <v>32.257312321995464</v>
      </c>
    </row>
    <row r="12" spans="2:15" x14ac:dyDescent="0.35">
      <c r="B12" s="3">
        <f t="shared" si="9"/>
        <v>3</v>
      </c>
      <c r="C12" s="4">
        <f t="shared" si="0"/>
        <v>3</v>
      </c>
      <c r="D12" s="2" cm="1">
        <f t="array" ref="D12">_xlfn.XLOOKUP(C12,'Mortality Tables'!$B$4:$B$124,_xlfn.XLOOKUP(mortality_table,'Mortality Tables'!$B$3:$G$3,'Mortality Tables'!$B$4:$G$124,0,0),0,0)</f>
        <v>2.9300000000000002E-4</v>
      </c>
      <c r="E12" s="2">
        <f t="shared" si="5"/>
        <v>0.99970700000000001</v>
      </c>
      <c r="F12" s="2">
        <f t="shared" si="10"/>
        <v>0.99540981266823247</v>
      </c>
      <c r="G12" s="2">
        <f t="shared" si="6"/>
        <v>2.9165507511179215E-4</v>
      </c>
      <c r="H12" s="2">
        <f t="shared" si="1"/>
        <v>0.82270247479188197</v>
      </c>
      <c r="I12" s="2">
        <f t="shared" si="2"/>
        <v>100000</v>
      </c>
      <c r="J12" s="3">
        <f t="shared" si="7"/>
        <v>23.994535208008362</v>
      </c>
      <c r="K12" s="2">
        <f t="shared" si="3"/>
        <v>0</v>
      </c>
      <c r="L12" s="2">
        <f t="shared" si="4"/>
        <v>23.994535208008362</v>
      </c>
      <c r="M12" s="4">
        <f t="shared" si="8"/>
        <v>23.994535208008362</v>
      </c>
    </row>
    <row r="13" spans="2:15" x14ac:dyDescent="0.35">
      <c r="B13" s="3">
        <f t="shared" si="9"/>
        <v>4</v>
      </c>
      <c r="C13" s="4">
        <f t="shared" si="0"/>
        <v>4</v>
      </c>
      <c r="D13" s="2" cm="1">
        <f t="array" ref="D13">_xlfn.XLOOKUP(C13,'Mortality Tables'!$B$4:$B$124,_xlfn.XLOOKUP(mortality_table,'Mortality Tables'!$B$3:$G$3,'Mortality Tables'!$B$4:$G$124,0,0),0,0)</f>
        <v>2.31E-4</v>
      </c>
      <c r="E13" s="2">
        <f t="shared" si="5"/>
        <v>0.99976900000000002</v>
      </c>
      <c r="F13" s="2">
        <f t="shared" si="10"/>
        <v>0.99511815759312072</v>
      </c>
      <c r="G13" s="2">
        <f t="shared" si="6"/>
        <v>2.2987229440401088E-4</v>
      </c>
      <c r="H13" s="2">
        <f t="shared" si="1"/>
        <v>0.78352616646845896</v>
      </c>
      <c r="I13" s="2">
        <f t="shared" si="2"/>
        <v>100000</v>
      </c>
      <c r="J13" s="3">
        <f t="shared" si="7"/>
        <v>18.011095761168363</v>
      </c>
      <c r="K13" s="2">
        <f t="shared" si="3"/>
        <v>0</v>
      </c>
      <c r="L13" s="2">
        <f t="shared" si="4"/>
        <v>18.011095761168363</v>
      </c>
      <c r="M13" s="4">
        <f t="shared" si="8"/>
        <v>18.011095761168363</v>
      </c>
    </row>
    <row r="14" spans="2:15" x14ac:dyDescent="0.35">
      <c r="B14" s="3">
        <f t="shared" si="9"/>
        <v>5</v>
      </c>
      <c r="C14" s="4">
        <f t="shared" si="0"/>
        <v>5</v>
      </c>
      <c r="D14" s="2" cm="1">
        <f t="array" ref="D14">_xlfn.XLOOKUP(C14,'Mortality Tables'!$B$4:$B$124,_xlfn.XLOOKUP(mortality_table,'Mortality Tables'!$B$3:$G$3,'Mortality Tables'!$B$4:$G$124,0,0),0,0)</f>
        <v>2.0900000000000001E-4</v>
      </c>
      <c r="E14" s="2">
        <f t="shared" si="5"/>
        <v>0.99979099999999999</v>
      </c>
      <c r="F14" s="2">
        <f t="shared" si="10"/>
        <v>0.99488828529871676</v>
      </c>
      <c r="G14" s="2">
        <f t="shared" si="6"/>
        <v>2.0793165162743182E-4</v>
      </c>
      <c r="H14" s="2">
        <f t="shared" si="1"/>
        <v>0.74621539663662761</v>
      </c>
      <c r="I14" s="2">
        <f t="shared" si="2"/>
        <v>100000</v>
      </c>
      <c r="J14" s="3">
        <f t="shared" si="7"/>
        <v>15.516179989247309</v>
      </c>
      <c r="K14" s="2">
        <f t="shared" si="3"/>
        <v>0</v>
      </c>
      <c r="L14" s="2">
        <f t="shared" si="4"/>
        <v>15.516179989247309</v>
      </c>
      <c r="M14" s="4">
        <f t="shared" si="8"/>
        <v>15.516179989247309</v>
      </c>
    </row>
    <row r="15" spans="2:15" x14ac:dyDescent="0.35">
      <c r="B15" s="3">
        <f t="shared" si="9"/>
        <v>6</v>
      </c>
      <c r="C15" s="4">
        <f t="shared" si="0"/>
        <v>6</v>
      </c>
      <c r="D15" s="2" cm="1">
        <f t="array" ref="D15">_xlfn.XLOOKUP(C15,'Mortality Tables'!$B$4:$B$124,_xlfn.XLOOKUP(mortality_table,'Mortality Tables'!$B$3:$G$3,'Mortality Tables'!$B$4:$G$124,0,0),0,0)</f>
        <v>1.8799999999999999E-4</v>
      </c>
      <c r="E15" s="2">
        <f t="shared" si="5"/>
        <v>0.99981200000000003</v>
      </c>
      <c r="F15" s="2">
        <f t="shared" si="10"/>
        <v>0.99468035364708929</v>
      </c>
      <c r="G15" s="2">
        <f t="shared" si="6"/>
        <v>1.8699990648565277E-4</v>
      </c>
      <c r="H15" s="2">
        <f t="shared" si="1"/>
        <v>0.71068133013012147</v>
      </c>
      <c r="I15" s="2">
        <f t="shared" si="2"/>
        <v>100000</v>
      </c>
      <c r="J15" s="3">
        <f t="shared" si="7"/>
        <v>13.289734227543205</v>
      </c>
      <c r="K15" s="2">
        <f t="shared" si="3"/>
        <v>0</v>
      </c>
      <c r="L15" s="2">
        <f t="shared" si="4"/>
        <v>13.289734227543205</v>
      </c>
      <c r="M15" s="4">
        <f t="shared" si="8"/>
        <v>13.289734227543205</v>
      </c>
    </row>
    <row r="16" spans="2:15" x14ac:dyDescent="0.35">
      <c r="B16" s="3">
        <f t="shared" si="9"/>
        <v>7</v>
      </c>
      <c r="C16" s="4">
        <f t="shared" si="0"/>
        <v>7</v>
      </c>
      <c r="D16" s="2" cm="1">
        <f t="array" ref="D16">_xlfn.XLOOKUP(C16,'Mortality Tables'!$B$4:$B$124,_xlfn.XLOOKUP(mortality_table,'Mortality Tables'!$B$3:$G$3,'Mortality Tables'!$B$4:$G$124,0,0),0,0)</f>
        <v>1.76E-4</v>
      </c>
      <c r="E16" s="2">
        <f t="shared" si="5"/>
        <v>0.99982400000000005</v>
      </c>
      <c r="F16" s="2">
        <f t="shared" si="10"/>
        <v>0.99449335374060366</v>
      </c>
      <c r="G16" s="2">
        <f t="shared" si="6"/>
        <v>1.7503083025834624E-4</v>
      </c>
      <c r="H16" s="2">
        <f t="shared" si="1"/>
        <v>0.67683936202868722</v>
      </c>
      <c r="I16" s="2">
        <f t="shared" si="2"/>
        <v>100000</v>
      </c>
      <c r="J16" s="3">
        <f t="shared" si="7"/>
        <v>11.84677554874105</v>
      </c>
      <c r="K16" s="2">
        <f t="shared" si="3"/>
        <v>0</v>
      </c>
      <c r="L16" s="2">
        <f t="shared" si="4"/>
        <v>11.84677554874105</v>
      </c>
      <c r="M16" s="4">
        <f t="shared" si="8"/>
        <v>11.84677554874105</v>
      </c>
    </row>
    <row r="17" spans="2:13" x14ac:dyDescent="0.35">
      <c r="B17" s="3">
        <f t="shared" si="9"/>
        <v>8</v>
      </c>
      <c r="C17" s="4">
        <f t="shared" si="0"/>
        <v>8</v>
      </c>
      <c r="D17" s="2" cm="1">
        <f t="array" ref="D17">_xlfn.XLOOKUP(C17,'Mortality Tables'!$B$4:$B$124,_xlfn.XLOOKUP(mortality_table,'Mortality Tables'!$B$3:$G$3,'Mortality Tables'!$B$4:$G$124,0,0),0,0)</f>
        <v>1.64E-4</v>
      </c>
      <c r="E17" s="2">
        <f t="shared" si="5"/>
        <v>0.99983599999999995</v>
      </c>
      <c r="F17" s="2">
        <f t="shared" si="10"/>
        <v>0.99431832291034539</v>
      </c>
      <c r="G17" s="2">
        <f t="shared" si="6"/>
        <v>1.6306820495729665E-4</v>
      </c>
      <c r="H17" s="2">
        <f t="shared" si="1"/>
        <v>0.64460891621779726</v>
      </c>
      <c r="I17" s="2">
        <f t="shared" si="2"/>
        <v>100000</v>
      </c>
      <c r="J17" s="3">
        <f t="shared" si="7"/>
        <v>10.511521886710463</v>
      </c>
      <c r="K17" s="2">
        <f t="shared" si="3"/>
        <v>0</v>
      </c>
      <c r="L17" s="2">
        <f t="shared" si="4"/>
        <v>10.511521886710463</v>
      </c>
      <c r="M17" s="4">
        <f t="shared" si="8"/>
        <v>10.511521886710463</v>
      </c>
    </row>
    <row r="18" spans="2:13" x14ac:dyDescent="0.35">
      <c r="B18" s="3">
        <f t="shared" si="9"/>
        <v>9</v>
      </c>
      <c r="C18" s="4">
        <f t="shared" si="0"/>
        <v>9</v>
      </c>
      <c r="D18" s="2" cm="1">
        <f t="array" ref="D18">_xlfn.XLOOKUP(C18,'Mortality Tables'!$B$4:$B$124,_xlfn.XLOOKUP(mortality_table,'Mortality Tables'!$B$3:$G$3,'Mortality Tables'!$B$4:$G$124,0,0),0,0)</f>
        <v>1.6200000000000001E-4</v>
      </c>
      <c r="E18" s="2">
        <f t="shared" si="5"/>
        <v>0.999838</v>
      </c>
      <c r="F18" s="2">
        <f t="shared" si="10"/>
        <v>0.99415525470538801</v>
      </c>
      <c r="G18" s="2">
        <f t="shared" si="6"/>
        <v>1.6105315126227287E-4</v>
      </c>
      <c r="H18" s="2">
        <f t="shared" si="1"/>
        <v>0.61391325354075932</v>
      </c>
      <c r="I18" s="2">
        <f t="shared" si="2"/>
        <v>100000</v>
      </c>
      <c r="J18" s="3">
        <f t="shared" si="7"/>
        <v>9.8872664084413984</v>
      </c>
      <c r="K18" s="2">
        <f t="shared" si="3"/>
        <v>0</v>
      </c>
      <c r="L18" s="2">
        <f t="shared" si="4"/>
        <v>9.8872664084413984</v>
      </c>
      <c r="M18" s="4">
        <f t="shared" si="8"/>
        <v>9.8872664084413984</v>
      </c>
    </row>
    <row r="19" spans="2:13" x14ac:dyDescent="0.35">
      <c r="B19" s="3">
        <f t="shared" si="9"/>
        <v>10</v>
      </c>
      <c r="C19" s="4">
        <f t="shared" si="0"/>
        <v>10</v>
      </c>
      <c r="D19" s="2" cm="1">
        <f t="array" ref="D19">_xlfn.XLOOKUP(C19,'Mortality Tables'!$B$4:$B$124,_xlfn.XLOOKUP(mortality_table,'Mortality Tables'!$B$3:$G$3,'Mortality Tables'!$B$4:$G$124,0,0),0,0)</f>
        <v>1.6000000000000001E-4</v>
      </c>
      <c r="E19" s="2">
        <f t="shared" si="5"/>
        <v>0.99983999999999995</v>
      </c>
      <c r="F19" s="2">
        <f t="shared" si="10"/>
        <v>0.99399420155412577</v>
      </c>
      <c r="G19" s="2">
        <f t="shared" si="6"/>
        <v>1.5903907224866013E-4</v>
      </c>
      <c r="H19" s="2">
        <f t="shared" si="1"/>
        <v>0.5846792890864374</v>
      </c>
      <c r="I19" s="2">
        <f t="shared" si="2"/>
        <v>100000</v>
      </c>
      <c r="J19" s="3">
        <f t="shared" si="7"/>
        <v>9.298685169931316</v>
      </c>
      <c r="K19" s="2">
        <f t="shared" si="3"/>
        <v>0</v>
      </c>
      <c r="L19" s="2">
        <f t="shared" si="4"/>
        <v>9.298685169931316</v>
      </c>
      <c r="M19" s="4">
        <f t="shared" si="8"/>
        <v>9.298685169931316</v>
      </c>
    </row>
    <row r="20" spans="2:13" x14ac:dyDescent="0.35">
      <c r="B20" s="3">
        <f t="shared" si="9"/>
        <v>11</v>
      </c>
      <c r="C20" s="4">
        <f t="shared" si="0"/>
        <v>11</v>
      </c>
      <c r="D20" s="2" cm="1">
        <f t="array" ref="D20">_xlfn.XLOOKUP(C20,'Mortality Tables'!$B$4:$B$124,_xlfn.XLOOKUP(mortality_table,'Mortality Tables'!$B$3:$G$3,'Mortality Tables'!$B$4:$G$124,0,0),0,0)</f>
        <v>1.5799999999999999E-4</v>
      </c>
      <c r="E20" s="2">
        <f t="shared" si="5"/>
        <v>0.99984200000000001</v>
      </c>
      <c r="F20" s="2">
        <f t="shared" si="10"/>
        <v>0.99383516248187709</v>
      </c>
      <c r="G20" s="2">
        <f t="shared" si="6"/>
        <v>1.5702595567213657E-4</v>
      </c>
      <c r="H20" s="2">
        <f t="shared" si="1"/>
        <v>0.5568374181775595</v>
      </c>
      <c r="I20" s="2">
        <f t="shared" si="2"/>
        <v>100000</v>
      </c>
      <c r="J20" s="3">
        <f t="shared" si="7"/>
        <v>8.7437927743336434</v>
      </c>
      <c r="K20" s="2">
        <f t="shared" si="3"/>
        <v>0</v>
      </c>
      <c r="L20" s="2">
        <f t="shared" si="4"/>
        <v>8.7437927743336434</v>
      </c>
      <c r="M20" s="4">
        <f t="shared" si="8"/>
        <v>8.7437927743336434</v>
      </c>
    </row>
    <row r="21" spans="2:13" x14ac:dyDescent="0.35">
      <c r="B21" s="3">
        <f t="shared" si="9"/>
        <v>12</v>
      </c>
      <c r="C21" s="4">
        <f t="shared" si="0"/>
        <v>12</v>
      </c>
      <c r="D21" s="2" cm="1">
        <f t="array" ref="D21">_xlfn.XLOOKUP(C21,'Mortality Tables'!$B$4:$B$124,_xlfn.XLOOKUP(mortality_table,'Mortality Tables'!$B$3:$G$3,'Mortality Tables'!$B$4:$G$124,0,0),0,0)</f>
        <v>1.64E-4</v>
      </c>
      <c r="E21" s="2">
        <f t="shared" si="5"/>
        <v>0.99983599999999995</v>
      </c>
      <c r="F21" s="2">
        <f t="shared" si="10"/>
        <v>0.99367813652620496</v>
      </c>
      <c r="G21" s="2">
        <f t="shared" si="6"/>
        <v>1.6296321439029761E-4</v>
      </c>
      <c r="H21" s="2">
        <f t="shared" si="1"/>
        <v>0.53032135064529462</v>
      </c>
      <c r="I21" s="2">
        <f t="shared" si="2"/>
        <v>100000</v>
      </c>
      <c r="J21" s="3">
        <f t="shared" si="7"/>
        <v>8.6422871960961345</v>
      </c>
      <c r="K21" s="2">
        <f t="shared" si="3"/>
        <v>0</v>
      </c>
      <c r="L21" s="2">
        <f t="shared" si="4"/>
        <v>8.6422871960961345</v>
      </c>
      <c r="M21" s="4">
        <f t="shared" si="8"/>
        <v>8.6422871960961345</v>
      </c>
    </row>
    <row r="22" spans="2:13" x14ac:dyDescent="0.35">
      <c r="B22" s="3">
        <f t="shared" si="9"/>
        <v>13</v>
      </c>
      <c r="C22" s="4">
        <f t="shared" si="0"/>
        <v>13</v>
      </c>
      <c r="D22" s="2" cm="1">
        <f t="array" ref="D22">_xlfn.XLOOKUP(C22,'Mortality Tables'!$B$4:$B$124,_xlfn.XLOOKUP(mortality_table,'Mortality Tables'!$B$3:$G$3,'Mortality Tables'!$B$4:$G$124,0,0),0,0)</f>
        <v>1.9599999999999999E-4</v>
      </c>
      <c r="E22" s="2">
        <f t="shared" si="5"/>
        <v>0.99980400000000003</v>
      </c>
      <c r="F22" s="2">
        <f t="shared" si="10"/>
        <v>0.9935151733118146</v>
      </c>
      <c r="G22" s="2">
        <f t="shared" si="6"/>
        <v>1.9472897396911567E-4</v>
      </c>
      <c r="H22" s="2">
        <f t="shared" si="1"/>
        <v>0.50506795299551888</v>
      </c>
      <c r="I22" s="2">
        <f t="shared" si="2"/>
        <v>100000</v>
      </c>
      <c r="J22" s="3">
        <f t="shared" si="7"/>
        <v>9.8351364271498927</v>
      </c>
      <c r="K22" s="2">
        <f t="shared" si="3"/>
        <v>0</v>
      </c>
      <c r="L22" s="2">
        <f t="shared" si="4"/>
        <v>9.8351364271498927</v>
      </c>
      <c r="M22" s="4">
        <f t="shared" si="8"/>
        <v>9.8351364271498927</v>
      </c>
    </row>
    <row r="23" spans="2:13" x14ac:dyDescent="0.35">
      <c r="B23" s="3">
        <f t="shared" si="9"/>
        <v>14</v>
      </c>
      <c r="C23" s="4">
        <f t="shared" si="0"/>
        <v>14</v>
      </c>
      <c r="D23" s="2" cm="1">
        <f t="array" ref="D23">_xlfn.XLOOKUP(C23,'Mortality Tables'!$B$4:$B$124,_xlfn.XLOOKUP(mortality_table,'Mortality Tables'!$B$3:$G$3,'Mortality Tables'!$B$4:$G$124,0,0),0,0)</f>
        <v>2.43E-4</v>
      </c>
      <c r="E23" s="2">
        <f t="shared" si="5"/>
        <v>0.99975700000000001</v>
      </c>
      <c r="F23" s="2">
        <f t="shared" si="10"/>
        <v>0.9933204443378455</v>
      </c>
      <c r="G23" s="2">
        <f t="shared" si="6"/>
        <v>2.4137686797409645E-4</v>
      </c>
      <c r="H23" s="2">
        <f t="shared" si="1"/>
        <v>0.48101709809097021</v>
      </c>
      <c r="I23" s="2">
        <f t="shared" si="2"/>
        <v>100000</v>
      </c>
      <c r="J23" s="3">
        <f t="shared" si="7"/>
        <v>11.610640057918712</v>
      </c>
      <c r="K23" s="2">
        <f t="shared" si="3"/>
        <v>0</v>
      </c>
      <c r="L23" s="2">
        <f t="shared" si="4"/>
        <v>11.610640057918712</v>
      </c>
      <c r="M23" s="4">
        <f t="shared" si="8"/>
        <v>11.610640057918712</v>
      </c>
    </row>
    <row r="24" spans="2:13" x14ac:dyDescent="0.35">
      <c r="B24" s="3">
        <f t="shared" si="9"/>
        <v>15</v>
      </c>
      <c r="C24" s="4">
        <f t="shared" si="0"/>
        <v>15</v>
      </c>
      <c r="D24" s="2" cm="1">
        <f t="array" ref="D24">_xlfn.XLOOKUP(C24,'Mortality Tables'!$B$4:$B$124,_xlfn.XLOOKUP(mortality_table,'Mortality Tables'!$B$3:$G$3,'Mortality Tables'!$B$4:$G$124,0,0),0,0)</f>
        <v>3.3E-4</v>
      </c>
      <c r="E24" s="2">
        <f t="shared" si="5"/>
        <v>0.99966999999999995</v>
      </c>
      <c r="F24" s="2">
        <f t="shared" si="10"/>
        <v>0.9930790674698714</v>
      </c>
      <c r="G24" s="2">
        <f t="shared" si="6"/>
        <v>3.2771609226505755E-4</v>
      </c>
      <c r="H24" s="2">
        <f t="shared" si="1"/>
        <v>0.45811152199140021</v>
      </c>
      <c r="I24" s="2">
        <f t="shared" si="2"/>
        <v>100000</v>
      </c>
      <c r="J24" s="3">
        <f t="shared" si="7"/>
        <v>15.013051780861966</v>
      </c>
      <c r="K24" s="2">
        <f t="shared" si="3"/>
        <v>0</v>
      </c>
      <c r="L24" s="2">
        <f t="shared" si="4"/>
        <v>15.013051780861966</v>
      </c>
      <c r="M24" s="4">
        <f t="shared" si="8"/>
        <v>15.013051780861966</v>
      </c>
    </row>
    <row r="25" spans="2:13" x14ac:dyDescent="0.35">
      <c r="B25" s="3">
        <f t="shared" si="9"/>
        <v>16</v>
      </c>
      <c r="C25" s="4">
        <f t="shared" si="0"/>
        <v>16</v>
      </c>
      <c r="D25" s="2" cm="1">
        <f t="array" ref="D25">_xlfn.XLOOKUP(C25,'Mortality Tables'!$B$4:$B$124,_xlfn.XLOOKUP(mortality_table,'Mortality Tables'!$B$3:$G$3,'Mortality Tables'!$B$4:$G$124,0,0),0,0)</f>
        <v>4.2299999999999998E-4</v>
      </c>
      <c r="E25" s="2">
        <f t="shared" si="5"/>
        <v>0.99957700000000005</v>
      </c>
      <c r="F25" s="2">
        <f t="shared" si="10"/>
        <v>0.99275135137760628</v>
      </c>
      <c r="G25" s="2">
        <f t="shared" si="6"/>
        <v>4.1993382163272745E-4</v>
      </c>
      <c r="H25" s="2">
        <f t="shared" si="1"/>
        <v>0.43629668761085727</v>
      </c>
      <c r="I25" s="2">
        <f t="shared" si="2"/>
        <v>100000</v>
      </c>
      <c r="J25" s="3">
        <f t="shared" si="7"/>
        <v>18.321573539412753</v>
      </c>
      <c r="K25" s="2">
        <f t="shared" si="3"/>
        <v>0</v>
      </c>
      <c r="L25" s="2">
        <f t="shared" si="4"/>
        <v>18.321573539412753</v>
      </c>
      <c r="M25" s="4">
        <f t="shared" si="8"/>
        <v>18.321573539412753</v>
      </c>
    </row>
    <row r="26" spans="2:13" x14ac:dyDescent="0.35">
      <c r="B26" s="3">
        <f t="shared" si="9"/>
        <v>17</v>
      </c>
      <c r="C26" s="4">
        <f t="shared" si="0"/>
        <v>17</v>
      </c>
      <c r="D26" s="2" cm="1">
        <f t="array" ref="D26">_xlfn.XLOOKUP(C26,'Mortality Tables'!$B$4:$B$124,_xlfn.XLOOKUP(mortality_table,'Mortality Tables'!$B$3:$G$3,'Mortality Tables'!$B$4:$G$124,0,0),0,0)</f>
        <v>5.9999999999999995E-4</v>
      </c>
      <c r="E26" s="2">
        <f t="shared" si="5"/>
        <v>0.99939999999999996</v>
      </c>
      <c r="F26" s="2">
        <f t="shared" si="10"/>
        <v>0.99233141755597365</v>
      </c>
      <c r="G26" s="2">
        <f t="shared" si="6"/>
        <v>5.9539885053358412E-4</v>
      </c>
      <c r="H26" s="2">
        <f t="shared" si="1"/>
        <v>0.41552065486748313</v>
      </c>
      <c r="I26" s="2">
        <f t="shared" si="2"/>
        <v>100000</v>
      </c>
      <c r="J26" s="3">
        <f t="shared" si="7"/>
        <v>24.740052028106156</v>
      </c>
      <c r="K26" s="2">
        <f t="shared" si="3"/>
        <v>0</v>
      </c>
      <c r="L26" s="2">
        <f t="shared" si="4"/>
        <v>24.740052028106156</v>
      </c>
      <c r="M26" s="4">
        <f t="shared" si="8"/>
        <v>24.740052028106156</v>
      </c>
    </row>
    <row r="27" spans="2:13" x14ac:dyDescent="0.35">
      <c r="B27" s="3">
        <f t="shared" si="9"/>
        <v>18</v>
      </c>
      <c r="C27" s="4">
        <f t="shared" si="0"/>
        <v>18</v>
      </c>
      <c r="D27" s="2" cm="1">
        <f t="array" ref="D27">_xlfn.XLOOKUP(C27,'Mortality Tables'!$B$4:$B$124,_xlfn.XLOOKUP(mortality_table,'Mortality Tables'!$B$3:$G$3,'Mortality Tables'!$B$4:$G$124,0,0),0,0)</f>
        <v>5.9400000000000002E-4</v>
      </c>
      <c r="E27" s="2">
        <f t="shared" si="5"/>
        <v>0.99940600000000002</v>
      </c>
      <c r="F27" s="2">
        <f t="shared" si="10"/>
        <v>0.99173601870544004</v>
      </c>
      <c r="G27" s="2">
        <f t="shared" si="6"/>
        <v>5.8909119511103142E-4</v>
      </c>
      <c r="H27" s="2">
        <f t="shared" si="1"/>
        <v>0.39573395701665059</v>
      </c>
      <c r="I27" s="2">
        <f t="shared" si="2"/>
        <v>100000</v>
      </c>
      <c r="J27" s="3">
        <f t="shared" si="7"/>
        <v>23.312338968495624</v>
      </c>
      <c r="K27" s="2">
        <f t="shared" si="3"/>
        <v>0</v>
      </c>
      <c r="L27" s="2">
        <f t="shared" si="4"/>
        <v>23.312338968495624</v>
      </c>
      <c r="M27" s="4">
        <f t="shared" si="8"/>
        <v>23.312338968495624</v>
      </c>
    </row>
    <row r="28" spans="2:13" x14ac:dyDescent="0.35">
      <c r="B28" s="3">
        <f t="shared" si="9"/>
        <v>19</v>
      </c>
      <c r="C28" s="4">
        <f t="shared" si="0"/>
        <v>19</v>
      </c>
      <c r="D28" s="2" cm="1">
        <f t="array" ref="D28">_xlfn.XLOOKUP(C28,'Mortality Tables'!$B$4:$B$124,_xlfn.XLOOKUP(mortality_table,'Mortality Tables'!$B$3:$G$3,'Mortality Tables'!$B$4:$G$124,0,0),0,0)</f>
        <v>5.8699999999999996E-4</v>
      </c>
      <c r="E28" s="2">
        <f t="shared" si="5"/>
        <v>0.999413</v>
      </c>
      <c r="F28" s="2">
        <f t="shared" si="10"/>
        <v>0.99114692751032907</v>
      </c>
      <c r="G28" s="2">
        <f t="shared" si="6"/>
        <v>5.8180324644856315E-4</v>
      </c>
      <c r="H28" s="2">
        <f t="shared" si="1"/>
        <v>0.37688948287300061</v>
      </c>
      <c r="I28" s="2">
        <f t="shared" si="2"/>
        <v>100000</v>
      </c>
      <c r="J28" s="3">
        <f t="shared" si="7"/>
        <v>21.92755246878319</v>
      </c>
      <c r="K28" s="2">
        <f t="shared" si="3"/>
        <v>0</v>
      </c>
      <c r="L28" s="2">
        <f t="shared" si="4"/>
        <v>21.92755246878319</v>
      </c>
      <c r="M28" s="4">
        <f t="shared" si="8"/>
        <v>21.92755246878319</v>
      </c>
    </row>
    <row r="29" spans="2:13" x14ac:dyDescent="0.35">
      <c r="B29" s="3">
        <f t="shared" si="9"/>
        <v>20</v>
      </c>
      <c r="C29" s="4">
        <f t="shared" si="0"/>
        <v>20</v>
      </c>
      <c r="D29" s="2" cm="1">
        <f t="array" ref="D29">_xlfn.XLOOKUP(C29,'Mortality Tables'!$B$4:$B$124,_xlfn.XLOOKUP(mortality_table,'Mortality Tables'!$B$3:$G$3,'Mortality Tables'!$B$4:$G$124,0,0),0,0)</f>
        <v>5.8200000000000005E-4</v>
      </c>
      <c r="E29" s="2">
        <f t="shared" si="5"/>
        <v>0.99941800000000003</v>
      </c>
      <c r="F29" s="2">
        <f t="shared" si="10"/>
        <v>0.99056512426388055</v>
      </c>
      <c r="G29" s="2">
        <f t="shared" si="6"/>
        <v>5.7650890232157856E-4</v>
      </c>
      <c r="H29" s="2">
        <f t="shared" si="1"/>
        <v>0.35894236464095297</v>
      </c>
      <c r="I29" s="2">
        <f t="shared" si="2"/>
        <v>100000</v>
      </c>
      <c r="J29" s="3">
        <f t="shared" si="7"/>
        <v>20.693346863586761</v>
      </c>
      <c r="K29" s="2">
        <f t="shared" si="3"/>
        <v>0</v>
      </c>
      <c r="L29" s="2">
        <f t="shared" si="4"/>
        <v>20.693346863586761</v>
      </c>
      <c r="M29" s="4">
        <f t="shared" si="8"/>
        <v>20.693346863586761</v>
      </c>
    </row>
    <row r="30" spans="2:13" x14ac:dyDescent="0.35">
      <c r="B30" s="3">
        <f t="shared" si="9"/>
        <v>21</v>
      </c>
      <c r="C30" s="4">
        <f t="shared" si="0"/>
        <v>21</v>
      </c>
      <c r="D30" s="2" cm="1">
        <f t="array" ref="D30">_xlfn.XLOOKUP(C30,'Mortality Tables'!$B$4:$B$124,_xlfn.XLOOKUP(mortality_table,'Mortality Tables'!$B$3:$G$3,'Mortality Tables'!$B$4:$G$124,0,0),0,0)</f>
        <v>5.7700000000000004E-4</v>
      </c>
      <c r="E30" s="2">
        <f t="shared" si="5"/>
        <v>0.99942299999999995</v>
      </c>
      <c r="F30" s="2">
        <f t="shared" si="10"/>
        <v>0.98998861536155902</v>
      </c>
      <c r="G30" s="2">
        <f t="shared" si="6"/>
        <v>5.7122343106361963E-4</v>
      </c>
      <c r="H30" s="2">
        <f t="shared" si="1"/>
        <v>0.3418498710866219</v>
      </c>
      <c r="I30" s="2">
        <f t="shared" si="2"/>
        <v>100000</v>
      </c>
      <c r="J30" s="3">
        <f t="shared" si="7"/>
        <v>19.527265627075622</v>
      </c>
      <c r="K30" s="2">
        <f t="shared" si="3"/>
        <v>0</v>
      </c>
      <c r="L30" s="2">
        <f t="shared" si="4"/>
        <v>19.527265627075622</v>
      </c>
      <c r="M30" s="4">
        <f t="shared" si="8"/>
        <v>19.527265627075622</v>
      </c>
    </row>
    <row r="31" spans="2:13" x14ac:dyDescent="0.35">
      <c r="B31" s="3">
        <f t="shared" si="9"/>
        <v>22</v>
      </c>
      <c r="C31" s="4">
        <f t="shared" si="0"/>
        <v>22</v>
      </c>
      <c r="D31" s="2" cm="1">
        <f t="array" ref="D31">_xlfn.XLOOKUP(C31,'Mortality Tables'!$B$4:$B$124,_xlfn.XLOOKUP(mortality_table,'Mortality Tables'!$B$3:$G$3,'Mortality Tables'!$B$4:$G$124,0,0),0,0)</f>
        <v>5.7200000000000003E-4</v>
      </c>
      <c r="E31" s="2">
        <f t="shared" si="5"/>
        <v>0.99942799999999998</v>
      </c>
      <c r="F31" s="2">
        <f t="shared" si="10"/>
        <v>0.98941739193049538</v>
      </c>
      <c r="G31" s="2">
        <f t="shared" si="6"/>
        <v>5.6594674818424341E-4</v>
      </c>
      <c r="H31" s="2">
        <f t="shared" si="1"/>
        <v>0.32557130579678267</v>
      </c>
      <c r="I31" s="2">
        <f t="shared" si="2"/>
        <v>100000</v>
      </c>
      <c r="J31" s="3">
        <f t="shared" si="7"/>
        <v>18.425602181778707</v>
      </c>
      <c r="K31" s="2">
        <f t="shared" si="3"/>
        <v>0</v>
      </c>
      <c r="L31" s="2">
        <f t="shared" si="4"/>
        <v>18.425602181778707</v>
      </c>
      <c r="M31" s="4">
        <f t="shared" si="8"/>
        <v>18.425602181778707</v>
      </c>
    </row>
    <row r="32" spans="2:13" x14ac:dyDescent="0.35">
      <c r="B32" s="3">
        <f t="shared" si="9"/>
        <v>23</v>
      </c>
      <c r="C32" s="4">
        <f t="shared" si="0"/>
        <v>23</v>
      </c>
      <c r="D32" s="2" cm="1">
        <f t="array" ref="D32">_xlfn.XLOOKUP(C32,'Mortality Tables'!$B$4:$B$124,_xlfn.XLOOKUP(mortality_table,'Mortality Tables'!$B$3:$G$3,'Mortality Tables'!$B$4:$G$124,0,0),0,0)</f>
        <v>5.6899999999999995E-4</v>
      </c>
      <c r="E32" s="2">
        <f t="shared" si="5"/>
        <v>0.99943099999999996</v>
      </c>
      <c r="F32" s="2">
        <f t="shared" si="10"/>
        <v>0.98885144518231116</v>
      </c>
      <c r="G32" s="2">
        <f t="shared" si="6"/>
        <v>5.6265647230873501E-4</v>
      </c>
      <c r="H32" s="2">
        <f t="shared" si="1"/>
        <v>0.31006791028265024</v>
      </c>
      <c r="I32" s="2">
        <f t="shared" si="2"/>
        <v>100000</v>
      </c>
      <c r="J32" s="3">
        <f t="shared" si="7"/>
        <v>17.446171657577732</v>
      </c>
      <c r="K32" s="2">
        <f t="shared" si="3"/>
        <v>0</v>
      </c>
      <c r="L32" s="2">
        <f t="shared" si="4"/>
        <v>17.446171657577732</v>
      </c>
      <c r="M32" s="4">
        <f t="shared" si="8"/>
        <v>17.446171657577732</v>
      </c>
    </row>
    <row r="33" spans="2:13" x14ac:dyDescent="0.35">
      <c r="B33" s="3">
        <f t="shared" si="9"/>
        <v>24</v>
      </c>
      <c r="C33" s="4">
        <f t="shared" si="0"/>
        <v>24</v>
      </c>
      <c r="D33" s="2" cm="1">
        <f t="array" ref="D33">_xlfn.XLOOKUP(C33,'Mortality Tables'!$B$4:$B$124,_xlfn.XLOOKUP(mortality_table,'Mortality Tables'!$B$3:$G$3,'Mortality Tables'!$B$4:$G$124,0,0),0,0)</f>
        <v>5.6700000000000001E-4</v>
      </c>
      <c r="E33" s="2">
        <f t="shared" si="5"/>
        <v>0.99943300000000002</v>
      </c>
      <c r="F33" s="2">
        <f t="shared" si="10"/>
        <v>0.98828878871000236</v>
      </c>
      <c r="G33" s="2">
        <f t="shared" si="6"/>
        <v>5.6035974319857134E-4</v>
      </c>
      <c r="H33" s="2">
        <f t="shared" si="1"/>
        <v>0.29530277169776209</v>
      </c>
      <c r="I33" s="2">
        <f t="shared" si="2"/>
        <v>100000</v>
      </c>
      <c r="J33" s="3">
        <f t="shared" si="7"/>
        <v>16.547578531438429</v>
      </c>
      <c r="K33" s="2">
        <f t="shared" si="3"/>
        <v>0</v>
      </c>
      <c r="L33" s="2">
        <f t="shared" si="4"/>
        <v>16.547578531438429</v>
      </c>
      <c r="M33" s="4">
        <f t="shared" si="8"/>
        <v>16.547578531438429</v>
      </c>
    </row>
    <row r="34" spans="2:13" x14ac:dyDescent="0.35">
      <c r="B34" s="3">
        <f t="shared" si="9"/>
        <v>25</v>
      </c>
      <c r="C34" s="4">
        <f t="shared" si="0"/>
        <v>25</v>
      </c>
      <c r="D34" s="2" cm="1">
        <f t="array" ref="D34">_xlfn.XLOOKUP(C34,'Mortality Tables'!$B$4:$B$124,_xlfn.XLOOKUP(mortality_table,'Mortality Tables'!$B$3:$G$3,'Mortality Tables'!$B$4:$G$124,0,0),0,0)</f>
        <v>5.6599999999999999E-4</v>
      </c>
      <c r="E34" s="2">
        <f t="shared" si="5"/>
        <v>0.99943400000000004</v>
      </c>
      <c r="F34" s="2">
        <f t="shared" si="10"/>
        <v>0.9877284289668038</v>
      </c>
      <c r="G34" s="2">
        <f t="shared" si="6"/>
        <v>5.5905429079521095E-4</v>
      </c>
      <c r="H34" s="2">
        <f t="shared" si="1"/>
        <v>0.28124073495024959</v>
      </c>
      <c r="I34" s="2">
        <f t="shared" si="2"/>
        <v>100000</v>
      </c>
      <c r="J34" s="3">
        <f t="shared" si="7"/>
        <v>15.722883962033569</v>
      </c>
      <c r="K34" s="2">
        <f t="shared" si="3"/>
        <v>29167.894275857332</v>
      </c>
      <c r="L34" s="2">
        <f t="shared" si="4"/>
        <v>0</v>
      </c>
      <c r="M34" s="4">
        <f t="shared" si="8"/>
        <v>29167.894275857332</v>
      </c>
    </row>
    <row r="35" spans="2:13" x14ac:dyDescent="0.35">
      <c r="B35" s="3">
        <f t="shared" si="9"/>
        <v>26</v>
      </c>
      <c r="C35" s="4">
        <f t="shared" si="0"/>
        <v>26</v>
      </c>
      <c r="D35" s="2" cm="1">
        <f t="array" ref="D35">_xlfn.XLOOKUP(C35,'Mortality Tables'!$B$4:$B$124,_xlfn.XLOOKUP(mortality_table,'Mortality Tables'!$B$3:$G$3,'Mortality Tables'!$B$4:$G$124,0,0),0,0)</f>
        <v>5.6700000000000001E-4</v>
      </c>
      <c r="E35" s="2">
        <f t="shared" si="5"/>
        <v>0.99943300000000002</v>
      </c>
      <c r="F35" s="2">
        <f t="shared" si="10"/>
        <v>0.98716937467600863</v>
      </c>
      <c r="G35" s="2">
        <f t="shared" si="6"/>
        <v>5.5972503544129688E-4</v>
      </c>
      <c r="H35" s="2">
        <f t="shared" si="1"/>
        <v>0.2678483190002377</v>
      </c>
      <c r="I35" s="2">
        <f t="shared" si="2"/>
        <v>100000</v>
      </c>
      <c r="J35" s="3">
        <f t="shared" si="7"/>
        <v>14.992140984529984</v>
      </c>
      <c r="K35" s="2">
        <f t="shared" si="3"/>
        <v>0</v>
      </c>
      <c r="L35" s="2">
        <f t="shared" si="4"/>
        <v>0</v>
      </c>
      <c r="M35" s="4">
        <f t="shared" si="8"/>
        <v>0</v>
      </c>
    </row>
    <row r="36" spans="2:13" x14ac:dyDescent="0.35">
      <c r="B36" s="3">
        <f t="shared" si="9"/>
        <v>27</v>
      </c>
      <c r="C36" s="4">
        <f t="shared" si="0"/>
        <v>27</v>
      </c>
      <c r="D36" s="2" cm="1">
        <f t="array" ref="D36">_xlfn.XLOOKUP(C36,'Mortality Tables'!$B$4:$B$124,_xlfn.XLOOKUP(mortality_table,'Mortality Tables'!$B$3:$G$3,'Mortality Tables'!$B$4:$G$124,0,0),0,0)</f>
        <v>5.6999999999999998E-4</v>
      </c>
      <c r="E36" s="2">
        <f t="shared" si="5"/>
        <v>0.99943000000000004</v>
      </c>
      <c r="F36" s="2">
        <f t="shared" si="10"/>
        <v>0.9866096496405673</v>
      </c>
      <c r="G36" s="2">
        <f t="shared" si="6"/>
        <v>5.6236750029512329E-4</v>
      </c>
      <c r="H36" s="2">
        <f t="shared" si="1"/>
        <v>0.25509363714308358</v>
      </c>
      <c r="I36" s="2">
        <f t="shared" si="2"/>
        <v>100000</v>
      </c>
      <c r="J36" s="3">
        <f t="shared" si="7"/>
        <v>14.345637106134712</v>
      </c>
      <c r="K36" s="2">
        <f t="shared" si="3"/>
        <v>0</v>
      </c>
      <c r="L36" s="2">
        <f t="shared" si="4"/>
        <v>0</v>
      </c>
      <c r="M36" s="4">
        <f t="shared" si="8"/>
        <v>0</v>
      </c>
    </row>
    <row r="37" spans="2:13" x14ac:dyDescent="0.35">
      <c r="B37" s="3">
        <f t="shared" si="9"/>
        <v>28</v>
      </c>
      <c r="C37" s="4">
        <f t="shared" si="0"/>
        <v>28</v>
      </c>
      <c r="D37" s="2" cm="1">
        <f t="array" ref="D37">_xlfn.XLOOKUP(C37,'Mortality Tables'!$B$4:$B$124,_xlfn.XLOOKUP(mortality_table,'Mortality Tables'!$B$3:$G$3,'Mortality Tables'!$B$4:$G$124,0,0),0,0)</f>
        <v>5.7399999999999997E-4</v>
      </c>
      <c r="E37" s="2">
        <f t="shared" si="5"/>
        <v>0.99942600000000004</v>
      </c>
      <c r="F37" s="2">
        <f t="shared" si="10"/>
        <v>0.98604728214027226</v>
      </c>
      <c r="G37" s="2">
        <f t="shared" si="6"/>
        <v>5.6599113994851627E-4</v>
      </c>
      <c r="H37" s="2">
        <f t="shared" si="1"/>
        <v>0.24294632108865097</v>
      </c>
      <c r="I37" s="2">
        <f t="shared" si="2"/>
        <v>100000</v>
      </c>
      <c r="J37" s="3">
        <f t="shared" si="7"/>
        <v>13.750546521926381</v>
      </c>
      <c r="K37" s="2">
        <f t="shared" si="3"/>
        <v>0</v>
      </c>
      <c r="L37" s="2">
        <f t="shared" si="4"/>
        <v>0</v>
      </c>
      <c r="M37" s="4">
        <f t="shared" si="8"/>
        <v>0</v>
      </c>
    </row>
    <row r="38" spans="2:13" x14ac:dyDescent="0.35">
      <c r="B38" s="3">
        <f t="shared" si="9"/>
        <v>29</v>
      </c>
      <c r="C38" s="4">
        <f t="shared" si="0"/>
        <v>29</v>
      </c>
      <c r="D38" s="2" cm="1">
        <f t="array" ref="D38">_xlfn.XLOOKUP(C38,'Mortality Tables'!$B$4:$B$124,_xlfn.XLOOKUP(mortality_table,'Mortality Tables'!$B$3:$G$3,'Mortality Tables'!$B$4:$G$124,0,0),0,0)</f>
        <v>5.8E-4</v>
      </c>
      <c r="E38" s="2">
        <f t="shared" si="5"/>
        <v>0.99941999999999998</v>
      </c>
      <c r="F38" s="2">
        <f t="shared" si="10"/>
        <v>0.98548129100032378</v>
      </c>
      <c r="G38" s="2">
        <f t="shared" si="6"/>
        <v>5.7157914878018783E-4</v>
      </c>
      <c r="H38" s="2">
        <f t="shared" si="1"/>
        <v>0.23137744865585813</v>
      </c>
      <c r="I38" s="2">
        <f t="shared" si="2"/>
        <v>100000</v>
      </c>
      <c r="J38" s="3">
        <f t="shared" si="7"/>
        <v>13.225052514964702</v>
      </c>
      <c r="K38" s="2">
        <f t="shared" si="3"/>
        <v>0</v>
      </c>
      <c r="L38" s="2">
        <f t="shared" si="4"/>
        <v>0</v>
      </c>
      <c r="M38" s="4">
        <f t="shared" si="8"/>
        <v>0</v>
      </c>
    </row>
    <row r="39" spans="2:13" x14ac:dyDescent="0.35">
      <c r="B39" s="3">
        <f t="shared" si="9"/>
        <v>30</v>
      </c>
      <c r="C39" s="4">
        <f t="shared" si="0"/>
        <v>30</v>
      </c>
      <c r="D39" s="2" cm="1">
        <f t="array" ref="D39">_xlfn.XLOOKUP(C39,'Mortality Tables'!$B$4:$B$124,_xlfn.XLOOKUP(mortality_table,'Mortality Tables'!$B$3:$G$3,'Mortality Tables'!$B$4:$G$124,0,0),0,0)</f>
        <v>5.9000000000000003E-4</v>
      </c>
      <c r="E39" s="2">
        <f t="shared" si="5"/>
        <v>0.99941000000000002</v>
      </c>
      <c r="F39" s="2">
        <f t="shared" si="10"/>
        <v>0.98490971185154352</v>
      </c>
      <c r="G39" s="2">
        <f t="shared" si="6"/>
        <v>5.8109672999241072E-4</v>
      </c>
      <c r="H39" s="2">
        <f t="shared" si="1"/>
        <v>0.220359474910341</v>
      </c>
      <c r="I39" s="2">
        <f t="shared" si="2"/>
        <v>100000</v>
      </c>
      <c r="J39" s="3">
        <f t="shared" si="7"/>
        <v>12.805017029324382</v>
      </c>
      <c r="K39" s="2">
        <f t="shared" si="3"/>
        <v>0</v>
      </c>
      <c r="L39" s="2">
        <f t="shared" si="4"/>
        <v>0</v>
      </c>
      <c r="M39" s="4">
        <f t="shared" si="8"/>
        <v>0</v>
      </c>
    </row>
    <row r="40" spans="2:13" x14ac:dyDescent="0.35">
      <c r="B40" s="3">
        <f t="shared" si="9"/>
        <v>31</v>
      </c>
      <c r="C40" s="4">
        <f t="shared" si="0"/>
        <v>31</v>
      </c>
      <c r="D40" s="2" cm="1">
        <f t="array" ref="D40">_xlfn.XLOOKUP(C40,'Mortality Tables'!$B$4:$B$124,_xlfn.XLOOKUP(mortality_table,'Mortality Tables'!$B$3:$G$3,'Mortality Tables'!$B$4:$G$124,0,0),0,0)</f>
        <v>6.02E-4</v>
      </c>
      <c r="E40" s="2">
        <f t="shared" si="5"/>
        <v>0.99939800000000001</v>
      </c>
      <c r="F40" s="2">
        <f t="shared" si="10"/>
        <v>0.98432861512155112</v>
      </c>
      <c r="G40" s="2">
        <f t="shared" si="6"/>
        <v>5.9256582630317375E-4</v>
      </c>
      <c r="H40" s="2">
        <f t="shared" si="1"/>
        <v>0.20986616658127716</v>
      </c>
      <c r="I40" s="2">
        <f t="shared" si="2"/>
        <v>100000</v>
      </c>
      <c r="J40" s="3">
        <f t="shared" si="7"/>
        <v>12.4359518413314</v>
      </c>
      <c r="K40" s="2">
        <f t="shared" si="3"/>
        <v>0</v>
      </c>
      <c r="L40" s="2">
        <f t="shared" si="4"/>
        <v>0</v>
      </c>
      <c r="M40" s="4">
        <f t="shared" si="8"/>
        <v>0</v>
      </c>
    </row>
    <row r="41" spans="2:13" x14ac:dyDescent="0.35">
      <c r="B41" s="3">
        <f t="shared" si="9"/>
        <v>32</v>
      </c>
      <c r="C41" s="4">
        <f t="shared" ref="C41:C72" si="11">IF($C$4+B41&lt;=$F$4,$C$4+B41)</f>
        <v>32</v>
      </c>
      <c r="D41" s="2" cm="1">
        <f t="array" ref="D41">_xlfn.XLOOKUP(C41,'Mortality Tables'!$B$4:$B$124,_xlfn.XLOOKUP(mortality_table,'Mortality Tables'!$B$3:$G$3,'Mortality Tables'!$B$4:$G$124,0,0),0,0)</f>
        <v>6.1700000000000004E-4</v>
      </c>
      <c r="E41" s="2">
        <f t="shared" si="5"/>
        <v>0.99938300000000002</v>
      </c>
      <c r="F41" s="2">
        <f t="shared" si="10"/>
        <v>0.98373604929524794</v>
      </c>
      <c r="G41" s="2">
        <f t="shared" si="6"/>
        <v>6.0696514241516798E-4</v>
      </c>
      <c r="H41" s="2">
        <f t="shared" ref="H41:H72" si="12">(1+interest_rate)^-(B41+1)</f>
        <v>0.19987253960121634</v>
      </c>
      <c r="I41" s="2">
        <f t="shared" ref="I41:I72" si="13">sum_assured</f>
        <v>100000</v>
      </c>
      <c r="J41" s="3">
        <f t="shared" si="7"/>
        <v>12.131566446393359</v>
      </c>
      <c r="K41" s="2">
        <f t="shared" ref="K41:K72" si="14">IF(B41&lt;&gt;term_of_coverage,0,F41*H41*I41*(1+interest_rate))</f>
        <v>0</v>
      </c>
      <c r="L41" s="2">
        <f t="shared" ref="L41:L72" si="15">IF(B41&lt;term_of_coverage,PRODUCT(G41:I41),0)</f>
        <v>0</v>
      </c>
      <c r="M41" s="4">
        <f t="shared" si="8"/>
        <v>0</v>
      </c>
    </row>
    <row r="42" spans="2:13" x14ac:dyDescent="0.35">
      <c r="B42" s="3">
        <f t="shared" si="9"/>
        <v>33</v>
      </c>
      <c r="C42" s="4">
        <f t="shared" si="11"/>
        <v>33</v>
      </c>
      <c r="D42" s="2" cm="1">
        <f t="array" ref="D42">_xlfn.XLOOKUP(C42,'Mortality Tables'!$B$4:$B$124,_xlfn.XLOOKUP(mortality_table,'Mortality Tables'!$B$3:$G$3,'Mortality Tables'!$B$4:$G$124,0,0),0,0)</f>
        <v>6.3599999999999996E-4</v>
      </c>
      <c r="E42" s="2">
        <f t="shared" si="5"/>
        <v>0.99936400000000003</v>
      </c>
      <c r="F42" s="2">
        <f t="shared" si="10"/>
        <v>0.98312908415283284</v>
      </c>
      <c r="G42" s="2">
        <f t="shared" si="6"/>
        <v>6.2527009752120165E-4</v>
      </c>
      <c r="H42" s="2">
        <f t="shared" si="12"/>
        <v>0.19035479962020604</v>
      </c>
      <c r="I42" s="2">
        <f t="shared" si="13"/>
        <v>100000</v>
      </c>
      <c r="J42" s="3">
        <f t="shared" si="7"/>
        <v>11.902316412215503</v>
      </c>
      <c r="K42" s="2">
        <f t="shared" si="14"/>
        <v>0</v>
      </c>
      <c r="L42" s="2">
        <f t="shared" si="15"/>
        <v>0</v>
      </c>
      <c r="M42" s="4">
        <f t="shared" si="8"/>
        <v>0</v>
      </c>
    </row>
    <row r="43" spans="2:13" x14ac:dyDescent="0.35">
      <c r="B43" s="3">
        <f t="shared" si="9"/>
        <v>34</v>
      </c>
      <c r="C43" s="4">
        <f t="shared" si="11"/>
        <v>34</v>
      </c>
      <c r="D43" s="2" cm="1">
        <f t="array" ref="D43">_xlfn.XLOOKUP(C43,'Mortality Tables'!$B$4:$B$124,_xlfn.XLOOKUP(mortality_table,'Mortality Tables'!$B$3:$G$3,'Mortality Tables'!$B$4:$G$124,0,0),0,0)</f>
        <v>6.6E-4</v>
      </c>
      <c r="E43" s="2">
        <f t="shared" si="5"/>
        <v>0.99934000000000001</v>
      </c>
      <c r="F43" s="2">
        <f t="shared" si="10"/>
        <v>0.98250381405531162</v>
      </c>
      <c r="G43" s="2">
        <f t="shared" si="6"/>
        <v>6.4845251727650569E-4</v>
      </c>
      <c r="H43" s="2">
        <f t="shared" si="12"/>
        <v>0.18129028535257716</v>
      </c>
      <c r="I43" s="2">
        <f t="shared" si="13"/>
        <v>100000</v>
      </c>
      <c r="J43" s="3">
        <f t="shared" si="7"/>
        <v>11.75581418946547</v>
      </c>
      <c r="K43" s="2">
        <f t="shared" si="14"/>
        <v>0</v>
      </c>
      <c r="L43" s="2">
        <f t="shared" si="15"/>
        <v>0</v>
      </c>
      <c r="M43" s="4">
        <f t="shared" si="8"/>
        <v>0</v>
      </c>
    </row>
    <row r="44" spans="2:13" x14ac:dyDescent="0.35">
      <c r="B44" s="3">
        <f t="shared" si="9"/>
        <v>35</v>
      </c>
      <c r="C44" s="4">
        <f t="shared" si="11"/>
        <v>35</v>
      </c>
      <c r="D44" s="2" cm="1">
        <f t="array" ref="D44">_xlfn.XLOOKUP(C44,'Mortality Tables'!$B$4:$B$124,_xlfn.XLOOKUP(mortality_table,'Mortality Tables'!$B$3:$G$3,'Mortality Tables'!$B$4:$G$124,0,0),0,0)</f>
        <v>6.8900000000000005E-4</v>
      </c>
      <c r="E44" s="2">
        <f t="shared" si="5"/>
        <v>0.99931099999999995</v>
      </c>
      <c r="F44" s="2">
        <f t="shared" si="10"/>
        <v>0.9818553615380351</v>
      </c>
      <c r="G44" s="2">
        <f t="shared" si="6"/>
        <v>6.7649834409970618E-4</v>
      </c>
      <c r="H44" s="2">
        <f t="shared" si="12"/>
        <v>0.17265741462150208</v>
      </c>
      <c r="I44" s="2">
        <f t="shared" si="13"/>
        <v>100000</v>
      </c>
      <c r="J44" s="3">
        <f t="shared" si="7"/>
        <v>11.680245508798256</v>
      </c>
      <c r="K44" s="2">
        <f t="shared" si="14"/>
        <v>0</v>
      </c>
      <c r="L44" s="2">
        <f t="shared" si="15"/>
        <v>0</v>
      </c>
      <c r="M44" s="4">
        <f t="shared" si="8"/>
        <v>0</v>
      </c>
    </row>
    <row r="45" spans="2:13" x14ac:dyDescent="0.35">
      <c r="B45" s="3">
        <f t="shared" si="9"/>
        <v>36</v>
      </c>
      <c r="C45" s="4">
        <f t="shared" si="11"/>
        <v>36</v>
      </c>
      <c r="D45" s="2" cm="1">
        <f t="array" ref="D45">_xlfn.XLOOKUP(C45,'Mortality Tables'!$B$4:$B$124,_xlfn.XLOOKUP(mortality_table,'Mortality Tables'!$B$3:$G$3,'Mortality Tables'!$B$4:$G$124,0,0),0,0)</f>
        <v>7.2400000000000003E-4</v>
      </c>
      <c r="E45" s="2">
        <f t="shared" si="5"/>
        <v>0.99927600000000005</v>
      </c>
      <c r="F45" s="2">
        <f t="shared" si="10"/>
        <v>0.98117886319393532</v>
      </c>
      <c r="G45" s="2">
        <f t="shared" si="6"/>
        <v>7.1037349695240917E-4</v>
      </c>
      <c r="H45" s="2">
        <f t="shared" si="12"/>
        <v>0.1644356329728591</v>
      </c>
      <c r="I45" s="2">
        <f t="shared" si="13"/>
        <v>100000</v>
      </c>
      <c r="J45" s="3">
        <f t="shared" si="7"/>
        <v>11.681071561851279</v>
      </c>
      <c r="K45" s="2">
        <f t="shared" si="14"/>
        <v>0</v>
      </c>
      <c r="L45" s="2">
        <f t="shared" si="15"/>
        <v>0</v>
      </c>
      <c r="M45" s="4">
        <f t="shared" si="8"/>
        <v>0</v>
      </c>
    </row>
    <row r="46" spans="2:13" x14ac:dyDescent="0.35">
      <c r="B46" s="3">
        <f t="shared" si="9"/>
        <v>37</v>
      </c>
      <c r="C46" s="4">
        <f t="shared" si="11"/>
        <v>37</v>
      </c>
      <c r="D46" s="2" cm="1">
        <f t="array" ref="D46">_xlfn.XLOOKUP(C46,'Mortality Tables'!$B$4:$B$124,_xlfn.XLOOKUP(mortality_table,'Mortality Tables'!$B$3:$G$3,'Mortality Tables'!$B$4:$G$124,0,0),0,0)</f>
        <v>7.6499999999999995E-4</v>
      </c>
      <c r="E46" s="2">
        <f t="shared" si="5"/>
        <v>0.99923499999999998</v>
      </c>
      <c r="F46" s="2">
        <f t="shared" si="10"/>
        <v>0.98046848969698297</v>
      </c>
      <c r="G46" s="2">
        <f t="shared" si="6"/>
        <v>7.5005839461819192E-4</v>
      </c>
      <c r="H46" s="2">
        <f t="shared" si="12"/>
        <v>0.15660536473605632</v>
      </c>
      <c r="I46" s="2">
        <f t="shared" si="13"/>
        <v>100000</v>
      </c>
      <c r="J46" s="3">
        <f t="shared" si="7"/>
        <v>11.746316846252281</v>
      </c>
      <c r="K46" s="2">
        <f t="shared" si="14"/>
        <v>0</v>
      </c>
      <c r="L46" s="2">
        <f t="shared" si="15"/>
        <v>0</v>
      </c>
      <c r="M46" s="4">
        <f t="shared" si="8"/>
        <v>0</v>
      </c>
    </row>
    <row r="47" spans="2:13" x14ac:dyDescent="0.35">
      <c r="B47" s="3">
        <f t="shared" si="9"/>
        <v>38</v>
      </c>
      <c r="C47" s="4">
        <f t="shared" si="11"/>
        <v>38</v>
      </c>
      <c r="D47" s="2" cm="1">
        <f t="array" ref="D47">_xlfn.XLOOKUP(C47,'Mortality Tables'!$B$4:$B$124,_xlfn.XLOOKUP(mortality_table,'Mortality Tables'!$B$3:$G$3,'Mortality Tables'!$B$4:$G$124,0,0),0,0)</f>
        <v>8.1300000000000003E-4</v>
      </c>
      <c r="E47" s="2">
        <f t="shared" si="5"/>
        <v>0.99918700000000005</v>
      </c>
      <c r="F47" s="2">
        <f t="shared" si="10"/>
        <v>0.9797184313023648</v>
      </c>
      <c r="G47" s="2">
        <f t="shared" si="6"/>
        <v>7.9651108464882264E-4</v>
      </c>
      <c r="H47" s="2">
        <f t="shared" si="12"/>
        <v>0.14914796641529171</v>
      </c>
      <c r="I47" s="2">
        <f t="shared" si="13"/>
        <v>100000</v>
      </c>
      <c r="J47" s="3">
        <f t="shared" si="7"/>
        <v>11.879800850261017</v>
      </c>
      <c r="K47" s="2">
        <f t="shared" si="14"/>
        <v>0</v>
      </c>
      <c r="L47" s="2">
        <f t="shared" si="15"/>
        <v>0</v>
      </c>
      <c r="M47" s="4">
        <f t="shared" si="8"/>
        <v>0</v>
      </c>
    </row>
    <row r="48" spans="2:13" x14ac:dyDescent="0.35">
      <c r="B48" s="3">
        <f t="shared" si="9"/>
        <v>39</v>
      </c>
      <c r="C48" s="4">
        <f t="shared" si="11"/>
        <v>39</v>
      </c>
      <c r="D48" s="2" cm="1">
        <f t="array" ref="D48">_xlfn.XLOOKUP(C48,'Mortality Tables'!$B$4:$B$124,_xlfn.XLOOKUP(mortality_table,'Mortality Tables'!$B$3:$G$3,'Mortality Tables'!$B$4:$G$124,0,0),0,0)</f>
        <v>8.7000000000000001E-4</v>
      </c>
      <c r="E48" s="2">
        <f t="shared" si="5"/>
        <v>0.99912999999999996</v>
      </c>
      <c r="F48" s="2">
        <f t="shared" si="10"/>
        <v>0.97892192021771607</v>
      </c>
      <c r="G48" s="2">
        <f t="shared" si="6"/>
        <v>8.51662070589413E-4</v>
      </c>
      <c r="H48" s="2">
        <f t="shared" si="12"/>
        <v>0.14204568230027784</v>
      </c>
      <c r="I48" s="2">
        <f t="shared" si="13"/>
        <v>100000</v>
      </c>
      <c r="J48" s="3">
        <f t="shared" si="7"/>
        <v>12.097491990614056</v>
      </c>
      <c r="K48" s="2">
        <f t="shared" si="14"/>
        <v>0</v>
      </c>
      <c r="L48" s="2">
        <f t="shared" si="15"/>
        <v>0</v>
      </c>
      <c r="M48" s="4">
        <f t="shared" si="8"/>
        <v>0</v>
      </c>
    </row>
    <row r="49" spans="2:13" x14ac:dyDescent="0.35">
      <c r="B49" s="3">
        <f t="shared" si="9"/>
        <v>40</v>
      </c>
      <c r="C49" s="4">
        <f t="shared" si="11"/>
        <v>40</v>
      </c>
      <c r="D49" s="2" cm="1">
        <f t="array" ref="D49">_xlfn.XLOOKUP(C49,'Mortality Tables'!$B$4:$B$124,_xlfn.XLOOKUP(mortality_table,'Mortality Tables'!$B$3:$G$3,'Mortality Tables'!$B$4:$G$124,0,0),0,0)</f>
        <v>9.3700000000000001E-4</v>
      </c>
      <c r="E49" s="2">
        <f t="shared" si="5"/>
        <v>0.99906300000000003</v>
      </c>
      <c r="F49" s="2">
        <f t="shared" si="10"/>
        <v>0.97807025814712667</v>
      </c>
      <c r="G49" s="2">
        <f t="shared" si="6"/>
        <v>9.1645183188385768E-4</v>
      </c>
      <c r="H49" s="2">
        <f t="shared" si="12"/>
        <v>0.13528160219074079</v>
      </c>
      <c r="I49" s="2">
        <f t="shared" si="13"/>
        <v>100000</v>
      </c>
      <c r="J49" s="3">
        <f t="shared" si="7"/>
        <v>12.397907214788768</v>
      </c>
      <c r="K49" s="2">
        <f t="shared" si="14"/>
        <v>0</v>
      </c>
      <c r="L49" s="2">
        <f t="shared" si="15"/>
        <v>0</v>
      </c>
      <c r="M49" s="4">
        <f t="shared" si="8"/>
        <v>0</v>
      </c>
    </row>
    <row r="50" spans="2:13" x14ac:dyDescent="0.35">
      <c r="B50" s="3">
        <f t="shared" si="9"/>
        <v>41</v>
      </c>
      <c r="C50" s="4">
        <f t="shared" si="11"/>
        <v>41</v>
      </c>
      <c r="D50" s="2" cm="1">
        <f t="array" ref="D50">_xlfn.XLOOKUP(C50,'Mortality Tables'!$B$4:$B$124,_xlfn.XLOOKUP(mortality_table,'Mortality Tables'!$B$3:$G$3,'Mortality Tables'!$B$4:$G$124,0,0),0,0)</f>
        <v>1.0139999999999999E-3</v>
      </c>
      <c r="E50" s="2">
        <f t="shared" si="5"/>
        <v>0.99898600000000004</v>
      </c>
      <c r="F50" s="2">
        <f t="shared" si="10"/>
        <v>0.97715380631524285</v>
      </c>
      <c r="G50" s="2">
        <f t="shared" si="6"/>
        <v>9.9083395960365608E-4</v>
      </c>
      <c r="H50" s="2">
        <f t="shared" si="12"/>
        <v>0.12883962113403885</v>
      </c>
      <c r="I50" s="2">
        <f t="shared" si="13"/>
        <v>100000</v>
      </c>
      <c r="J50" s="3">
        <f t="shared" si="7"/>
        <v>12.765867196207461</v>
      </c>
      <c r="K50" s="2">
        <f t="shared" si="14"/>
        <v>0</v>
      </c>
      <c r="L50" s="2">
        <f t="shared" si="15"/>
        <v>0</v>
      </c>
      <c r="M50" s="4">
        <f t="shared" si="8"/>
        <v>0</v>
      </c>
    </row>
    <row r="51" spans="2:13" x14ac:dyDescent="0.35">
      <c r="B51" s="3">
        <f t="shared" si="9"/>
        <v>42</v>
      </c>
      <c r="C51" s="4">
        <f t="shared" si="11"/>
        <v>42</v>
      </c>
      <c r="D51" s="2" cm="1">
        <f t="array" ref="D51">_xlfn.XLOOKUP(C51,'Mortality Tables'!$B$4:$B$124,_xlfn.XLOOKUP(mortality_table,'Mortality Tables'!$B$3:$G$3,'Mortality Tables'!$B$4:$G$124,0,0),0,0)</f>
        <v>1.1039999999999999E-3</v>
      </c>
      <c r="E51" s="2">
        <f t="shared" si="5"/>
        <v>0.99889600000000001</v>
      </c>
      <c r="F51" s="2">
        <f t="shared" si="10"/>
        <v>0.9761629723556392</v>
      </c>
      <c r="G51" s="2">
        <f t="shared" si="6"/>
        <v>1.0776839214806256E-3</v>
      </c>
      <c r="H51" s="2">
        <f t="shared" si="12"/>
        <v>0.12270440108003698</v>
      </c>
      <c r="I51" s="2">
        <f t="shared" si="13"/>
        <v>100000</v>
      </c>
      <c r="J51" s="3">
        <f t="shared" si="7"/>
        <v>13.223656013886577</v>
      </c>
      <c r="K51" s="2">
        <f t="shared" si="14"/>
        <v>0</v>
      </c>
      <c r="L51" s="2">
        <f t="shared" si="15"/>
        <v>0</v>
      </c>
      <c r="M51" s="4">
        <f t="shared" si="8"/>
        <v>0</v>
      </c>
    </row>
    <row r="52" spans="2:13" x14ac:dyDescent="0.35">
      <c r="B52" s="3">
        <f t="shared" si="9"/>
        <v>43</v>
      </c>
      <c r="C52" s="4">
        <f t="shared" si="11"/>
        <v>43</v>
      </c>
      <c r="D52" s="2" cm="1">
        <f t="array" ref="D52">_xlfn.XLOOKUP(C52,'Mortality Tables'!$B$4:$B$124,_xlfn.XLOOKUP(mortality_table,'Mortality Tables'!$B$3:$G$3,'Mortality Tables'!$B$4:$G$124,0,0),0,0)</f>
        <v>1.2080000000000001E-3</v>
      </c>
      <c r="E52" s="2">
        <f t="shared" si="5"/>
        <v>0.99879200000000001</v>
      </c>
      <c r="F52" s="2">
        <f t="shared" si="10"/>
        <v>0.97508528843415854</v>
      </c>
      <c r="G52" s="2">
        <f t="shared" si="6"/>
        <v>1.1779030284284637E-3</v>
      </c>
      <c r="H52" s="2">
        <f t="shared" si="12"/>
        <v>0.11686133436193999</v>
      </c>
      <c r="I52" s="2">
        <f t="shared" si="13"/>
        <v>100000</v>
      </c>
      <c r="J52" s="3">
        <f t="shared" si="7"/>
        <v>13.76513196511204</v>
      </c>
      <c r="K52" s="2">
        <f t="shared" si="14"/>
        <v>0</v>
      </c>
      <c r="L52" s="2">
        <f t="shared" si="15"/>
        <v>0</v>
      </c>
      <c r="M52" s="4">
        <f t="shared" si="8"/>
        <v>0</v>
      </c>
    </row>
    <row r="53" spans="2:13" x14ac:dyDescent="0.35">
      <c r="B53" s="3">
        <f t="shared" si="9"/>
        <v>44</v>
      </c>
      <c r="C53" s="4">
        <f t="shared" si="11"/>
        <v>44</v>
      </c>
      <c r="D53" s="2" cm="1">
        <f t="array" ref="D53">_xlfn.XLOOKUP(C53,'Mortality Tables'!$B$4:$B$124,_xlfn.XLOOKUP(mortality_table,'Mortality Tables'!$B$3:$G$3,'Mortality Tables'!$B$4:$G$124,0,0),0,0)</f>
        <v>1.3270000000000001E-3</v>
      </c>
      <c r="E53" s="2">
        <f t="shared" si="5"/>
        <v>0.99867300000000003</v>
      </c>
      <c r="F53" s="2">
        <f t="shared" si="10"/>
        <v>0.97390738540573007</v>
      </c>
      <c r="G53" s="2">
        <f t="shared" si="6"/>
        <v>1.2923751004334039E-3</v>
      </c>
      <c r="H53" s="2">
        <f t="shared" si="12"/>
        <v>0.1112965089161333</v>
      </c>
      <c r="I53" s="2">
        <f t="shared" si="13"/>
        <v>100000</v>
      </c>
      <c r="J53" s="3">
        <f t="shared" si="7"/>
        <v>14.3836836888375</v>
      </c>
      <c r="K53" s="2">
        <f t="shared" si="14"/>
        <v>0</v>
      </c>
      <c r="L53" s="2">
        <f t="shared" si="15"/>
        <v>0</v>
      </c>
      <c r="M53" s="4">
        <f t="shared" si="8"/>
        <v>0</v>
      </c>
    </row>
    <row r="54" spans="2:13" x14ac:dyDescent="0.35">
      <c r="B54" s="3">
        <f t="shared" si="9"/>
        <v>45</v>
      </c>
      <c r="C54" s="4">
        <f t="shared" si="11"/>
        <v>45</v>
      </c>
      <c r="D54" s="2" cm="1">
        <f t="array" ref="D54">_xlfn.XLOOKUP(C54,'Mortality Tables'!$B$4:$B$124,_xlfn.XLOOKUP(mortality_table,'Mortality Tables'!$B$3:$G$3,'Mortality Tables'!$B$4:$G$124,0,0),0,0)</f>
        <v>1.4649999999999999E-3</v>
      </c>
      <c r="E54" s="2">
        <f t="shared" si="5"/>
        <v>0.99853499999999995</v>
      </c>
      <c r="F54" s="2">
        <f t="shared" si="10"/>
        <v>0.97261501030529673</v>
      </c>
      <c r="G54" s="2">
        <f t="shared" si="6"/>
        <v>1.4248809900972597E-3</v>
      </c>
      <c r="H54" s="2">
        <f t="shared" si="12"/>
        <v>0.10599667515822221</v>
      </c>
      <c r="I54" s="2">
        <f t="shared" si="13"/>
        <v>100000</v>
      </c>
      <c r="J54" s="3">
        <f t="shared" si="7"/>
        <v>15.103264744646529</v>
      </c>
      <c r="K54" s="2">
        <f t="shared" si="14"/>
        <v>0</v>
      </c>
      <c r="L54" s="2">
        <f t="shared" si="15"/>
        <v>0</v>
      </c>
      <c r="M54" s="4">
        <f t="shared" si="8"/>
        <v>0</v>
      </c>
    </row>
    <row r="55" spans="2:13" x14ac:dyDescent="0.35">
      <c r="B55" s="3">
        <f t="shared" si="9"/>
        <v>46</v>
      </c>
      <c r="C55" s="4">
        <f t="shared" si="11"/>
        <v>46</v>
      </c>
      <c r="D55" s="2" cm="1">
        <f t="array" ref="D55">_xlfn.XLOOKUP(C55,'Mortality Tables'!$B$4:$B$124,_xlfn.XLOOKUP(mortality_table,'Mortality Tables'!$B$3:$G$3,'Mortality Tables'!$B$4:$G$124,0,0),0,0)</f>
        <v>1.622E-3</v>
      </c>
      <c r="E55" s="2">
        <f t="shared" si="5"/>
        <v>0.99837799999999999</v>
      </c>
      <c r="F55" s="2">
        <f t="shared" si="10"/>
        <v>0.97119012931519944</v>
      </c>
      <c r="G55" s="2">
        <f t="shared" si="6"/>
        <v>1.5752703897492534E-3</v>
      </c>
      <c r="H55" s="2">
        <f t="shared" si="12"/>
        <v>0.10094921443640208</v>
      </c>
      <c r="I55" s="2">
        <f t="shared" si="13"/>
        <v>100000</v>
      </c>
      <c r="J55" s="3">
        <f t="shared" si="7"/>
        <v>15.902230837011206</v>
      </c>
      <c r="K55" s="2">
        <f t="shared" si="14"/>
        <v>0</v>
      </c>
      <c r="L55" s="2">
        <f t="shared" si="15"/>
        <v>0</v>
      </c>
      <c r="M55" s="4">
        <f t="shared" si="8"/>
        <v>0</v>
      </c>
    </row>
    <row r="56" spans="2:13" x14ac:dyDescent="0.35">
      <c r="B56" s="3">
        <f t="shared" si="9"/>
        <v>47</v>
      </c>
      <c r="C56" s="4">
        <f t="shared" si="11"/>
        <v>47</v>
      </c>
      <c r="D56" s="2" cm="1">
        <f t="array" ref="D56">_xlfn.XLOOKUP(C56,'Mortality Tables'!$B$4:$B$124,_xlfn.XLOOKUP(mortality_table,'Mortality Tables'!$B$3:$G$3,'Mortality Tables'!$B$4:$G$124,0,0),0,0)</f>
        <v>1.802E-3</v>
      </c>
      <c r="E56" s="2">
        <f t="shared" si="5"/>
        <v>0.99819800000000003</v>
      </c>
      <c r="F56" s="2">
        <f t="shared" si="10"/>
        <v>0.96961485892545018</v>
      </c>
      <c r="G56" s="2">
        <f t="shared" si="6"/>
        <v>1.7472459757836613E-3</v>
      </c>
      <c r="H56" s="2">
        <f t="shared" si="12"/>
        <v>9.6142108987049613E-2</v>
      </c>
      <c r="I56" s="2">
        <f t="shared" si="13"/>
        <v>100000</v>
      </c>
      <c r="J56" s="3">
        <f t="shared" si="7"/>
        <v>16.798391303097659</v>
      </c>
      <c r="K56" s="2">
        <f t="shared" si="14"/>
        <v>0</v>
      </c>
      <c r="L56" s="2">
        <f t="shared" si="15"/>
        <v>0</v>
      </c>
      <c r="M56" s="4">
        <f t="shared" si="8"/>
        <v>0</v>
      </c>
    </row>
    <row r="57" spans="2:13" x14ac:dyDescent="0.35">
      <c r="B57" s="3">
        <f t="shared" si="9"/>
        <v>48</v>
      </c>
      <c r="C57" s="4">
        <f t="shared" si="11"/>
        <v>48</v>
      </c>
      <c r="D57" s="2" cm="1">
        <f t="array" ref="D57">_xlfn.XLOOKUP(C57,'Mortality Tables'!$B$4:$B$124,_xlfn.XLOOKUP(mortality_table,'Mortality Tables'!$B$3:$G$3,'Mortality Tables'!$B$4:$G$124,0,0),0,0)</f>
        <v>2.0079999999999998E-3</v>
      </c>
      <c r="E57" s="2">
        <f t="shared" si="5"/>
        <v>0.99799199999999999</v>
      </c>
      <c r="F57" s="2">
        <f t="shared" si="10"/>
        <v>0.9678676129496665</v>
      </c>
      <c r="G57" s="2">
        <f t="shared" si="6"/>
        <v>1.9434781668029302E-3</v>
      </c>
      <c r="H57" s="2">
        <f t="shared" si="12"/>
        <v>9.1563913320999626E-2</v>
      </c>
      <c r="I57" s="2">
        <f t="shared" si="13"/>
        <v>100000</v>
      </c>
      <c r="J57" s="3">
        <f t="shared" si="7"/>
        <v>17.795246640639878</v>
      </c>
      <c r="K57" s="2">
        <f t="shared" si="14"/>
        <v>0</v>
      </c>
      <c r="L57" s="2">
        <f t="shared" si="15"/>
        <v>0</v>
      </c>
      <c r="M57" s="4">
        <f t="shared" si="8"/>
        <v>0</v>
      </c>
    </row>
    <row r="58" spans="2:13" x14ac:dyDescent="0.35">
      <c r="B58" s="3">
        <f t="shared" si="9"/>
        <v>49</v>
      </c>
      <c r="C58" s="4">
        <f t="shared" si="11"/>
        <v>49</v>
      </c>
      <c r="D58" s="2" cm="1">
        <f t="array" ref="D58">_xlfn.XLOOKUP(C58,'Mortality Tables'!$B$4:$B$124,_xlfn.XLOOKUP(mortality_table,'Mortality Tables'!$B$3:$G$3,'Mortality Tables'!$B$4:$G$124,0,0),0,0)</f>
        <v>2.2409999999999999E-3</v>
      </c>
      <c r="E58" s="2">
        <f t="shared" si="5"/>
        <v>0.99775899999999995</v>
      </c>
      <c r="F58" s="2">
        <f t="shared" si="10"/>
        <v>0.96592413478286354</v>
      </c>
      <c r="G58" s="2">
        <f t="shared" si="6"/>
        <v>2.1646359860483973E-3</v>
      </c>
      <c r="H58" s="2">
        <f t="shared" si="12"/>
        <v>8.7203726972380588E-2</v>
      </c>
      <c r="I58" s="2">
        <f t="shared" si="13"/>
        <v>100000</v>
      </c>
      <c r="J58" s="3">
        <f t="shared" si="7"/>
        <v>18.876432552195425</v>
      </c>
      <c r="K58" s="2">
        <f t="shared" si="14"/>
        <v>0</v>
      </c>
      <c r="L58" s="2">
        <f t="shared" si="15"/>
        <v>0</v>
      </c>
      <c r="M58" s="4">
        <f t="shared" si="8"/>
        <v>0</v>
      </c>
    </row>
    <row r="59" spans="2:13" x14ac:dyDescent="0.35">
      <c r="B59" s="3">
        <f t="shared" si="9"/>
        <v>50</v>
      </c>
      <c r="C59" s="4">
        <f t="shared" si="11"/>
        <v>50</v>
      </c>
      <c r="D59" s="2" cm="1">
        <f t="array" ref="D59">_xlfn.XLOOKUP(C59,'Mortality Tables'!$B$4:$B$124,_xlfn.XLOOKUP(mortality_table,'Mortality Tables'!$B$3:$G$3,'Mortality Tables'!$B$4:$G$124,0,0),0,0)</f>
        <v>2.5079999999999998E-3</v>
      </c>
      <c r="E59" s="2">
        <f t="shared" si="5"/>
        <v>0.99749200000000005</v>
      </c>
      <c r="F59" s="2">
        <f t="shared" si="10"/>
        <v>0.96375949879681511</v>
      </c>
      <c r="G59" s="2">
        <f t="shared" si="6"/>
        <v>2.4171088229824121E-3</v>
      </c>
      <c r="H59" s="2">
        <f t="shared" si="12"/>
        <v>8.3051168545124371E-2</v>
      </c>
      <c r="I59" s="2">
        <f t="shared" si="13"/>
        <v>100000</v>
      </c>
      <c r="J59" s="3">
        <f t="shared" si="7"/>
        <v>20.074371224941949</v>
      </c>
      <c r="K59" s="2">
        <f t="shared" si="14"/>
        <v>0</v>
      </c>
      <c r="L59" s="2">
        <f t="shared" si="15"/>
        <v>0</v>
      </c>
      <c r="M59" s="4">
        <f t="shared" si="8"/>
        <v>0</v>
      </c>
    </row>
    <row r="60" spans="2:13" x14ac:dyDescent="0.35">
      <c r="B60" s="3">
        <f t="shared" si="9"/>
        <v>51</v>
      </c>
      <c r="C60" s="4">
        <f t="shared" si="11"/>
        <v>51</v>
      </c>
      <c r="D60" s="2" cm="1">
        <f t="array" ref="D60">_xlfn.XLOOKUP(C60,'Mortality Tables'!$B$4:$B$124,_xlfn.XLOOKUP(mortality_table,'Mortality Tables'!$B$3:$G$3,'Mortality Tables'!$B$4:$G$124,0,0),0,0)</f>
        <v>2.8089999999999999E-3</v>
      </c>
      <c r="E60" s="2">
        <f t="shared" si="5"/>
        <v>0.99719100000000005</v>
      </c>
      <c r="F60" s="2">
        <f t="shared" si="10"/>
        <v>0.9613423899738327</v>
      </c>
      <c r="G60" s="2">
        <f t="shared" si="6"/>
        <v>2.7004107734364957E-3</v>
      </c>
      <c r="H60" s="2">
        <f t="shared" si="12"/>
        <v>7.9096350995356543E-2</v>
      </c>
      <c r="I60" s="2">
        <f t="shared" si="13"/>
        <v>100000</v>
      </c>
      <c r="J60" s="3">
        <f t="shared" si="7"/>
        <v>21.359263836737529</v>
      </c>
      <c r="K60" s="2">
        <f t="shared" si="14"/>
        <v>0</v>
      </c>
      <c r="L60" s="2">
        <f t="shared" si="15"/>
        <v>0</v>
      </c>
      <c r="M60" s="4">
        <f t="shared" si="8"/>
        <v>0</v>
      </c>
    </row>
    <row r="61" spans="2:13" x14ac:dyDescent="0.35">
      <c r="B61" s="3">
        <f t="shared" si="9"/>
        <v>52</v>
      </c>
      <c r="C61" s="4">
        <f t="shared" si="11"/>
        <v>52</v>
      </c>
      <c r="D61" s="2" cm="1">
        <f t="array" ref="D61">_xlfn.XLOOKUP(C61,'Mortality Tables'!$B$4:$B$124,_xlfn.XLOOKUP(mortality_table,'Mortality Tables'!$B$3:$G$3,'Mortality Tables'!$B$4:$G$124,0,0),0,0)</f>
        <v>3.1519999999999999E-3</v>
      </c>
      <c r="E61" s="2">
        <f t="shared" si="5"/>
        <v>0.99684799999999996</v>
      </c>
      <c r="F61" s="2">
        <f t="shared" si="10"/>
        <v>0.95864197920039629</v>
      </c>
      <c r="G61" s="2">
        <f t="shared" si="6"/>
        <v>3.0216395184396489E-3</v>
      </c>
      <c r="H61" s="2">
        <f t="shared" si="12"/>
        <v>7.5329858090815757E-2</v>
      </c>
      <c r="I61" s="2">
        <f t="shared" si="13"/>
        <v>100000</v>
      </c>
      <c r="J61" s="3">
        <f t="shared" si="7"/>
        <v>22.761967612565961</v>
      </c>
      <c r="K61" s="2">
        <f t="shared" si="14"/>
        <v>0</v>
      </c>
      <c r="L61" s="2">
        <f t="shared" si="15"/>
        <v>0</v>
      </c>
      <c r="M61" s="4">
        <f t="shared" si="8"/>
        <v>0</v>
      </c>
    </row>
    <row r="62" spans="2:13" x14ac:dyDescent="0.35">
      <c r="B62" s="3">
        <f t="shared" si="9"/>
        <v>53</v>
      </c>
      <c r="C62" s="4">
        <f t="shared" si="11"/>
        <v>53</v>
      </c>
      <c r="D62" s="2" cm="1">
        <f t="array" ref="D62">_xlfn.XLOOKUP(C62,'Mortality Tables'!$B$4:$B$124,_xlfn.XLOOKUP(mortality_table,'Mortality Tables'!$B$3:$G$3,'Mortality Tables'!$B$4:$G$124,0,0),0,0)</f>
        <v>3.539E-3</v>
      </c>
      <c r="E62" s="2">
        <f t="shared" si="5"/>
        <v>0.99646100000000004</v>
      </c>
      <c r="F62" s="2">
        <f t="shared" si="10"/>
        <v>0.95562033968195659</v>
      </c>
      <c r="G62" s="2">
        <f t="shared" si="6"/>
        <v>3.3819403821344443E-3</v>
      </c>
      <c r="H62" s="2">
        <f t="shared" si="12"/>
        <v>7.1742721991253117E-2</v>
      </c>
      <c r="I62" s="2">
        <f t="shared" si="13"/>
        <v>100000</v>
      </c>
      <c r="J62" s="3">
        <f t="shared" si="7"/>
        <v>24.262960862646377</v>
      </c>
      <c r="K62" s="2">
        <f t="shared" si="14"/>
        <v>0</v>
      </c>
      <c r="L62" s="2">
        <f t="shared" si="15"/>
        <v>0</v>
      </c>
      <c r="M62" s="4">
        <f t="shared" si="8"/>
        <v>0</v>
      </c>
    </row>
    <row r="63" spans="2:13" x14ac:dyDescent="0.35">
      <c r="B63" s="3">
        <f t="shared" si="9"/>
        <v>54</v>
      </c>
      <c r="C63" s="4">
        <f t="shared" si="11"/>
        <v>54</v>
      </c>
      <c r="D63" s="2" cm="1">
        <f t="array" ref="D63">_xlfn.XLOOKUP(C63,'Mortality Tables'!$B$4:$B$124,_xlfn.XLOOKUP(mortality_table,'Mortality Tables'!$B$3:$G$3,'Mortality Tables'!$B$4:$G$124,0,0),0,0)</f>
        <v>3.9760000000000004E-3</v>
      </c>
      <c r="E63" s="2">
        <f t="shared" si="5"/>
        <v>0.99602400000000002</v>
      </c>
      <c r="F63" s="2">
        <f t="shared" si="10"/>
        <v>0.95223839929982224</v>
      </c>
      <c r="G63" s="2">
        <f t="shared" si="6"/>
        <v>3.7860998756160938E-3</v>
      </c>
      <c r="H63" s="2">
        <f t="shared" si="12"/>
        <v>6.8326401896431521E-2</v>
      </c>
      <c r="I63" s="2">
        <f t="shared" si="13"/>
        <v>100000</v>
      </c>
      <c r="J63" s="3">
        <f t="shared" si="7"/>
        <v>25.869058172137464</v>
      </c>
      <c r="K63" s="2">
        <f t="shared" si="14"/>
        <v>0</v>
      </c>
      <c r="L63" s="2">
        <f t="shared" si="15"/>
        <v>0</v>
      </c>
      <c r="M63" s="4">
        <f t="shared" si="8"/>
        <v>0</v>
      </c>
    </row>
    <row r="64" spans="2:13" x14ac:dyDescent="0.35">
      <c r="B64" s="3">
        <f t="shared" si="9"/>
        <v>55</v>
      </c>
      <c r="C64" s="4">
        <f t="shared" si="11"/>
        <v>55</v>
      </c>
      <c r="D64" s="2" cm="1">
        <f t="array" ref="D64">_xlfn.XLOOKUP(C64,'Mortality Tables'!$B$4:$B$124,_xlfn.XLOOKUP(mortality_table,'Mortality Tables'!$B$3:$G$3,'Mortality Tables'!$B$4:$G$124,0,0),0,0)</f>
        <v>4.4689999999999999E-3</v>
      </c>
      <c r="E64" s="2">
        <f t="shared" si="5"/>
        <v>0.99553100000000005</v>
      </c>
      <c r="F64" s="2">
        <f t="shared" si="10"/>
        <v>0.94845229942420617</v>
      </c>
      <c r="G64" s="2">
        <f t="shared" si="6"/>
        <v>4.238633326126777E-3</v>
      </c>
      <c r="H64" s="2">
        <f t="shared" si="12"/>
        <v>6.5072763710887174E-2</v>
      </c>
      <c r="I64" s="2">
        <f t="shared" si="13"/>
        <v>100000</v>
      </c>
      <c r="J64" s="3">
        <f t="shared" si="7"/>
        <v>27.581958488813957</v>
      </c>
      <c r="K64" s="2">
        <f t="shared" si="14"/>
        <v>0</v>
      </c>
      <c r="L64" s="2">
        <f t="shared" si="15"/>
        <v>0</v>
      </c>
      <c r="M64" s="4">
        <f t="shared" si="8"/>
        <v>0</v>
      </c>
    </row>
    <row r="65" spans="2:13" x14ac:dyDescent="0.35">
      <c r="B65" s="3">
        <f t="shared" si="9"/>
        <v>56</v>
      </c>
      <c r="C65" s="4">
        <f t="shared" si="11"/>
        <v>56</v>
      </c>
      <c r="D65" s="2" cm="1">
        <f t="array" ref="D65">_xlfn.XLOOKUP(C65,'Mortality Tables'!$B$4:$B$124,_xlfn.XLOOKUP(mortality_table,'Mortality Tables'!$B$3:$G$3,'Mortality Tables'!$B$4:$G$124,0,0),0,0)</f>
        <v>5.025E-3</v>
      </c>
      <c r="E65" s="2">
        <f t="shared" si="5"/>
        <v>0.99497500000000005</v>
      </c>
      <c r="F65" s="2">
        <f t="shared" si="10"/>
        <v>0.94421366609807944</v>
      </c>
      <c r="G65" s="2">
        <f t="shared" si="6"/>
        <v>4.7446736721428488E-3</v>
      </c>
      <c r="H65" s="2">
        <f t="shared" si="12"/>
        <v>6.1974060677035397E-2</v>
      </c>
      <c r="I65" s="2">
        <f t="shared" si="13"/>
        <v>100000</v>
      </c>
      <c r="J65" s="3">
        <f t="shared" si="7"/>
        <v>29.40466940501133</v>
      </c>
      <c r="K65" s="2">
        <f t="shared" si="14"/>
        <v>0</v>
      </c>
      <c r="L65" s="2">
        <f t="shared" si="15"/>
        <v>0</v>
      </c>
      <c r="M65" s="4">
        <f t="shared" si="8"/>
        <v>0</v>
      </c>
    </row>
    <row r="66" spans="2:13" x14ac:dyDescent="0.35">
      <c r="B66" s="3">
        <f t="shared" si="9"/>
        <v>57</v>
      </c>
      <c r="C66" s="4">
        <f t="shared" si="11"/>
        <v>57</v>
      </c>
      <c r="D66" s="2" cm="1">
        <f t="array" ref="D66">_xlfn.XLOOKUP(C66,'Mortality Tables'!$B$4:$B$124,_xlfn.XLOOKUP(mortality_table,'Mortality Tables'!$B$3:$G$3,'Mortality Tables'!$B$4:$G$124,0,0),0,0)</f>
        <v>5.6499999999999996E-3</v>
      </c>
      <c r="E66" s="2">
        <f t="shared" si="5"/>
        <v>0.99434999999999996</v>
      </c>
      <c r="F66" s="2">
        <f t="shared" si="10"/>
        <v>0.93946899242593662</v>
      </c>
      <c r="G66" s="2">
        <f t="shared" si="6"/>
        <v>5.3079998072065419E-3</v>
      </c>
      <c r="H66" s="2">
        <f t="shared" si="12"/>
        <v>5.9022914930509894E-2</v>
      </c>
      <c r="I66" s="2">
        <f t="shared" si="13"/>
        <v>100000</v>
      </c>
      <c r="J66" s="3">
        <f t="shared" si="7"/>
        <v>31.329362107191461</v>
      </c>
      <c r="K66" s="2">
        <f t="shared" si="14"/>
        <v>0</v>
      </c>
      <c r="L66" s="2">
        <f t="shared" si="15"/>
        <v>0</v>
      </c>
      <c r="M66" s="4">
        <f t="shared" si="8"/>
        <v>0</v>
      </c>
    </row>
    <row r="67" spans="2:13" x14ac:dyDescent="0.35">
      <c r="B67" s="3">
        <f t="shared" si="9"/>
        <v>58</v>
      </c>
      <c r="C67" s="4">
        <f t="shared" si="11"/>
        <v>58</v>
      </c>
      <c r="D67" s="2" cm="1">
        <f t="array" ref="D67">_xlfn.XLOOKUP(C67,'Mortality Tables'!$B$4:$B$124,_xlfn.XLOOKUP(mortality_table,'Mortality Tables'!$B$3:$G$3,'Mortality Tables'!$B$4:$G$124,0,0),0,0)</f>
        <v>6.352E-3</v>
      </c>
      <c r="E67" s="2">
        <f t="shared" si="5"/>
        <v>0.99364799999999998</v>
      </c>
      <c r="F67" s="2">
        <f t="shared" si="10"/>
        <v>0.93416099261873009</v>
      </c>
      <c r="G67" s="2">
        <f t="shared" si="6"/>
        <v>5.9337906251141735E-3</v>
      </c>
      <c r="H67" s="2">
        <f t="shared" si="12"/>
        <v>5.6212299933818946E-2</v>
      </c>
      <c r="I67" s="2">
        <f t="shared" si="13"/>
        <v>100000</v>
      </c>
      <c r="J67" s="3">
        <f t="shared" si="7"/>
        <v>33.355201836340093</v>
      </c>
      <c r="K67" s="2">
        <f t="shared" si="14"/>
        <v>0</v>
      </c>
      <c r="L67" s="2">
        <f t="shared" si="15"/>
        <v>0</v>
      </c>
      <c r="M67" s="4">
        <f t="shared" si="8"/>
        <v>0</v>
      </c>
    </row>
    <row r="68" spans="2:13" x14ac:dyDescent="0.35">
      <c r="B68" s="3">
        <f t="shared" si="9"/>
        <v>59</v>
      </c>
      <c r="C68" s="4">
        <f t="shared" si="11"/>
        <v>59</v>
      </c>
      <c r="D68" s="2" cm="1">
        <f t="array" ref="D68">_xlfn.XLOOKUP(C68,'Mortality Tables'!$B$4:$B$124,_xlfn.XLOOKUP(mortality_table,'Mortality Tables'!$B$3:$G$3,'Mortality Tables'!$B$4:$G$124,0,0),0,0)</f>
        <v>7.1399999999999996E-3</v>
      </c>
      <c r="E68" s="2">
        <f t="shared" si="5"/>
        <v>0.99285999999999996</v>
      </c>
      <c r="F68" s="2">
        <f t="shared" si="10"/>
        <v>0.92822720199361586</v>
      </c>
      <c r="G68" s="2">
        <f t="shared" si="6"/>
        <v>6.6275422222344168E-3</v>
      </c>
      <c r="H68" s="2">
        <f t="shared" si="12"/>
        <v>5.3535523746494243E-2</v>
      </c>
      <c r="I68" s="2">
        <f t="shared" si="13"/>
        <v>100000</v>
      </c>
      <c r="J68" s="3">
        <f t="shared" si="7"/>
        <v>35.480894401932382</v>
      </c>
      <c r="K68" s="2">
        <f t="shared" si="14"/>
        <v>0</v>
      </c>
      <c r="L68" s="2">
        <f t="shared" si="15"/>
        <v>0</v>
      </c>
      <c r="M68" s="4">
        <f t="shared" si="8"/>
        <v>0</v>
      </c>
    </row>
    <row r="69" spans="2:13" x14ac:dyDescent="0.35">
      <c r="B69" s="3">
        <f t="shared" si="9"/>
        <v>60</v>
      </c>
      <c r="C69" s="4">
        <f t="shared" si="11"/>
        <v>60</v>
      </c>
      <c r="D69" s="2" cm="1">
        <f t="array" ref="D69">_xlfn.XLOOKUP(C69,'Mortality Tables'!$B$4:$B$124,_xlfn.XLOOKUP(mortality_table,'Mortality Tables'!$B$3:$G$3,'Mortality Tables'!$B$4:$G$124,0,0),0,0)</f>
        <v>8.0219999999999996E-3</v>
      </c>
      <c r="E69" s="2">
        <f t="shared" si="5"/>
        <v>0.99197800000000003</v>
      </c>
      <c r="F69" s="2">
        <f t="shared" si="10"/>
        <v>0.92159965977138136</v>
      </c>
      <c r="G69" s="2">
        <f t="shared" si="6"/>
        <v>7.3930724706860211E-3</v>
      </c>
      <c r="H69" s="2">
        <f t="shared" si="12"/>
        <v>5.0986213091899268E-2</v>
      </c>
      <c r="I69" s="2">
        <f t="shared" si="13"/>
        <v>100000</v>
      </c>
      <c r="J69" s="3">
        <f t="shared" si="7"/>
        <v>37.694476839425171</v>
      </c>
      <c r="K69" s="2">
        <f t="shared" si="14"/>
        <v>0</v>
      </c>
      <c r="L69" s="2">
        <f t="shared" si="15"/>
        <v>0</v>
      </c>
      <c r="M69" s="4">
        <f t="shared" si="8"/>
        <v>0</v>
      </c>
    </row>
    <row r="70" spans="2:13" x14ac:dyDescent="0.35">
      <c r="B70" s="3">
        <f t="shared" si="9"/>
        <v>61</v>
      </c>
      <c r="C70" s="4">
        <f t="shared" si="11"/>
        <v>61</v>
      </c>
      <c r="D70" s="2" cm="1">
        <f t="array" ref="D70">_xlfn.XLOOKUP(C70,'Mortality Tables'!$B$4:$B$124,_xlfn.XLOOKUP(mortality_table,'Mortality Tables'!$B$3:$G$3,'Mortality Tables'!$B$4:$G$124,0,0),0,0)</f>
        <v>9.0089999999999996E-3</v>
      </c>
      <c r="E70" s="2">
        <f t="shared" si="5"/>
        <v>0.99099099999999996</v>
      </c>
      <c r="F70" s="2">
        <f t="shared" si="10"/>
        <v>0.91420658730069537</v>
      </c>
      <c r="G70" s="2">
        <f t="shared" si="6"/>
        <v>8.2360871449919642E-3</v>
      </c>
      <c r="H70" s="2">
        <f t="shared" si="12"/>
        <v>4.855829818276123E-2</v>
      </c>
      <c r="I70" s="2">
        <f t="shared" si="13"/>
        <v>100000</v>
      </c>
      <c r="J70" s="3">
        <f t="shared" si="7"/>
        <v>39.993037544572644</v>
      </c>
      <c r="K70" s="2">
        <f t="shared" si="14"/>
        <v>0</v>
      </c>
      <c r="L70" s="2">
        <f t="shared" si="15"/>
        <v>0</v>
      </c>
      <c r="M70" s="4">
        <f t="shared" si="8"/>
        <v>0</v>
      </c>
    </row>
    <row r="71" spans="2:13" x14ac:dyDescent="0.35">
      <c r="B71" s="3">
        <f t="shared" si="9"/>
        <v>62</v>
      </c>
      <c r="C71" s="4">
        <f t="shared" si="11"/>
        <v>62</v>
      </c>
      <c r="D71" s="2" cm="1">
        <f t="array" ref="D71">_xlfn.XLOOKUP(C71,'Mortality Tables'!$B$4:$B$124,_xlfn.XLOOKUP(mortality_table,'Mortality Tables'!$B$3:$G$3,'Mortality Tables'!$B$4:$G$124,0,0),0,0)</f>
        <v>1.0111999999999999E-2</v>
      </c>
      <c r="E71" s="2">
        <f t="shared" si="5"/>
        <v>0.98988799999999999</v>
      </c>
      <c r="F71" s="2">
        <f t="shared" si="10"/>
        <v>0.90597050015570335</v>
      </c>
      <c r="G71" s="2">
        <f t="shared" si="6"/>
        <v>9.161173697574472E-3</v>
      </c>
      <c r="H71" s="2">
        <f t="shared" si="12"/>
        <v>4.6245998269296387E-2</v>
      </c>
      <c r="I71" s="2">
        <f t="shared" si="13"/>
        <v>100000</v>
      </c>
      <c r="J71" s="3">
        <f t="shared" si="7"/>
        <v>42.366762296275262</v>
      </c>
      <c r="K71" s="2">
        <f t="shared" si="14"/>
        <v>0</v>
      </c>
      <c r="L71" s="2">
        <f t="shared" si="15"/>
        <v>0</v>
      </c>
      <c r="M71" s="4">
        <f t="shared" si="8"/>
        <v>0</v>
      </c>
    </row>
    <row r="72" spans="2:13" x14ac:dyDescent="0.35">
      <c r="B72" s="3">
        <f t="shared" si="9"/>
        <v>63</v>
      </c>
      <c r="C72" s="4">
        <f t="shared" si="11"/>
        <v>63</v>
      </c>
      <c r="D72" s="2" cm="1">
        <f t="array" ref="D72">_xlfn.XLOOKUP(C72,'Mortality Tables'!$B$4:$B$124,_xlfn.XLOOKUP(mortality_table,'Mortality Tables'!$B$3:$G$3,'Mortality Tables'!$B$4:$G$124,0,0),0,0)</f>
        <v>1.1344E-2</v>
      </c>
      <c r="E72" s="2">
        <f t="shared" si="5"/>
        <v>0.98865599999999998</v>
      </c>
      <c r="F72" s="2">
        <f t="shared" si="10"/>
        <v>0.89680932645812883</v>
      </c>
      <c r="G72" s="2">
        <f t="shared" si="6"/>
        <v>1.0173404999341013E-2</v>
      </c>
      <c r="H72" s="2">
        <f t="shared" si="12"/>
        <v>4.4043807875520369E-2</v>
      </c>
      <c r="I72" s="2">
        <f t="shared" si="13"/>
        <v>100000</v>
      </c>
      <c r="J72" s="3">
        <f t="shared" si="7"/>
        <v>44.807549523083402</v>
      </c>
      <c r="K72" s="2">
        <f t="shared" si="14"/>
        <v>0</v>
      </c>
      <c r="L72" s="2">
        <f t="shared" si="15"/>
        <v>0</v>
      </c>
      <c r="M72" s="4">
        <f t="shared" si="8"/>
        <v>0</v>
      </c>
    </row>
    <row r="73" spans="2:13" x14ac:dyDescent="0.35">
      <c r="B73" s="3">
        <f t="shared" si="9"/>
        <v>64</v>
      </c>
      <c r="C73" s="4">
        <f t="shared" ref="C73:C104" si="16">IF($C$4+B73&lt;=$F$4,$C$4+B73)</f>
        <v>64</v>
      </c>
      <c r="D73" s="2" cm="1">
        <f t="array" ref="D73">_xlfn.XLOOKUP(C73,'Mortality Tables'!$B$4:$B$124,_xlfn.XLOOKUP(mortality_table,'Mortality Tables'!$B$3:$G$3,'Mortality Tables'!$B$4:$G$124,0,0),0,0)</f>
        <v>1.2716E-2</v>
      </c>
      <c r="E73" s="2">
        <f t="shared" si="5"/>
        <v>0.98728400000000005</v>
      </c>
      <c r="F73" s="2">
        <f t="shared" si="10"/>
        <v>0.88663592145878778</v>
      </c>
      <c r="G73" s="2">
        <f t="shared" si="6"/>
        <v>1.1274462377269945E-2</v>
      </c>
      <c r="H73" s="2">
        <f t="shared" ref="H73:H104" si="17">(1+interest_rate)^-(B73+1)</f>
        <v>4.1946483690971779E-2</v>
      </c>
      <c r="I73" s="2">
        <f t="shared" ref="I73:I104" si="18">sum_assured</f>
        <v>100000</v>
      </c>
      <c r="J73" s="3">
        <f t="shared" si="7"/>
        <v>47.292405223262868</v>
      </c>
      <c r="K73" s="2">
        <f t="shared" ref="K73:K104" si="19">IF(B73&lt;&gt;term_of_coverage,0,F73*H73*I73*(1+interest_rate))</f>
        <v>0</v>
      </c>
      <c r="L73" s="2">
        <f t="shared" ref="L73:L104" si="20">IF(B73&lt;term_of_coverage,PRODUCT(G73:I73),0)</f>
        <v>0</v>
      </c>
      <c r="M73" s="4">
        <f t="shared" si="8"/>
        <v>0</v>
      </c>
    </row>
    <row r="74" spans="2:13" x14ac:dyDescent="0.35">
      <c r="B74" s="3">
        <f t="shared" si="9"/>
        <v>65</v>
      </c>
      <c r="C74" s="4">
        <f t="shared" si="16"/>
        <v>65</v>
      </c>
      <c r="D74" s="2" cm="1">
        <f t="array" ref="D74">_xlfn.XLOOKUP(C74,'Mortality Tables'!$B$4:$B$124,_xlfn.XLOOKUP(mortality_table,'Mortality Tables'!$B$3:$G$3,'Mortality Tables'!$B$4:$G$124,0,0),0,0)</f>
        <v>1.4243E-2</v>
      </c>
      <c r="E74" s="2">
        <f t="shared" ref="E74:E129" si="21">1-D74</f>
        <v>0.98575699999999999</v>
      </c>
      <c r="F74" s="2">
        <f t="shared" si="10"/>
        <v>0.87536145908151786</v>
      </c>
      <c r="G74" s="2">
        <f t="shared" ref="G74:G129" si="22">D74*F74</f>
        <v>1.2467773261698059E-2</v>
      </c>
      <c r="H74" s="2">
        <f t="shared" si="17"/>
        <v>3.9949032086639788E-2</v>
      </c>
      <c r="I74" s="2">
        <f t="shared" si="18"/>
        <v>100000</v>
      </c>
      <c r="J74" s="3">
        <f t="shared" ref="J74:J129" si="23">_xlfn.IFNA(PRODUCT(G74:I74),0)</f>
        <v>49.807547408052535</v>
      </c>
      <c r="K74" s="2">
        <f t="shared" si="19"/>
        <v>0</v>
      </c>
      <c r="L74" s="2">
        <f t="shared" si="20"/>
        <v>0</v>
      </c>
      <c r="M74" s="4">
        <f t="shared" ref="M74:M129" si="24">K74+L74</f>
        <v>0</v>
      </c>
    </row>
    <row r="75" spans="2:13" x14ac:dyDescent="0.35">
      <c r="B75" s="3">
        <f t="shared" ref="B75:B129" si="25">B74+1</f>
        <v>66</v>
      </c>
      <c r="C75" s="4">
        <f t="shared" si="16"/>
        <v>66</v>
      </c>
      <c r="D75" s="2" cm="1">
        <f t="array" ref="D75">_xlfn.XLOOKUP(C75,'Mortality Tables'!$B$4:$B$124,_xlfn.XLOOKUP(mortality_table,'Mortality Tables'!$B$3:$G$3,'Mortality Tables'!$B$4:$G$124,0,0),0,0)</f>
        <v>1.5939999999999999E-2</v>
      </c>
      <c r="E75" s="2">
        <f t="shared" si="21"/>
        <v>0.98406000000000005</v>
      </c>
      <c r="F75" s="2">
        <f t="shared" ref="F75:F101" si="26">E74*F74</f>
        <v>0.86289368581981984</v>
      </c>
      <c r="G75" s="2">
        <f t="shared" si="22"/>
        <v>1.3754525351967927E-2</v>
      </c>
      <c r="H75" s="2">
        <f t="shared" si="17"/>
        <v>3.8046697225371226E-2</v>
      </c>
      <c r="I75" s="2">
        <f t="shared" si="18"/>
        <v>100000</v>
      </c>
      <c r="J75" s="3">
        <f t="shared" si="23"/>
        <v>52.331426154501628</v>
      </c>
      <c r="K75" s="2">
        <f t="shared" si="19"/>
        <v>0</v>
      </c>
      <c r="L75" s="2">
        <f t="shared" si="20"/>
        <v>0</v>
      </c>
      <c r="M75" s="4">
        <f t="shared" si="24"/>
        <v>0</v>
      </c>
    </row>
    <row r="76" spans="2:13" x14ac:dyDescent="0.35">
      <c r="B76" s="3">
        <f t="shared" si="25"/>
        <v>67</v>
      </c>
      <c r="C76" s="4">
        <f t="shared" si="16"/>
        <v>67</v>
      </c>
      <c r="D76" s="2" cm="1">
        <f t="array" ref="D76">_xlfn.XLOOKUP(C76,'Mortality Tables'!$B$4:$B$124,_xlfn.XLOOKUP(mortality_table,'Mortality Tables'!$B$3:$G$3,'Mortality Tables'!$B$4:$G$124,0,0),0,0)</f>
        <v>1.7824E-2</v>
      </c>
      <c r="E76" s="2">
        <f t="shared" si="21"/>
        <v>0.98217600000000005</v>
      </c>
      <c r="F76" s="2">
        <f t="shared" si="26"/>
        <v>0.84913916046785198</v>
      </c>
      <c r="G76" s="2">
        <f t="shared" si="22"/>
        <v>1.5135056396178993E-2</v>
      </c>
      <c r="H76" s="2">
        <f t="shared" si="17"/>
        <v>3.6234949738448791E-2</v>
      </c>
      <c r="I76" s="2">
        <f t="shared" si="18"/>
        <v>100000</v>
      </c>
      <c r="J76" s="3">
        <f t="shared" si="23"/>
        <v>54.841800780413372</v>
      </c>
      <c r="K76" s="2">
        <f t="shared" si="19"/>
        <v>0</v>
      </c>
      <c r="L76" s="2">
        <f t="shared" si="20"/>
        <v>0</v>
      </c>
      <c r="M76" s="4">
        <f t="shared" si="24"/>
        <v>0</v>
      </c>
    </row>
    <row r="77" spans="2:13" x14ac:dyDescent="0.35">
      <c r="B77" s="3">
        <f t="shared" si="25"/>
        <v>68</v>
      </c>
      <c r="C77" s="4">
        <f t="shared" si="16"/>
        <v>68</v>
      </c>
      <c r="D77" s="2" cm="1">
        <f t="array" ref="D77">_xlfn.XLOOKUP(C77,'Mortality Tables'!$B$4:$B$124,_xlfn.XLOOKUP(mortality_table,'Mortality Tables'!$B$3:$G$3,'Mortality Tables'!$B$4:$G$124,0,0),0,0)</f>
        <v>1.9913E-2</v>
      </c>
      <c r="E77" s="2">
        <f t="shared" si="21"/>
        <v>0.98008700000000004</v>
      </c>
      <c r="F77" s="2">
        <f t="shared" si="26"/>
        <v>0.83400410407167302</v>
      </c>
      <c r="G77" s="2">
        <f t="shared" si="22"/>
        <v>1.6607523724379226E-2</v>
      </c>
      <c r="H77" s="2">
        <f t="shared" si="17"/>
        <v>3.4509475941379798E-2</v>
      </c>
      <c r="I77" s="2">
        <f t="shared" si="18"/>
        <v>100000</v>
      </c>
      <c r="J77" s="3">
        <f t="shared" si="23"/>
        <v>57.31169404123591</v>
      </c>
      <c r="K77" s="2">
        <f t="shared" si="19"/>
        <v>0</v>
      </c>
      <c r="L77" s="2">
        <f t="shared" si="20"/>
        <v>0</v>
      </c>
      <c r="M77" s="4">
        <f t="shared" si="24"/>
        <v>0</v>
      </c>
    </row>
    <row r="78" spans="2:13" x14ac:dyDescent="0.35">
      <c r="B78" s="3">
        <f t="shared" si="25"/>
        <v>69</v>
      </c>
      <c r="C78" s="4">
        <f t="shared" si="16"/>
        <v>69</v>
      </c>
      <c r="D78" s="2" cm="1">
        <f t="array" ref="D78">_xlfn.XLOOKUP(C78,'Mortality Tables'!$B$4:$B$124,_xlfn.XLOOKUP(mortality_table,'Mortality Tables'!$B$3:$G$3,'Mortality Tables'!$B$4:$G$124,0,0),0,0)</f>
        <v>2.2225999999999999E-2</v>
      </c>
      <c r="E78" s="2">
        <f t="shared" si="21"/>
        <v>0.97777400000000003</v>
      </c>
      <c r="F78" s="2">
        <f t="shared" si="26"/>
        <v>0.81739658034729379</v>
      </c>
      <c r="G78" s="2">
        <f t="shared" si="22"/>
        <v>1.8167456394798952E-2</v>
      </c>
      <c r="H78" s="2">
        <f t="shared" si="17"/>
        <v>3.2866167563218862E-2</v>
      </c>
      <c r="I78" s="2">
        <f t="shared" si="18"/>
        <v>100000</v>
      </c>
      <c r="J78" s="3">
        <f t="shared" si="23"/>
        <v>59.709466606893443</v>
      </c>
      <c r="K78" s="2">
        <f t="shared" si="19"/>
        <v>0</v>
      </c>
      <c r="L78" s="2">
        <f t="shared" si="20"/>
        <v>0</v>
      </c>
      <c r="M78" s="4">
        <f t="shared" si="24"/>
        <v>0</v>
      </c>
    </row>
    <row r="79" spans="2:13" x14ac:dyDescent="0.35">
      <c r="B79" s="3">
        <f t="shared" si="25"/>
        <v>70</v>
      </c>
      <c r="C79" s="4">
        <f t="shared" si="16"/>
        <v>70</v>
      </c>
      <c r="D79" s="2" cm="1">
        <f t="array" ref="D79">_xlfn.XLOOKUP(C79,'Mortality Tables'!$B$4:$B$124,_xlfn.XLOOKUP(mortality_table,'Mortality Tables'!$B$3:$G$3,'Mortality Tables'!$B$4:$G$124,0,0),0,0)</f>
        <v>2.4782999999999999E-2</v>
      </c>
      <c r="E79" s="2">
        <f t="shared" si="21"/>
        <v>0.975217</v>
      </c>
      <c r="F79" s="2">
        <f t="shared" si="26"/>
        <v>0.7992291239524949</v>
      </c>
      <c r="G79" s="2">
        <f t="shared" si="22"/>
        <v>1.980729537891468E-2</v>
      </c>
      <c r="H79" s="2">
        <f t="shared" si="17"/>
        <v>3.1301111964970339E-2</v>
      </c>
      <c r="I79" s="2">
        <f t="shared" si="18"/>
        <v>100000</v>
      </c>
      <c r="J79" s="3">
        <f t="shared" si="23"/>
        <v>61.999037037864795</v>
      </c>
      <c r="K79" s="2">
        <f t="shared" si="19"/>
        <v>0</v>
      </c>
      <c r="L79" s="2">
        <f t="shared" si="20"/>
        <v>0</v>
      </c>
      <c r="M79" s="4">
        <f t="shared" si="24"/>
        <v>0</v>
      </c>
    </row>
    <row r="80" spans="2:13" x14ac:dyDescent="0.35">
      <c r="B80" s="3">
        <f t="shared" si="25"/>
        <v>71</v>
      </c>
      <c r="C80" s="4">
        <f t="shared" si="16"/>
        <v>71</v>
      </c>
      <c r="D80" s="2" cm="1">
        <f t="array" ref="D80">_xlfn.XLOOKUP(C80,'Mortality Tables'!$B$4:$B$124,_xlfn.XLOOKUP(mortality_table,'Mortality Tables'!$B$3:$G$3,'Mortality Tables'!$B$4:$G$124,0,0),0,0)</f>
        <v>2.7605999999999999E-2</v>
      </c>
      <c r="E80" s="2">
        <f t="shared" si="21"/>
        <v>0.97239399999999998</v>
      </c>
      <c r="F80" s="2">
        <f t="shared" si="26"/>
        <v>0.77942182857358022</v>
      </c>
      <c r="G80" s="2">
        <f t="shared" si="22"/>
        <v>2.1516718999602256E-2</v>
      </c>
      <c r="H80" s="2">
        <f t="shared" si="17"/>
        <v>2.9810582823781274E-2</v>
      </c>
      <c r="I80" s="2">
        <f t="shared" si="18"/>
        <v>100000</v>
      </c>
      <c r="J80" s="3">
        <f t="shared" si="23"/>
        <v>64.142593383367128</v>
      </c>
      <c r="K80" s="2">
        <f t="shared" si="19"/>
        <v>0</v>
      </c>
      <c r="L80" s="2">
        <f t="shared" si="20"/>
        <v>0</v>
      </c>
      <c r="M80" s="4">
        <f t="shared" si="24"/>
        <v>0</v>
      </c>
    </row>
    <row r="81" spans="2:13" x14ac:dyDescent="0.35">
      <c r="B81" s="3">
        <f t="shared" si="25"/>
        <v>72</v>
      </c>
      <c r="C81" s="4">
        <f t="shared" si="16"/>
        <v>72</v>
      </c>
      <c r="D81" s="2" cm="1">
        <f t="array" ref="D81">_xlfn.XLOOKUP(C81,'Mortality Tables'!$B$4:$B$124,_xlfn.XLOOKUP(mortality_table,'Mortality Tables'!$B$3:$G$3,'Mortality Tables'!$B$4:$G$124,0,0),0,0)</f>
        <v>3.0717999999999999E-2</v>
      </c>
      <c r="E81" s="2">
        <f t="shared" si="21"/>
        <v>0.96928199999999998</v>
      </c>
      <c r="F81" s="2">
        <f t="shared" si="26"/>
        <v>0.75790510957397794</v>
      </c>
      <c r="G81" s="2">
        <f t="shared" si="22"/>
        <v>2.3281329155893454E-2</v>
      </c>
      <c r="H81" s="2">
        <f t="shared" si="17"/>
        <v>2.8391031260744073E-2</v>
      </c>
      <c r="I81" s="2">
        <f t="shared" si="18"/>
        <v>100000</v>
      </c>
      <c r="J81" s="3">
        <f t="shared" si="23"/>
        <v>66.098094385664353</v>
      </c>
      <c r="K81" s="2">
        <f t="shared" si="19"/>
        <v>0</v>
      </c>
      <c r="L81" s="2">
        <f t="shared" si="20"/>
        <v>0</v>
      </c>
      <c r="M81" s="4">
        <f t="shared" si="24"/>
        <v>0</v>
      </c>
    </row>
    <row r="82" spans="2:13" x14ac:dyDescent="0.35">
      <c r="B82" s="3">
        <f t="shared" si="25"/>
        <v>73</v>
      </c>
      <c r="C82" s="4">
        <f t="shared" si="16"/>
        <v>73</v>
      </c>
      <c r="D82" s="2" cm="1">
        <f t="array" ref="D82">_xlfn.XLOOKUP(C82,'Mortality Tables'!$B$4:$B$124,_xlfn.XLOOKUP(mortality_table,'Mortality Tables'!$B$3:$G$3,'Mortality Tables'!$B$4:$G$124,0,0),0,0)</f>
        <v>3.4144000000000001E-2</v>
      </c>
      <c r="E82" s="2">
        <f t="shared" si="21"/>
        <v>0.96585600000000005</v>
      </c>
      <c r="F82" s="2">
        <f t="shared" si="26"/>
        <v>0.73462378041808452</v>
      </c>
      <c r="G82" s="2">
        <f t="shared" si="22"/>
        <v>2.5082994358595078E-2</v>
      </c>
      <c r="H82" s="2">
        <f t="shared" si="17"/>
        <v>2.7039077391184833E-2</v>
      </c>
      <c r="I82" s="2">
        <f t="shared" si="18"/>
        <v>100000</v>
      </c>
      <c r="J82" s="3">
        <f t="shared" si="23"/>
        <v>67.822102566470491</v>
      </c>
      <c r="K82" s="2">
        <f t="shared" si="19"/>
        <v>0</v>
      </c>
      <c r="L82" s="2">
        <f t="shared" si="20"/>
        <v>0</v>
      </c>
      <c r="M82" s="4">
        <f t="shared" si="24"/>
        <v>0</v>
      </c>
    </row>
    <row r="83" spans="2:13" x14ac:dyDescent="0.35">
      <c r="B83" s="3">
        <f t="shared" si="25"/>
        <v>74</v>
      </c>
      <c r="C83" s="4">
        <f t="shared" si="16"/>
        <v>74</v>
      </c>
      <c r="D83" s="2" cm="1">
        <f t="array" ref="D83">_xlfn.XLOOKUP(C83,'Mortality Tables'!$B$4:$B$124,_xlfn.XLOOKUP(mortality_table,'Mortality Tables'!$B$3:$G$3,'Mortality Tables'!$B$4:$G$124,0,0),0,0)</f>
        <v>3.7911E-2</v>
      </c>
      <c r="E83" s="2">
        <f t="shared" si="21"/>
        <v>0.96208899999999997</v>
      </c>
      <c r="F83" s="2">
        <f t="shared" si="26"/>
        <v>0.70954078605948945</v>
      </c>
      <c r="G83" s="2">
        <f t="shared" si="22"/>
        <v>2.6899400740301303E-2</v>
      </c>
      <c r="H83" s="2">
        <f t="shared" si="17"/>
        <v>2.5751502277318886E-2</v>
      </c>
      <c r="I83" s="2">
        <f t="shared" si="18"/>
        <v>100000</v>
      </c>
      <c r="J83" s="3">
        <f t="shared" si="23"/>
        <v>69.269997942238234</v>
      </c>
      <c r="K83" s="2">
        <f t="shared" si="19"/>
        <v>0</v>
      </c>
      <c r="L83" s="2">
        <f t="shared" si="20"/>
        <v>0</v>
      </c>
      <c r="M83" s="4">
        <f t="shared" si="24"/>
        <v>0</v>
      </c>
    </row>
    <row r="84" spans="2:13" x14ac:dyDescent="0.35">
      <c r="B84" s="3">
        <f t="shared" si="25"/>
        <v>75</v>
      </c>
      <c r="C84" s="4">
        <f t="shared" si="16"/>
        <v>75</v>
      </c>
      <c r="D84" s="2" cm="1">
        <f t="array" ref="D84">_xlfn.XLOOKUP(C84,'Mortality Tables'!$B$4:$B$124,_xlfn.XLOOKUP(mortality_table,'Mortality Tables'!$B$3:$G$3,'Mortality Tables'!$B$4:$G$124,0,0),0,0)</f>
        <v>4.2046E-2</v>
      </c>
      <c r="E84" s="2">
        <f t="shared" si="21"/>
        <v>0.95795399999999997</v>
      </c>
      <c r="F84" s="2">
        <f t="shared" si="26"/>
        <v>0.68264138531918817</v>
      </c>
      <c r="G84" s="2">
        <f t="shared" si="22"/>
        <v>2.8702339687130585E-2</v>
      </c>
      <c r="H84" s="2">
        <f t="shared" si="17"/>
        <v>2.4525240264113228E-2</v>
      </c>
      <c r="I84" s="2">
        <f t="shared" si="18"/>
        <v>100000</v>
      </c>
      <c r="J84" s="3">
        <f t="shared" si="23"/>
        <v>70.393177696907017</v>
      </c>
      <c r="K84" s="2">
        <f t="shared" si="19"/>
        <v>0</v>
      </c>
      <c r="L84" s="2">
        <f t="shared" si="20"/>
        <v>0</v>
      </c>
      <c r="M84" s="4">
        <f t="shared" si="24"/>
        <v>0</v>
      </c>
    </row>
    <row r="85" spans="2:13" x14ac:dyDescent="0.35">
      <c r="B85" s="3">
        <f t="shared" si="25"/>
        <v>76</v>
      </c>
      <c r="C85" s="4">
        <f t="shared" si="16"/>
        <v>76</v>
      </c>
      <c r="D85" s="2" cm="1">
        <f t="array" ref="D85">_xlfn.XLOOKUP(C85,'Mortality Tables'!$B$4:$B$124,_xlfn.XLOOKUP(mortality_table,'Mortality Tables'!$B$3:$G$3,'Mortality Tables'!$B$4:$G$124,0,0),0,0)</f>
        <v>4.6578000000000001E-2</v>
      </c>
      <c r="E85" s="2">
        <f t="shared" si="21"/>
        <v>0.95342199999999999</v>
      </c>
      <c r="F85" s="2">
        <f t="shared" si="26"/>
        <v>0.65393904563205751</v>
      </c>
      <c r="G85" s="2">
        <f t="shared" si="22"/>
        <v>3.0459172867449976E-2</v>
      </c>
      <c r="H85" s="2">
        <f t="shared" si="17"/>
        <v>2.3357371680107829E-2</v>
      </c>
      <c r="I85" s="2">
        <f t="shared" si="18"/>
        <v>100000</v>
      </c>
      <c r="J85" s="3">
        <f t="shared" si="23"/>
        <v>71.144622173368475</v>
      </c>
      <c r="K85" s="2">
        <f t="shared" si="19"/>
        <v>0</v>
      </c>
      <c r="L85" s="2">
        <f t="shared" si="20"/>
        <v>0</v>
      </c>
      <c r="M85" s="4">
        <f t="shared" si="24"/>
        <v>0</v>
      </c>
    </row>
    <row r="86" spans="2:13" x14ac:dyDescent="0.35">
      <c r="B86" s="3">
        <f t="shared" si="25"/>
        <v>77</v>
      </c>
      <c r="C86" s="4">
        <f t="shared" si="16"/>
        <v>77</v>
      </c>
      <c r="D86" s="2" cm="1">
        <f t="array" ref="D86">_xlfn.XLOOKUP(C86,'Mortality Tables'!$B$4:$B$124,_xlfn.XLOOKUP(mortality_table,'Mortality Tables'!$B$3:$G$3,'Mortality Tables'!$B$4:$G$124,0,0),0,0)</f>
        <v>5.1538E-2</v>
      </c>
      <c r="E86" s="2">
        <f t="shared" si="21"/>
        <v>0.94846200000000003</v>
      </c>
      <c r="F86" s="2">
        <f t="shared" si="26"/>
        <v>0.62347987276460748</v>
      </c>
      <c r="G86" s="2">
        <f t="shared" si="22"/>
        <v>3.2132905682542338E-2</v>
      </c>
      <c r="H86" s="2">
        <f t="shared" si="17"/>
        <v>2.2245115885816989E-2</v>
      </c>
      <c r="I86" s="2">
        <f t="shared" si="18"/>
        <v>100000</v>
      </c>
      <c r="J86" s="3">
        <f t="shared" si="23"/>
        <v>71.48002106561816</v>
      </c>
      <c r="K86" s="2">
        <f t="shared" si="19"/>
        <v>0</v>
      </c>
      <c r="L86" s="2">
        <f t="shared" si="20"/>
        <v>0</v>
      </c>
      <c r="M86" s="4">
        <f t="shared" si="24"/>
        <v>0</v>
      </c>
    </row>
    <row r="87" spans="2:13" x14ac:dyDescent="0.35">
      <c r="B87" s="3">
        <f t="shared" si="25"/>
        <v>78</v>
      </c>
      <c r="C87" s="4">
        <f t="shared" si="16"/>
        <v>78</v>
      </c>
      <c r="D87" s="2" cm="1">
        <f t="array" ref="D87">_xlfn.XLOOKUP(C87,'Mortality Tables'!$B$4:$B$124,_xlfn.XLOOKUP(mortality_table,'Mortality Tables'!$B$3:$G$3,'Mortality Tables'!$B$4:$G$124,0,0),0,0)</f>
        <v>5.6956E-2</v>
      </c>
      <c r="E87" s="2">
        <f t="shared" si="21"/>
        <v>0.94304399999999999</v>
      </c>
      <c r="F87" s="2">
        <f t="shared" si="26"/>
        <v>0.59134696708206513</v>
      </c>
      <c r="G87" s="2">
        <f t="shared" si="22"/>
        <v>3.3680757857126105E-2</v>
      </c>
      <c r="H87" s="2">
        <f t="shared" si="17"/>
        <v>2.1185824653159029E-2</v>
      </c>
      <c r="I87" s="2">
        <f t="shared" si="18"/>
        <v>100000</v>
      </c>
      <c r="J87" s="3">
        <f t="shared" si="23"/>
        <v>71.355463014658184</v>
      </c>
      <c r="K87" s="2">
        <f t="shared" si="19"/>
        <v>0</v>
      </c>
      <c r="L87" s="2">
        <f t="shared" si="20"/>
        <v>0</v>
      </c>
      <c r="M87" s="4">
        <f t="shared" si="24"/>
        <v>0</v>
      </c>
    </row>
    <row r="88" spans="2:13" x14ac:dyDescent="0.35">
      <c r="B88" s="3">
        <f t="shared" si="25"/>
        <v>79</v>
      </c>
      <c r="C88" s="4">
        <f t="shared" si="16"/>
        <v>79</v>
      </c>
      <c r="D88" s="2" cm="1">
        <f t="array" ref="D88">_xlfn.XLOOKUP(C88,'Mortality Tables'!$B$4:$B$124,_xlfn.XLOOKUP(mortality_table,'Mortality Tables'!$B$3:$G$3,'Mortality Tables'!$B$4:$G$124,0,0),0,0)</f>
        <v>6.2867000000000006E-2</v>
      </c>
      <c r="E88" s="2">
        <f t="shared" si="21"/>
        <v>0.93713299999999999</v>
      </c>
      <c r="F88" s="2">
        <f t="shared" si="26"/>
        <v>0.55766620922493904</v>
      </c>
      <c r="G88" s="2">
        <f t="shared" si="22"/>
        <v>3.5058801575344245E-2</v>
      </c>
      <c r="H88" s="2">
        <f t="shared" si="17"/>
        <v>2.0176975860151457E-2</v>
      </c>
      <c r="I88" s="2">
        <f t="shared" si="18"/>
        <v>100000</v>
      </c>
      <c r="J88" s="3">
        <f t="shared" si="23"/>
        <v>70.738059307156064</v>
      </c>
      <c r="K88" s="2">
        <f t="shared" si="19"/>
        <v>0</v>
      </c>
      <c r="L88" s="2">
        <f t="shared" si="20"/>
        <v>0</v>
      </c>
      <c r="M88" s="4">
        <f t="shared" si="24"/>
        <v>0</v>
      </c>
    </row>
    <row r="89" spans="2:13" x14ac:dyDescent="0.35">
      <c r="B89" s="3">
        <f t="shared" si="25"/>
        <v>80</v>
      </c>
      <c r="C89" s="4">
        <f t="shared" si="16"/>
        <v>80</v>
      </c>
      <c r="D89" s="2" cm="1">
        <f t="array" ref="D89">_xlfn.XLOOKUP(C89,'Mortality Tables'!$B$4:$B$124,_xlfn.XLOOKUP(mortality_table,'Mortality Tables'!$B$3:$G$3,'Mortality Tables'!$B$4:$G$124,0,0),0,0)</f>
        <v>6.9303000000000003E-2</v>
      </c>
      <c r="E89" s="2">
        <f t="shared" si="21"/>
        <v>0.930697</v>
      </c>
      <c r="F89" s="2">
        <f t="shared" si="26"/>
        <v>0.52260740764959479</v>
      </c>
      <c r="G89" s="2">
        <f t="shared" si="22"/>
        <v>3.6218261172339866E-2</v>
      </c>
      <c r="H89" s="2">
        <f t="shared" si="17"/>
        <v>1.9216167485858526E-2</v>
      </c>
      <c r="I89" s="2">
        <f t="shared" si="18"/>
        <v>100000</v>
      </c>
      <c r="J89" s="3">
        <f t="shared" si="23"/>
        <v>69.597617273424959</v>
      </c>
      <c r="K89" s="2">
        <f t="shared" si="19"/>
        <v>0</v>
      </c>
      <c r="L89" s="2">
        <f t="shared" si="20"/>
        <v>0</v>
      </c>
      <c r="M89" s="4">
        <f t="shared" si="24"/>
        <v>0</v>
      </c>
    </row>
    <row r="90" spans="2:13" x14ac:dyDescent="0.35">
      <c r="B90" s="3">
        <f t="shared" si="25"/>
        <v>81</v>
      </c>
      <c r="C90" s="4">
        <f t="shared" si="16"/>
        <v>81</v>
      </c>
      <c r="D90" s="2" cm="1">
        <f t="array" ref="D90">_xlfn.XLOOKUP(C90,'Mortality Tables'!$B$4:$B$124,_xlfn.XLOOKUP(mortality_table,'Mortality Tables'!$B$3:$G$3,'Mortality Tables'!$B$4:$G$124,0,0),0,0)</f>
        <v>7.6300000000000007E-2</v>
      </c>
      <c r="E90" s="2">
        <f t="shared" si="21"/>
        <v>0.92369999999999997</v>
      </c>
      <c r="F90" s="2">
        <f t="shared" si="26"/>
        <v>0.4863891464772549</v>
      </c>
      <c r="G90" s="2">
        <f t="shared" si="22"/>
        <v>3.7111491876214549E-2</v>
      </c>
      <c r="H90" s="2">
        <f t="shared" si="17"/>
        <v>1.8301111891293836E-2</v>
      </c>
      <c r="I90" s="2">
        <f t="shared" si="18"/>
        <v>100000</v>
      </c>
      <c r="J90" s="3">
        <f t="shared" si="23"/>
        <v>67.918156527944461</v>
      </c>
      <c r="K90" s="2">
        <f t="shared" si="19"/>
        <v>0</v>
      </c>
      <c r="L90" s="2">
        <f t="shared" si="20"/>
        <v>0</v>
      </c>
      <c r="M90" s="4">
        <f t="shared" si="24"/>
        <v>0</v>
      </c>
    </row>
    <row r="91" spans="2:13" x14ac:dyDescent="0.35">
      <c r="B91" s="3">
        <f t="shared" si="25"/>
        <v>82</v>
      </c>
      <c r="C91" s="4">
        <f t="shared" si="16"/>
        <v>82</v>
      </c>
      <c r="D91" s="2" cm="1">
        <f t="array" ref="D91">_xlfn.XLOOKUP(C91,'Mortality Tables'!$B$4:$B$124,_xlfn.XLOOKUP(mortality_table,'Mortality Tables'!$B$3:$G$3,'Mortality Tables'!$B$4:$G$124,0,0),0,0)</f>
        <v>8.3892999999999995E-2</v>
      </c>
      <c r="E91" s="2">
        <f t="shared" si="21"/>
        <v>0.916107</v>
      </c>
      <c r="F91" s="2">
        <f t="shared" si="26"/>
        <v>0.44927765460104035</v>
      </c>
      <c r="G91" s="2">
        <f t="shared" si="22"/>
        <v>3.7691250277445076E-2</v>
      </c>
      <c r="H91" s="2">
        <f t="shared" si="17"/>
        <v>1.7429630372660796E-2</v>
      </c>
      <c r="I91" s="2">
        <f t="shared" si="18"/>
        <v>100000</v>
      </c>
      <c r="J91" s="3">
        <f t="shared" si="23"/>
        <v>65.694456061931646</v>
      </c>
      <c r="K91" s="2">
        <f t="shared" si="19"/>
        <v>0</v>
      </c>
      <c r="L91" s="2">
        <f t="shared" si="20"/>
        <v>0</v>
      </c>
      <c r="M91" s="4">
        <f t="shared" si="24"/>
        <v>0</v>
      </c>
    </row>
    <row r="92" spans="2:13" x14ac:dyDescent="0.35">
      <c r="B92" s="3">
        <f t="shared" si="25"/>
        <v>83</v>
      </c>
      <c r="C92" s="4">
        <f t="shared" si="16"/>
        <v>83</v>
      </c>
      <c r="D92" s="2" cm="1">
        <f t="array" ref="D92">_xlfn.XLOOKUP(C92,'Mortality Tables'!$B$4:$B$124,_xlfn.XLOOKUP(mortality_table,'Mortality Tables'!$B$3:$G$3,'Mortality Tables'!$B$4:$G$124,0,0),0,0)</f>
        <v>9.2117000000000004E-2</v>
      </c>
      <c r="E92" s="2">
        <f t="shared" si="21"/>
        <v>0.907883</v>
      </c>
      <c r="F92" s="2">
        <f t="shared" si="26"/>
        <v>0.41158640432359528</v>
      </c>
      <c r="G92" s="2">
        <f t="shared" si="22"/>
        <v>3.7914104807076625E-2</v>
      </c>
      <c r="H92" s="2">
        <f t="shared" si="17"/>
        <v>1.6599647973962663E-2</v>
      </c>
      <c r="I92" s="2">
        <f t="shared" si="18"/>
        <v>100000</v>
      </c>
      <c r="J92" s="3">
        <f t="shared" si="23"/>
        <v>62.936079304539753</v>
      </c>
      <c r="K92" s="2">
        <f t="shared" si="19"/>
        <v>0</v>
      </c>
      <c r="L92" s="2">
        <f t="shared" si="20"/>
        <v>0</v>
      </c>
      <c r="M92" s="4">
        <f t="shared" si="24"/>
        <v>0</v>
      </c>
    </row>
    <row r="93" spans="2:13" x14ac:dyDescent="0.35">
      <c r="B93" s="3">
        <f t="shared" si="25"/>
        <v>84</v>
      </c>
      <c r="C93" s="4">
        <f t="shared" si="16"/>
        <v>84</v>
      </c>
      <c r="D93" s="2" cm="1">
        <f t="array" ref="D93">_xlfn.XLOOKUP(C93,'Mortality Tables'!$B$4:$B$124,_xlfn.XLOOKUP(mortality_table,'Mortality Tables'!$B$3:$G$3,'Mortality Tables'!$B$4:$G$124,0,0),0,0)</f>
        <v>0.101007</v>
      </c>
      <c r="E93" s="2">
        <f t="shared" si="21"/>
        <v>0.89899300000000004</v>
      </c>
      <c r="F93" s="2">
        <f t="shared" si="26"/>
        <v>0.37367229951651865</v>
      </c>
      <c r="G93" s="2">
        <f t="shared" si="22"/>
        <v>3.7743517957265001E-2</v>
      </c>
      <c r="H93" s="2">
        <f t="shared" si="17"/>
        <v>1.580918854663111E-2</v>
      </c>
      <c r="I93" s="2">
        <f t="shared" si="18"/>
        <v>100000</v>
      </c>
      <c r="J93" s="3">
        <f t="shared" si="23"/>
        <v>59.669439179955951</v>
      </c>
      <c r="K93" s="2">
        <f t="shared" si="19"/>
        <v>0</v>
      </c>
      <c r="L93" s="2">
        <f t="shared" si="20"/>
        <v>0</v>
      </c>
      <c r="M93" s="4">
        <f t="shared" si="24"/>
        <v>0</v>
      </c>
    </row>
    <row r="94" spans="2:13" x14ac:dyDescent="0.35">
      <c r="B94" s="3">
        <f t="shared" si="25"/>
        <v>85</v>
      </c>
      <c r="C94" s="4">
        <f t="shared" si="16"/>
        <v>85</v>
      </c>
      <c r="D94" s="2" cm="1">
        <f t="array" ref="D94">_xlfn.XLOOKUP(C94,'Mortality Tables'!$B$4:$B$124,_xlfn.XLOOKUP(mortality_table,'Mortality Tables'!$B$3:$G$3,'Mortality Tables'!$B$4:$G$124,0,0),0,0)</f>
        <v>0.1106</v>
      </c>
      <c r="E94" s="2">
        <f t="shared" si="21"/>
        <v>0.88939999999999997</v>
      </c>
      <c r="F94" s="2">
        <f t="shared" si="26"/>
        <v>0.33592878155925365</v>
      </c>
      <c r="G94" s="2">
        <f t="shared" si="22"/>
        <v>3.7153723240453455E-2</v>
      </c>
      <c r="H94" s="2">
        <f t="shared" si="17"/>
        <v>1.5056370044410581E-2</v>
      </c>
      <c r="I94" s="2">
        <f t="shared" si="18"/>
        <v>100000</v>
      </c>
      <c r="J94" s="3">
        <f t="shared" si="23"/>
        <v>55.940020563588455</v>
      </c>
      <c r="K94" s="2">
        <f t="shared" si="19"/>
        <v>0</v>
      </c>
      <c r="L94" s="2">
        <f t="shared" si="20"/>
        <v>0</v>
      </c>
      <c r="M94" s="4">
        <f t="shared" si="24"/>
        <v>0</v>
      </c>
    </row>
    <row r="95" spans="2:13" x14ac:dyDescent="0.35">
      <c r="B95" s="3">
        <f t="shared" si="25"/>
        <v>86</v>
      </c>
      <c r="C95" s="4">
        <f t="shared" si="16"/>
        <v>86</v>
      </c>
      <c r="D95" s="2" cm="1">
        <f t="array" ref="D95">_xlfn.XLOOKUP(C95,'Mortality Tables'!$B$4:$B$124,_xlfn.XLOOKUP(mortality_table,'Mortality Tables'!$B$3:$G$3,'Mortality Tables'!$B$4:$G$124,0,0),0,0)</f>
        <v>0.12092899999999999</v>
      </c>
      <c r="E95" s="2">
        <f t="shared" si="21"/>
        <v>0.87907100000000005</v>
      </c>
      <c r="F95" s="2">
        <f t="shared" si="26"/>
        <v>0.29877505831880019</v>
      </c>
      <c r="G95" s="2">
        <f t="shared" si="22"/>
        <v>3.6130569027434188E-2</v>
      </c>
      <c r="H95" s="2">
        <f t="shared" si="17"/>
        <v>1.4339400042295789E-2</v>
      </c>
      <c r="I95" s="2">
        <f t="shared" si="18"/>
        <v>100000</v>
      </c>
      <c r="J95" s="3">
        <f t="shared" si="23"/>
        <v>51.809068304016073</v>
      </c>
      <c r="K95" s="2">
        <f t="shared" si="19"/>
        <v>0</v>
      </c>
      <c r="L95" s="2">
        <f t="shared" si="20"/>
        <v>0</v>
      </c>
      <c r="M95" s="4">
        <f t="shared" si="24"/>
        <v>0</v>
      </c>
    </row>
    <row r="96" spans="2:13" x14ac:dyDescent="0.35">
      <c r="B96" s="3">
        <f t="shared" si="25"/>
        <v>87</v>
      </c>
      <c r="C96" s="4">
        <f t="shared" si="16"/>
        <v>87</v>
      </c>
      <c r="D96" s="2" cm="1">
        <f t="array" ref="D96">_xlfn.XLOOKUP(C96,'Mortality Tables'!$B$4:$B$124,_xlfn.XLOOKUP(mortality_table,'Mortality Tables'!$B$3:$G$3,'Mortality Tables'!$B$4:$G$124,0,0),0,0)</f>
        <v>0.13202800000000001</v>
      </c>
      <c r="E96" s="2">
        <f t="shared" si="21"/>
        <v>0.86797199999999997</v>
      </c>
      <c r="F96" s="2">
        <f t="shared" si="26"/>
        <v>0.26264448929136602</v>
      </c>
      <c r="G96" s="2">
        <f t="shared" si="22"/>
        <v>3.4676426632160473E-2</v>
      </c>
      <c r="H96" s="2">
        <f t="shared" si="17"/>
        <v>1.3656571468853134E-2</v>
      </c>
      <c r="I96" s="2">
        <f t="shared" si="18"/>
        <v>100000</v>
      </c>
      <c r="J96" s="3">
        <f t="shared" si="23"/>
        <v>47.356109858654172</v>
      </c>
      <c r="K96" s="2">
        <f t="shared" si="19"/>
        <v>0</v>
      </c>
      <c r="L96" s="2">
        <f t="shared" si="20"/>
        <v>0</v>
      </c>
      <c r="M96" s="4">
        <f t="shared" si="24"/>
        <v>0</v>
      </c>
    </row>
    <row r="97" spans="2:13" x14ac:dyDescent="0.35">
      <c r="B97" s="3">
        <f t="shared" si="25"/>
        <v>88</v>
      </c>
      <c r="C97" s="4">
        <f t="shared" si="16"/>
        <v>88</v>
      </c>
      <c r="D97" s="2" cm="1">
        <f t="array" ref="D97">_xlfn.XLOOKUP(C97,'Mortality Tables'!$B$4:$B$124,_xlfn.XLOOKUP(mortality_table,'Mortality Tables'!$B$3:$G$3,'Mortality Tables'!$B$4:$G$124,0,0),0,0)</f>
        <v>0.143929</v>
      </c>
      <c r="E97" s="2">
        <f t="shared" si="21"/>
        <v>0.85607100000000003</v>
      </c>
      <c r="F97" s="2">
        <f t="shared" si="26"/>
        <v>0.22796806265920555</v>
      </c>
      <c r="G97" s="2">
        <f t="shared" si="22"/>
        <v>3.2811215290476793E-2</v>
      </c>
      <c r="H97" s="2">
        <f t="shared" si="17"/>
        <v>1.3006258541764888E-2</v>
      </c>
      <c r="I97" s="2">
        <f t="shared" si="18"/>
        <v>100000</v>
      </c>
      <c r="J97" s="3">
        <f t="shared" si="23"/>
        <v>42.675114913745048</v>
      </c>
      <c r="K97" s="2">
        <f t="shared" si="19"/>
        <v>0</v>
      </c>
      <c r="L97" s="2">
        <f t="shared" si="20"/>
        <v>0</v>
      </c>
      <c r="M97" s="4">
        <f t="shared" si="24"/>
        <v>0</v>
      </c>
    </row>
    <row r="98" spans="2:13" x14ac:dyDescent="0.35">
      <c r="B98" s="3">
        <f t="shared" si="25"/>
        <v>89</v>
      </c>
      <c r="C98" s="4">
        <f t="shared" si="16"/>
        <v>89</v>
      </c>
      <c r="D98" s="2" cm="1">
        <f t="array" ref="D98">_xlfn.XLOOKUP(C98,'Mortality Tables'!$B$4:$B$124,_xlfn.XLOOKUP(mortality_table,'Mortality Tables'!$B$3:$G$3,'Mortality Tables'!$B$4:$G$124,0,0),0,0)</f>
        <v>0.15665999999999999</v>
      </c>
      <c r="E98" s="2">
        <f t="shared" si="21"/>
        <v>0.84333999999999998</v>
      </c>
      <c r="F98" s="2">
        <f t="shared" si="26"/>
        <v>0.19515684736872876</v>
      </c>
      <c r="G98" s="2">
        <f t="shared" si="22"/>
        <v>3.0573271708785047E-2</v>
      </c>
      <c r="H98" s="2">
        <f t="shared" si="17"/>
        <v>1.2386912896918942E-2</v>
      </c>
      <c r="I98" s="2">
        <f t="shared" si="18"/>
        <v>100000</v>
      </c>
      <c r="J98" s="3">
        <f t="shared" si="23"/>
        <v>37.870845363055651</v>
      </c>
      <c r="K98" s="2">
        <f t="shared" si="19"/>
        <v>0</v>
      </c>
      <c r="L98" s="2">
        <f t="shared" si="20"/>
        <v>0</v>
      </c>
      <c r="M98" s="4">
        <f t="shared" si="24"/>
        <v>0</v>
      </c>
    </row>
    <row r="99" spans="2:13" x14ac:dyDescent="0.35">
      <c r="B99" s="3">
        <f t="shared" si="25"/>
        <v>90</v>
      </c>
      <c r="C99" s="4">
        <f t="shared" si="16"/>
        <v>90</v>
      </c>
      <c r="D99" s="2" cm="1">
        <f t="array" ref="D99">_xlfn.XLOOKUP(C99,'Mortality Tables'!$B$4:$B$124,_xlfn.XLOOKUP(mortality_table,'Mortality Tables'!$B$3:$G$3,'Mortality Tables'!$B$4:$G$124,0,0),0,0)</f>
        <v>0.17024700000000001</v>
      </c>
      <c r="E99" s="2">
        <f t="shared" si="21"/>
        <v>0.82975299999999996</v>
      </c>
      <c r="F99" s="2">
        <f t="shared" si="26"/>
        <v>0.16458357565994372</v>
      </c>
      <c r="G99" s="2">
        <f t="shared" si="22"/>
        <v>2.8019860005378441E-2</v>
      </c>
      <c r="H99" s="2">
        <f t="shared" si="17"/>
        <v>1.1797059901827561E-2</v>
      </c>
      <c r="I99" s="2">
        <f t="shared" si="18"/>
        <v>100000</v>
      </c>
      <c r="J99" s="3">
        <f t="shared" si="23"/>
        <v>33.055196692427174</v>
      </c>
      <c r="K99" s="2">
        <f t="shared" si="19"/>
        <v>0</v>
      </c>
      <c r="L99" s="2">
        <f t="shared" si="20"/>
        <v>0</v>
      </c>
      <c r="M99" s="4">
        <f t="shared" si="24"/>
        <v>0</v>
      </c>
    </row>
    <row r="100" spans="2:13" x14ac:dyDescent="0.35">
      <c r="B100" s="3">
        <f t="shared" si="25"/>
        <v>91</v>
      </c>
      <c r="C100" s="4">
        <f t="shared" si="16"/>
        <v>91</v>
      </c>
      <c r="D100" s="2" cm="1">
        <f t="array" ref="D100">_xlfn.XLOOKUP(C100,'Mortality Tables'!$B$4:$B$124,_xlfn.XLOOKUP(mortality_table,'Mortality Tables'!$B$3:$G$3,'Mortality Tables'!$B$4:$G$124,0,0),0,0)</f>
        <v>0.18471399999999999</v>
      </c>
      <c r="E100" s="2">
        <f t="shared" si="21"/>
        <v>0.81528599999999996</v>
      </c>
      <c r="F100" s="2">
        <f t="shared" si="26"/>
        <v>0.13656371565456527</v>
      </c>
      <c r="G100" s="2">
        <f t="shared" si="22"/>
        <v>2.5225230173417369E-2</v>
      </c>
      <c r="H100" s="2">
        <f t="shared" si="17"/>
        <v>1.123529514459768E-2</v>
      </c>
      <c r="I100" s="2">
        <f t="shared" si="18"/>
        <v>100000</v>
      </c>
      <c r="J100" s="3">
        <f t="shared" si="23"/>
        <v>28.341290608875507</v>
      </c>
      <c r="K100" s="2">
        <f t="shared" si="19"/>
        <v>0</v>
      </c>
      <c r="L100" s="2">
        <f t="shared" si="20"/>
        <v>0</v>
      </c>
      <c r="M100" s="4">
        <f t="shared" si="24"/>
        <v>0</v>
      </c>
    </row>
    <row r="101" spans="2:13" x14ac:dyDescent="0.35">
      <c r="B101" s="3">
        <f t="shared" si="25"/>
        <v>92</v>
      </c>
      <c r="C101" s="4">
        <f t="shared" si="16"/>
        <v>92</v>
      </c>
      <c r="D101" s="2" cm="1">
        <f t="array" ref="D101">_xlfn.XLOOKUP(C101,'Mortality Tables'!$B$4:$B$124,_xlfn.XLOOKUP(mortality_table,'Mortality Tables'!$B$3:$G$3,'Mortality Tables'!$B$4:$G$124,0,0),0,0)</f>
        <v>0.20007900000000001</v>
      </c>
      <c r="E101" s="2">
        <f t="shared" si="21"/>
        <v>0.79992099999999999</v>
      </c>
      <c r="F101" s="2">
        <f t="shared" si="26"/>
        <v>0.11133848548114789</v>
      </c>
      <c r="G101" s="2">
        <f t="shared" si="22"/>
        <v>2.227649283658259E-2</v>
      </c>
      <c r="H101" s="2">
        <f t="shared" si="17"/>
        <v>1.0700281090093026E-2</v>
      </c>
      <c r="I101" s="2">
        <f t="shared" si="18"/>
        <v>100000</v>
      </c>
      <c r="J101" s="3">
        <f t="shared" si="23"/>
        <v>23.836473505287742</v>
      </c>
      <c r="K101" s="2">
        <f t="shared" si="19"/>
        <v>0</v>
      </c>
      <c r="L101" s="2">
        <f t="shared" si="20"/>
        <v>0</v>
      </c>
      <c r="M101" s="4">
        <f t="shared" si="24"/>
        <v>0</v>
      </c>
    </row>
    <row r="102" spans="2:13" x14ac:dyDescent="0.35">
      <c r="B102" s="3">
        <f t="shared" si="25"/>
        <v>93</v>
      </c>
      <c r="C102" s="4">
        <f t="shared" si="16"/>
        <v>93</v>
      </c>
      <c r="D102" s="2" cm="1">
        <f t="array" ref="D102">_xlfn.XLOOKUP(C102,'Mortality Tables'!$B$4:$B$124,_xlfn.XLOOKUP(mortality_table,'Mortality Tables'!$B$3:$G$3,'Mortality Tables'!$B$4:$G$124,0,0),0,0)</f>
        <v>0.21635399999999999</v>
      </c>
      <c r="E102" s="2">
        <f t="shared" si="21"/>
        <v>0.78364600000000006</v>
      </c>
      <c r="F102" s="2">
        <f t="shared" ref="F102:F129" si="27">E101*F101</f>
        <v>8.9061992644565297E-2</v>
      </c>
      <c r="G102" s="2">
        <f t="shared" si="22"/>
        <v>1.926891835662228E-2</v>
      </c>
      <c r="H102" s="2">
        <f t="shared" si="17"/>
        <v>1.0190743895326695E-2</v>
      </c>
      <c r="I102" s="2">
        <f t="shared" si="18"/>
        <v>100000</v>
      </c>
      <c r="J102" s="3">
        <f t="shared" si="23"/>
        <v>19.636461211229701</v>
      </c>
      <c r="K102" s="2">
        <f t="shared" si="19"/>
        <v>0</v>
      </c>
      <c r="L102" s="2">
        <f t="shared" si="20"/>
        <v>0</v>
      </c>
      <c r="M102" s="4">
        <f t="shared" si="24"/>
        <v>0</v>
      </c>
    </row>
    <row r="103" spans="2:13" x14ac:dyDescent="0.35">
      <c r="B103" s="3">
        <f t="shared" si="25"/>
        <v>94</v>
      </c>
      <c r="C103" s="4">
        <f t="shared" si="16"/>
        <v>94</v>
      </c>
      <c r="D103" s="2" cm="1">
        <f t="array" ref="D103">_xlfn.XLOOKUP(C103,'Mortality Tables'!$B$4:$B$124,_xlfn.XLOOKUP(mortality_table,'Mortality Tables'!$B$3:$G$3,'Mortality Tables'!$B$4:$G$124,0,0),0,0)</f>
        <v>0.23354800000000001</v>
      </c>
      <c r="E103" s="2">
        <f t="shared" si="21"/>
        <v>0.76645200000000002</v>
      </c>
      <c r="F103" s="2">
        <f t="shared" si="27"/>
        <v>6.9793074287943027E-2</v>
      </c>
      <c r="G103" s="2">
        <f t="shared" si="22"/>
        <v>1.6300032913800517E-2</v>
      </c>
      <c r="H103" s="2">
        <f t="shared" si="17"/>
        <v>9.7054703765016102E-3</v>
      </c>
      <c r="I103" s="2">
        <f t="shared" si="18"/>
        <v>100000</v>
      </c>
      <c r="J103" s="3">
        <f t="shared" si="23"/>
        <v>15.819948658089215</v>
      </c>
      <c r="K103" s="2">
        <f t="shared" si="19"/>
        <v>0</v>
      </c>
      <c r="L103" s="2">
        <f t="shared" si="20"/>
        <v>0</v>
      </c>
      <c r="M103" s="4">
        <f t="shared" si="24"/>
        <v>0</v>
      </c>
    </row>
    <row r="104" spans="2:13" x14ac:dyDescent="0.35">
      <c r="B104" s="3">
        <f t="shared" si="25"/>
        <v>95</v>
      </c>
      <c r="C104" s="4">
        <f t="shared" si="16"/>
        <v>95</v>
      </c>
      <c r="D104" s="2" cm="1">
        <f t="array" ref="D104">_xlfn.XLOOKUP(C104,'Mortality Tables'!$B$4:$B$124,_xlfn.XLOOKUP(mortality_table,'Mortality Tables'!$B$3:$G$3,'Mortality Tables'!$B$4:$G$124,0,0),0,0)</f>
        <v>0.251662</v>
      </c>
      <c r="E104" s="2">
        <f t="shared" si="21"/>
        <v>0.74833799999999995</v>
      </c>
      <c r="F104" s="2">
        <f t="shared" si="27"/>
        <v>5.3493041374142514E-2</v>
      </c>
      <c r="G104" s="2">
        <f t="shared" si="22"/>
        <v>1.3462165778299453E-2</v>
      </c>
      <c r="H104" s="2">
        <f t="shared" si="17"/>
        <v>9.2433051204777253E-3</v>
      </c>
      <c r="I104" s="2">
        <f t="shared" si="18"/>
        <v>100000</v>
      </c>
      <c r="J104" s="3">
        <f t="shared" si="23"/>
        <v>12.443490587127533</v>
      </c>
      <c r="K104" s="2">
        <f t="shared" si="19"/>
        <v>0</v>
      </c>
      <c r="L104" s="2">
        <f t="shared" si="20"/>
        <v>0</v>
      </c>
      <c r="M104" s="4">
        <f t="shared" si="24"/>
        <v>0</v>
      </c>
    </row>
    <row r="105" spans="2:13" x14ac:dyDescent="0.35">
      <c r="B105" s="3">
        <f t="shared" si="25"/>
        <v>96</v>
      </c>
      <c r="C105" s="4">
        <f t="shared" ref="C105:C129" si="28">IF($C$4+B105&lt;=$F$4,$C$4+B105)</f>
        <v>96</v>
      </c>
      <c r="D105" s="2" cm="1">
        <f t="array" ref="D105">_xlfn.XLOOKUP(C105,'Mortality Tables'!$B$4:$B$124,_xlfn.XLOOKUP(mortality_table,'Mortality Tables'!$B$3:$G$3,'Mortality Tables'!$B$4:$G$124,0,0),0,0)</f>
        <v>0.27068799999999998</v>
      </c>
      <c r="E105" s="2">
        <f t="shared" si="21"/>
        <v>0.72931199999999996</v>
      </c>
      <c r="F105" s="2">
        <f t="shared" si="27"/>
        <v>4.0030875595843056E-2</v>
      </c>
      <c r="G105" s="2">
        <f t="shared" si="22"/>
        <v>1.0835877653287564E-2</v>
      </c>
      <c r="H105" s="2">
        <f t="shared" ref="H105:H129" si="29">(1+interest_rate)^-(B105+1)</f>
        <v>8.8031477337883104E-3</v>
      </c>
      <c r="I105" s="2">
        <f t="shared" ref="I105:I129" si="30">sum_assured</f>
        <v>100000</v>
      </c>
      <c r="J105" s="3">
        <f t="shared" si="23"/>
        <v>9.5389831807145811</v>
      </c>
      <c r="K105" s="2">
        <f t="shared" ref="K105:K129" si="31">IF(B105&lt;&gt;term_of_coverage,0,F105*H105*I105*(1+interest_rate))</f>
        <v>0</v>
      </c>
      <c r="L105" s="2">
        <f t="shared" ref="L105:L129" si="32">IF(B105&lt;term_of_coverage,PRODUCT(G105:I105),0)</f>
        <v>0</v>
      </c>
      <c r="M105" s="4">
        <f t="shared" si="24"/>
        <v>0</v>
      </c>
    </row>
    <row r="106" spans="2:13" x14ac:dyDescent="0.35">
      <c r="B106" s="3">
        <f t="shared" si="25"/>
        <v>97</v>
      </c>
      <c r="C106" s="4">
        <f t="shared" si="28"/>
        <v>97</v>
      </c>
      <c r="D106" s="2" cm="1">
        <f t="array" ref="D106">_xlfn.XLOOKUP(C106,'Mortality Tables'!$B$4:$B$124,_xlfn.XLOOKUP(mortality_table,'Mortality Tables'!$B$3:$G$3,'Mortality Tables'!$B$4:$G$124,0,0),0,0)</f>
        <v>0.29061300000000001</v>
      </c>
      <c r="E106" s="2">
        <f t="shared" si="21"/>
        <v>0.70938699999999999</v>
      </c>
      <c r="F106" s="2">
        <f t="shared" si="27"/>
        <v>2.9194997942555489E-2</v>
      </c>
      <c r="G106" s="2">
        <f t="shared" si="22"/>
        <v>8.4844459370798792E-3</v>
      </c>
      <c r="H106" s="2">
        <f t="shared" si="29"/>
        <v>8.3839502226555323E-3</v>
      </c>
      <c r="I106" s="2">
        <f t="shared" si="30"/>
        <v>100000</v>
      </c>
      <c r="J106" s="3">
        <f t="shared" si="23"/>
        <v>7.1133172403289677</v>
      </c>
      <c r="K106" s="2">
        <f t="shared" si="31"/>
        <v>0</v>
      </c>
      <c r="L106" s="2">
        <f t="shared" si="32"/>
        <v>0</v>
      </c>
      <c r="M106" s="4">
        <f t="shared" si="24"/>
        <v>0</v>
      </c>
    </row>
    <row r="107" spans="2:13" x14ac:dyDescent="0.35">
      <c r="B107" s="3">
        <f t="shared" si="25"/>
        <v>98</v>
      </c>
      <c r="C107" s="4">
        <f t="shared" si="28"/>
        <v>98</v>
      </c>
      <c r="D107" s="2" cm="1">
        <f t="array" ref="D107">_xlfn.XLOOKUP(C107,'Mortality Tables'!$B$4:$B$124,_xlfn.XLOOKUP(mortality_table,'Mortality Tables'!$B$3:$G$3,'Mortality Tables'!$B$4:$G$124,0,0),0,0)</f>
        <v>0.31141400000000002</v>
      </c>
      <c r="E107" s="2">
        <f t="shared" si="21"/>
        <v>0.68858599999999992</v>
      </c>
      <c r="F107" s="2">
        <f t="shared" si="27"/>
        <v>2.071055200547561E-2</v>
      </c>
      <c r="G107" s="2">
        <f t="shared" si="22"/>
        <v>6.4495558422331817E-3</v>
      </c>
      <c r="H107" s="2">
        <f t="shared" si="29"/>
        <v>7.9847144977671734E-3</v>
      </c>
      <c r="I107" s="2">
        <f t="shared" si="30"/>
        <v>100000</v>
      </c>
      <c r="J107" s="3">
        <f t="shared" si="23"/>
        <v>5.149786203763826</v>
      </c>
      <c r="K107" s="2">
        <f t="shared" si="31"/>
        <v>0</v>
      </c>
      <c r="L107" s="2">
        <f t="shared" si="32"/>
        <v>0</v>
      </c>
      <c r="M107" s="4">
        <f t="shared" si="24"/>
        <v>0</v>
      </c>
    </row>
    <row r="108" spans="2:13" x14ac:dyDescent="0.35">
      <c r="B108" s="3">
        <f t="shared" si="25"/>
        <v>99</v>
      </c>
      <c r="C108" s="4">
        <f t="shared" si="28"/>
        <v>99</v>
      </c>
      <c r="D108" s="2" cm="1">
        <f t="array" ref="D108">_xlfn.XLOOKUP(C108,'Mortality Tables'!$B$4:$B$124,_xlfn.XLOOKUP(mortality_table,'Mortality Tables'!$B$3:$G$3,'Mortality Tables'!$B$4:$G$124,0,0),0,0)</f>
        <v>0.33305800000000002</v>
      </c>
      <c r="E108" s="2">
        <f t="shared" si="21"/>
        <v>0.66694199999999992</v>
      </c>
      <c r="F108" s="2">
        <f t="shared" si="27"/>
        <v>1.4260996163242426E-2</v>
      </c>
      <c r="G108" s="2">
        <f t="shared" si="22"/>
        <v>4.7497388601371966E-3</v>
      </c>
      <c r="H108" s="2">
        <f t="shared" si="29"/>
        <v>7.6044899978735007E-3</v>
      </c>
      <c r="I108" s="2">
        <f t="shared" si="30"/>
        <v>100000</v>
      </c>
      <c r="J108" s="3">
        <f t="shared" si="23"/>
        <v>3.6119341654424395</v>
      </c>
      <c r="K108" s="2">
        <f t="shared" si="31"/>
        <v>0</v>
      </c>
      <c r="L108" s="2">
        <f t="shared" si="32"/>
        <v>0</v>
      </c>
      <c r="M108" s="4">
        <f t="shared" si="24"/>
        <v>0</v>
      </c>
    </row>
    <row r="109" spans="2:13" x14ac:dyDescent="0.35">
      <c r="B109" s="3">
        <f t="shared" si="25"/>
        <v>100</v>
      </c>
      <c r="C109" s="4">
        <f t="shared" si="28"/>
        <v>100</v>
      </c>
      <c r="D109" s="2" cm="1">
        <f t="array" ref="D109">_xlfn.XLOOKUP(C109,'Mortality Tables'!$B$4:$B$124,_xlfn.XLOOKUP(mortality_table,'Mortality Tables'!$B$3:$G$3,'Mortality Tables'!$B$4:$G$124,0,0),0,0)</f>
        <v>0.35550500000000002</v>
      </c>
      <c r="E109" s="2">
        <f t="shared" si="21"/>
        <v>0.64449500000000004</v>
      </c>
      <c r="F109" s="2">
        <f t="shared" si="27"/>
        <v>9.5112573031052288E-3</v>
      </c>
      <c r="G109" s="2">
        <f t="shared" si="22"/>
        <v>3.3812995275404245E-3</v>
      </c>
      <c r="H109" s="2">
        <f t="shared" si="29"/>
        <v>7.2423714265461899E-3</v>
      </c>
      <c r="I109" s="2">
        <f t="shared" si="30"/>
        <v>100000</v>
      </c>
      <c r="J109" s="3">
        <f t="shared" si="23"/>
        <v>2.4488627082852901</v>
      </c>
      <c r="K109" s="2">
        <f t="shared" si="31"/>
        <v>0</v>
      </c>
      <c r="L109" s="2">
        <f t="shared" si="32"/>
        <v>0</v>
      </c>
      <c r="M109" s="4">
        <f t="shared" si="24"/>
        <v>0</v>
      </c>
    </row>
    <row r="110" spans="2:13" x14ac:dyDescent="0.35">
      <c r="B110" s="3">
        <f t="shared" si="25"/>
        <v>101</v>
      </c>
      <c r="C110" s="4">
        <f t="shared" si="28"/>
        <v>101</v>
      </c>
      <c r="D110" s="2" cm="1">
        <f t="array" ref="D110">_xlfn.XLOOKUP(C110,'Mortality Tables'!$B$4:$B$124,_xlfn.XLOOKUP(mortality_table,'Mortality Tables'!$B$3:$G$3,'Mortality Tables'!$B$4:$G$124,0,0),0,0)</f>
        <v>0.37870199999999998</v>
      </c>
      <c r="E110" s="2">
        <f t="shared" si="21"/>
        <v>0.62129800000000002</v>
      </c>
      <c r="F110" s="2">
        <f t="shared" si="27"/>
        <v>6.1299577755648052E-3</v>
      </c>
      <c r="G110" s="2">
        <f t="shared" si="22"/>
        <v>2.3214272695219426E-3</v>
      </c>
      <c r="H110" s="2">
        <f t="shared" si="29"/>
        <v>6.8974965967106578E-3</v>
      </c>
      <c r="I110" s="2">
        <f t="shared" si="30"/>
        <v>100000</v>
      </c>
      <c r="J110" s="3">
        <f t="shared" si="23"/>
        <v>1.6012036691038916</v>
      </c>
      <c r="K110" s="2">
        <f t="shared" si="31"/>
        <v>0</v>
      </c>
      <c r="L110" s="2">
        <f t="shared" si="32"/>
        <v>0</v>
      </c>
      <c r="M110" s="4">
        <f t="shared" si="24"/>
        <v>0</v>
      </c>
    </row>
    <row r="111" spans="2:13" x14ac:dyDescent="0.35">
      <c r="B111" s="3">
        <f t="shared" si="25"/>
        <v>102</v>
      </c>
      <c r="C111" s="4">
        <f t="shared" si="28"/>
        <v>102</v>
      </c>
      <c r="D111" s="2" cm="1">
        <f t="array" ref="D111">_xlfn.XLOOKUP(C111,'Mortality Tables'!$B$4:$B$124,_xlfn.XLOOKUP(mortality_table,'Mortality Tables'!$B$3:$G$3,'Mortality Tables'!$B$4:$G$124,0,0),0,0)</f>
        <v>0.402588</v>
      </c>
      <c r="E111" s="2">
        <f t="shared" si="21"/>
        <v>0.59741200000000005</v>
      </c>
      <c r="F111" s="2">
        <f t="shared" si="27"/>
        <v>3.8085305060428626E-3</v>
      </c>
      <c r="G111" s="2">
        <f t="shared" si="22"/>
        <v>1.5332686793667839E-3</v>
      </c>
      <c r="H111" s="2">
        <f t="shared" si="29"/>
        <v>6.5690443778196727E-3</v>
      </c>
      <c r="I111" s="2">
        <f t="shared" si="30"/>
        <v>100000</v>
      </c>
      <c r="J111" s="3">
        <f t="shared" si="23"/>
        <v>1.0072109997881367</v>
      </c>
      <c r="K111" s="2">
        <f t="shared" si="31"/>
        <v>0</v>
      </c>
      <c r="L111" s="2">
        <f t="shared" si="32"/>
        <v>0</v>
      </c>
      <c r="M111" s="4">
        <f t="shared" si="24"/>
        <v>0</v>
      </c>
    </row>
    <row r="112" spans="2:13" x14ac:dyDescent="0.35">
      <c r="B112" s="3">
        <f t="shared" si="25"/>
        <v>103</v>
      </c>
      <c r="C112" s="4">
        <f t="shared" si="28"/>
        <v>103</v>
      </c>
      <c r="D112" s="2" cm="1">
        <f t="array" ref="D112">_xlfn.XLOOKUP(C112,'Mortality Tables'!$B$4:$B$124,_xlfn.XLOOKUP(mortality_table,'Mortality Tables'!$B$3:$G$3,'Mortality Tables'!$B$4:$G$124,0,0),0,0)</f>
        <v>0.42709000000000003</v>
      </c>
      <c r="E112" s="2">
        <f t="shared" si="21"/>
        <v>0.57291000000000003</v>
      </c>
      <c r="F112" s="2">
        <f t="shared" si="27"/>
        <v>2.2752618266760789E-3</v>
      </c>
      <c r="G112" s="2">
        <f t="shared" si="22"/>
        <v>9.717415735550866E-4</v>
      </c>
      <c r="H112" s="2">
        <f t="shared" si="29"/>
        <v>6.2562327407806413E-3</v>
      </c>
      <c r="I112" s="2">
        <f t="shared" si="30"/>
        <v>100000</v>
      </c>
      <c r="J112" s="3">
        <f t="shared" si="23"/>
        <v>0.60794414480530334</v>
      </c>
      <c r="K112" s="2">
        <f t="shared" si="31"/>
        <v>0</v>
      </c>
      <c r="L112" s="2">
        <f t="shared" si="32"/>
        <v>0</v>
      </c>
      <c r="M112" s="4">
        <f t="shared" si="24"/>
        <v>0</v>
      </c>
    </row>
    <row r="113" spans="2:13" x14ac:dyDescent="0.35">
      <c r="B113" s="3">
        <f t="shared" si="25"/>
        <v>104</v>
      </c>
      <c r="C113" s="4">
        <f t="shared" si="28"/>
        <v>104</v>
      </c>
      <c r="D113" s="2" cm="1">
        <f t="array" ref="D113">_xlfn.XLOOKUP(C113,'Mortality Tables'!$B$4:$B$124,_xlfn.XLOOKUP(mortality_table,'Mortality Tables'!$B$3:$G$3,'Mortality Tables'!$B$4:$G$124,0,0),0,0)</f>
        <v>0.452127</v>
      </c>
      <c r="E113" s="2">
        <f t="shared" si="21"/>
        <v>0.54787300000000005</v>
      </c>
      <c r="F113" s="2">
        <f t="shared" si="27"/>
        <v>1.3035202531209926E-3</v>
      </c>
      <c r="G113" s="2">
        <f t="shared" si="22"/>
        <v>5.8935670148283501E-4</v>
      </c>
      <c r="H113" s="2">
        <f t="shared" si="29"/>
        <v>5.9583168959815632E-3</v>
      </c>
      <c r="I113" s="2">
        <f t="shared" si="30"/>
        <v>100000</v>
      </c>
      <c r="J113" s="3">
        <f t="shared" si="23"/>
        <v>0.35115739922051381</v>
      </c>
      <c r="K113" s="2">
        <f t="shared" si="31"/>
        <v>0</v>
      </c>
      <c r="L113" s="2">
        <f t="shared" si="32"/>
        <v>0</v>
      </c>
      <c r="M113" s="4">
        <f t="shared" si="24"/>
        <v>0</v>
      </c>
    </row>
    <row r="114" spans="2:13" x14ac:dyDescent="0.35">
      <c r="B114" s="3">
        <f t="shared" si="25"/>
        <v>105</v>
      </c>
      <c r="C114" s="4">
        <f t="shared" si="28"/>
        <v>105</v>
      </c>
      <c r="D114" s="2" cm="1">
        <f t="array" ref="D114">_xlfn.XLOOKUP(C114,'Mortality Tables'!$B$4:$B$124,_xlfn.XLOOKUP(mortality_table,'Mortality Tables'!$B$3:$G$3,'Mortality Tables'!$B$4:$G$124,0,0),0,0)</f>
        <v>0.47760799999999998</v>
      </c>
      <c r="E114" s="2">
        <f t="shared" si="21"/>
        <v>0.52239199999999997</v>
      </c>
      <c r="F114" s="2">
        <f t="shared" si="27"/>
        <v>7.1416355163815765E-4</v>
      </c>
      <c r="G114" s="2">
        <f t="shared" si="22"/>
        <v>3.4109022557079718E-4</v>
      </c>
      <c r="H114" s="2">
        <f t="shared" si="29"/>
        <v>5.6745875199824408E-3</v>
      </c>
      <c r="I114" s="2">
        <f t="shared" si="30"/>
        <v>100000</v>
      </c>
      <c r="J114" s="3">
        <f t="shared" si="23"/>
        <v>0.19355463372120413</v>
      </c>
      <c r="K114" s="2">
        <f t="shared" si="31"/>
        <v>0</v>
      </c>
      <c r="L114" s="2">
        <f t="shared" si="32"/>
        <v>0</v>
      </c>
      <c r="M114" s="4">
        <f t="shared" si="24"/>
        <v>0</v>
      </c>
    </row>
    <row r="115" spans="2:13" x14ac:dyDescent="0.35">
      <c r="B115" s="3">
        <f t="shared" si="25"/>
        <v>106</v>
      </c>
      <c r="C115" s="4">
        <f t="shared" si="28"/>
        <v>106</v>
      </c>
      <c r="D115" s="2" cm="1">
        <f t="array" ref="D115">_xlfn.XLOOKUP(C115,'Mortality Tables'!$B$4:$B$124,_xlfn.XLOOKUP(mortality_table,'Mortality Tables'!$B$3:$G$3,'Mortality Tables'!$B$4:$G$124,0,0),0,0)</f>
        <v>0.50343199999999999</v>
      </c>
      <c r="E115" s="2">
        <f t="shared" si="21"/>
        <v>0.49656800000000001</v>
      </c>
      <c r="F115" s="2">
        <f t="shared" si="27"/>
        <v>3.7307332606736042E-4</v>
      </c>
      <c r="G115" s="2">
        <f t="shared" si="22"/>
        <v>1.8781705068874339E-4</v>
      </c>
      <c r="H115" s="2">
        <f t="shared" si="29"/>
        <v>5.4043690666499425E-3</v>
      </c>
      <c r="I115" s="2">
        <f t="shared" si="30"/>
        <v>100000</v>
      </c>
      <c r="J115" s="3">
        <f t="shared" si="23"/>
        <v>0.1015032658931669</v>
      </c>
      <c r="K115" s="2">
        <f t="shared" si="31"/>
        <v>0</v>
      </c>
      <c r="L115" s="2">
        <f t="shared" si="32"/>
        <v>0</v>
      </c>
      <c r="M115" s="4">
        <f t="shared" si="24"/>
        <v>0</v>
      </c>
    </row>
    <row r="116" spans="2:13" x14ac:dyDescent="0.35">
      <c r="B116" s="3">
        <f t="shared" si="25"/>
        <v>107</v>
      </c>
      <c r="C116" s="4">
        <f t="shared" si="28"/>
        <v>107</v>
      </c>
      <c r="D116" s="2" cm="1">
        <f t="array" ref="D116">_xlfn.XLOOKUP(C116,'Mortality Tables'!$B$4:$B$124,_xlfn.XLOOKUP(mortality_table,'Mortality Tables'!$B$3:$G$3,'Mortality Tables'!$B$4:$G$124,0,0),0,0)</f>
        <v>0.52949299999999999</v>
      </c>
      <c r="E116" s="2">
        <f t="shared" si="21"/>
        <v>0.47050700000000001</v>
      </c>
      <c r="F116" s="2">
        <f t="shared" si="27"/>
        <v>1.8525627537861703E-4</v>
      </c>
      <c r="G116" s="2">
        <f t="shared" si="22"/>
        <v>9.8091901019050067E-5</v>
      </c>
      <c r="H116" s="2">
        <f t="shared" si="29"/>
        <v>5.1470181587142325E-3</v>
      </c>
      <c r="I116" s="2">
        <f t="shared" si="30"/>
        <v>100000</v>
      </c>
      <c r="J116" s="3">
        <f t="shared" si="23"/>
        <v>5.0488079576784979E-2</v>
      </c>
      <c r="K116" s="2">
        <f t="shared" si="31"/>
        <v>0</v>
      </c>
      <c r="L116" s="2">
        <f t="shared" si="32"/>
        <v>0</v>
      </c>
      <c r="M116" s="4">
        <f t="shared" si="24"/>
        <v>0</v>
      </c>
    </row>
    <row r="117" spans="2:13" x14ac:dyDescent="0.35">
      <c r="B117" s="3">
        <f t="shared" si="25"/>
        <v>108</v>
      </c>
      <c r="C117" s="4">
        <f t="shared" si="28"/>
        <v>108</v>
      </c>
      <c r="D117" s="2" cm="1">
        <f t="array" ref="D117">_xlfn.XLOOKUP(C117,'Mortality Tables'!$B$4:$B$124,_xlfn.XLOOKUP(mortality_table,'Mortality Tables'!$B$3:$G$3,'Mortality Tables'!$B$4:$G$124,0,0),0,0)</f>
        <v>0.555674</v>
      </c>
      <c r="E117" s="2">
        <f t="shared" si="21"/>
        <v>0.444326</v>
      </c>
      <c r="F117" s="2">
        <f t="shared" si="27"/>
        <v>8.7164374359566967E-5</v>
      </c>
      <c r="G117" s="2">
        <f t="shared" si="22"/>
        <v>4.8434976557878017E-5</v>
      </c>
      <c r="H117" s="2">
        <f t="shared" si="29"/>
        <v>4.9019220559183155E-3</v>
      </c>
      <c r="I117" s="2">
        <f t="shared" si="30"/>
        <v>100000</v>
      </c>
      <c r="J117" s="3">
        <f t="shared" si="23"/>
        <v>2.3742447986694882E-2</v>
      </c>
      <c r="K117" s="2">
        <f t="shared" si="31"/>
        <v>0</v>
      </c>
      <c r="L117" s="2">
        <f t="shared" si="32"/>
        <v>0</v>
      </c>
      <c r="M117" s="4">
        <f t="shared" si="24"/>
        <v>0</v>
      </c>
    </row>
    <row r="118" spans="2:13" x14ac:dyDescent="0.35">
      <c r="B118" s="3">
        <f t="shared" si="25"/>
        <v>109</v>
      </c>
      <c r="C118" s="4">
        <f t="shared" si="28"/>
        <v>109</v>
      </c>
      <c r="D118" s="2" cm="1">
        <f t="array" ref="D118">_xlfn.XLOOKUP(C118,'Mortality Tables'!$B$4:$B$124,_xlfn.XLOOKUP(mortality_table,'Mortality Tables'!$B$3:$G$3,'Mortality Tables'!$B$4:$G$124,0,0),0,0)</f>
        <v>0.58185699999999996</v>
      </c>
      <c r="E118" s="2">
        <f t="shared" si="21"/>
        <v>0.41814300000000004</v>
      </c>
      <c r="F118" s="2">
        <f t="shared" si="27"/>
        <v>3.872939780168895E-5</v>
      </c>
      <c r="G118" s="2">
        <f t="shared" si="22"/>
        <v>2.2534971216697324E-5</v>
      </c>
      <c r="H118" s="2">
        <f t="shared" si="29"/>
        <v>4.6684971961126823E-3</v>
      </c>
      <c r="I118" s="2">
        <f t="shared" si="30"/>
        <v>100000</v>
      </c>
      <c r="J118" s="3">
        <f t="shared" si="23"/>
        <v>1.0520444993963146E-2</v>
      </c>
      <c r="K118" s="2">
        <f t="shared" si="31"/>
        <v>0</v>
      </c>
      <c r="L118" s="2">
        <f t="shared" si="32"/>
        <v>0</v>
      </c>
      <c r="M118" s="4">
        <f t="shared" si="24"/>
        <v>0</v>
      </c>
    </row>
    <row r="119" spans="2:13" x14ac:dyDescent="0.35">
      <c r="B119" s="3">
        <f t="shared" si="25"/>
        <v>110</v>
      </c>
      <c r="C119" s="4">
        <f t="shared" si="28"/>
        <v>110</v>
      </c>
      <c r="D119" s="2" cm="1">
        <f t="array" ref="D119">_xlfn.XLOOKUP(C119,'Mortality Tables'!$B$4:$B$124,_xlfn.XLOOKUP(mortality_table,'Mortality Tables'!$B$3:$G$3,'Mortality Tables'!$B$4:$G$124,0,0),0,0)</f>
        <v>0.60791799999999996</v>
      </c>
      <c r="E119" s="2">
        <f t="shared" si="21"/>
        <v>0.39208200000000004</v>
      </c>
      <c r="F119" s="2">
        <f t="shared" si="27"/>
        <v>1.6194426584991626E-5</v>
      </c>
      <c r="G119" s="2">
        <f t="shared" si="22"/>
        <v>9.8448834206949388E-6</v>
      </c>
      <c r="H119" s="2">
        <f t="shared" si="29"/>
        <v>4.4461878058216012E-3</v>
      </c>
      <c r="I119" s="2">
        <f t="shared" si="30"/>
        <v>100000</v>
      </c>
      <c r="J119" s="3">
        <f t="shared" si="23"/>
        <v>4.3772200614829093E-3</v>
      </c>
      <c r="K119" s="2">
        <f t="shared" si="31"/>
        <v>0</v>
      </c>
      <c r="L119" s="2">
        <f t="shared" si="32"/>
        <v>0</v>
      </c>
      <c r="M119" s="4">
        <f t="shared" si="24"/>
        <v>0</v>
      </c>
    </row>
    <row r="120" spans="2:13" x14ac:dyDescent="0.35">
      <c r="B120" s="3">
        <f t="shared" si="25"/>
        <v>111</v>
      </c>
      <c r="C120" s="4">
        <f t="shared" si="28"/>
        <v>111</v>
      </c>
      <c r="D120" s="2" cm="1">
        <f t="array" ref="D120">_xlfn.XLOOKUP(C120,'Mortality Tables'!$B$4:$B$124,_xlfn.XLOOKUP(mortality_table,'Mortality Tables'!$B$3:$G$3,'Mortality Tables'!$B$4:$G$124,0,0),0,0)</f>
        <v>0.63373100000000004</v>
      </c>
      <c r="E120" s="2">
        <f t="shared" si="21"/>
        <v>0.36626899999999996</v>
      </c>
      <c r="F120" s="2">
        <f t="shared" si="27"/>
        <v>6.3495431642966871E-6</v>
      </c>
      <c r="G120" s="2">
        <f t="shared" si="22"/>
        <v>4.0239023390529038E-6</v>
      </c>
      <c r="H120" s="2">
        <f t="shared" si="29"/>
        <v>4.2344645769729532E-3</v>
      </c>
      <c r="I120" s="2">
        <f t="shared" si="30"/>
        <v>100000</v>
      </c>
      <c r="J120" s="3">
        <f t="shared" si="23"/>
        <v>1.7039071915918131E-3</v>
      </c>
      <c r="K120" s="2">
        <f t="shared" si="31"/>
        <v>0</v>
      </c>
      <c r="L120" s="2">
        <f t="shared" si="32"/>
        <v>0</v>
      </c>
      <c r="M120" s="4">
        <f t="shared" si="24"/>
        <v>0</v>
      </c>
    </row>
    <row r="121" spans="2:13" x14ac:dyDescent="0.35">
      <c r="B121" s="3">
        <f t="shared" si="25"/>
        <v>112</v>
      </c>
      <c r="C121" s="4">
        <f t="shared" si="28"/>
        <v>112</v>
      </c>
      <c r="D121" s="2" cm="1">
        <f t="array" ref="D121">_xlfn.XLOOKUP(C121,'Mortality Tables'!$B$4:$B$124,_xlfn.XLOOKUP(mortality_table,'Mortality Tables'!$B$3:$G$3,'Mortality Tables'!$B$4:$G$124,0,0),0,0)</f>
        <v>0.65917099999999995</v>
      </c>
      <c r="E121" s="2">
        <f t="shared" si="21"/>
        <v>0.34082900000000005</v>
      </c>
      <c r="F121" s="2">
        <f t="shared" si="27"/>
        <v>2.3256408252437828E-6</v>
      </c>
      <c r="G121" s="2">
        <f t="shared" si="22"/>
        <v>1.5329949884167694E-6</v>
      </c>
      <c r="H121" s="2">
        <f t="shared" si="29"/>
        <v>4.0328234066409081E-3</v>
      </c>
      <c r="I121" s="2">
        <f t="shared" si="30"/>
        <v>100000</v>
      </c>
      <c r="J121" s="3">
        <f t="shared" si="23"/>
        <v>6.1822980715503561E-4</v>
      </c>
      <c r="K121" s="2">
        <f t="shared" si="31"/>
        <v>0</v>
      </c>
      <c r="L121" s="2">
        <f t="shared" si="32"/>
        <v>0</v>
      </c>
      <c r="M121" s="4">
        <f t="shared" si="24"/>
        <v>0</v>
      </c>
    </row>
    <row r="122" spans="2:13" x14ac:dyDescent="0.35">
      <c r="B122" s="3">
        <f t="shared" si="25"/>
        <v>113</v>
      </c>
      <c r="C122" s="4">
        <f t="shared" si="28"/>
        <v>113</v>
      </c>
      <c r="D122" s="2" cm="1">
        <f t="array" ref="D122">_xlfn.XLOOKUP(C122,'Mortality Tables'!$B$4:$B$124,_xlfn.XLOOKUP(mortality_table,'Mortality Tables'!$B$3:$G$3,'Mortality Tables'!$B$4:$G$124,0,0),0,0)</f>
        <v>0.684114</v>
      </c>
      <c r="E122" s="2">
        <f t="shared" si="21"/>
        <v>0.315886</v>
      </c>
      <c r="F122" s="2">
        <f t="shared" si="27"/>
        <v>7.9264583682701341E-7</v>
      </c>
      <c r="G122" s="2">
        <f t="shared" si="22"/>
        <v>5.4226011401507542E-7</v>
      </c>
      <c r="H122" s="2">
        <f t="shared" si="29"/>
        <v>3.8407841968008641E-3</v>
      </c>
      <c r="I122" s="2">
        <f t="shared" si="30"/>
        <v>100000</v>
      </c>
      <c r="J122" s="3">
        <f t="shared" si="23"/>
        <v>2.0827040764645363E-4</v>
      </c>
      <c r="K122" s="2">
        <f t="shared" si="31"/>
        <v>0</v>
      </c>
      <c r="L122" s="2">
        <f t="shared" si="32"/>
        <v>0</v>
      </c>
      <c r="M122" s="4">
        <f t="shared" si="24"/>
        <v>0</v>
      </c>
    </row>
    <row r="123" spans="2:13" x14ac:dyDescent="0.35">
      <c r="B123" s="3">
        <f t="shared" si="25"/>
        <v>114</v>
      </c>
      <c r="C123" s="4">
        <f t="shared" si="28"/>
        <v>114</v>
      </c>
      <c r="D123" s="2" cm="1">
        <f t="array" ref="D123">_xlfn.XLOOKUP(C123,'Mortality Tables'!$B$4:$B$124,_xlfn.XLOOKUP(mortality_table,'Mortality Tables'!$B$3:$G$3,'Mortality Tables'!$B$4:$G$124,0,0),0,0)</f>
        <v>0.70844200000000002</v>
      </c>
      <c r="E123" s="2">
        <f t="shared" si="21"/>
        <v>0.29155799999999998</v>
      </c>
      <c r="F123" s="2">
        <f t="shared" si="27"/>
        <v>2.5038572281193794E-7</v>
      </c>
      <c r="G123" s="2">
        <f t="shared" si="22"/>
        <v>1.7738376224033494E-7</v>
      </c>
      <c r="H123" s="2">
        <f t="shared" si="29"/>
        <v>3.6578897112389186E-3</v>
      </c>
      <c r="I123" s="2">
        <f t="shared" si="30"/>
        <v>100000</v>
      </c>
      <c r="J123" s="3">
        <f t="shared" si="23"/>
        <v>6.488502388397718E-5</v>
      </c>
      <c r="K123" s="2">
        <f t="shared" si="31"/>
        <v>0</v>
      </c>
      <c r="L123" s="2">
        <f t="shared" si="32"/>
        <v>0</v>
      </c>
      <c r="M123" s="4">
        <f t="shared" si="24"/>
        <v>0</v>
      </c>
    </row>
    <row r="124" spans="2:13" x14ac:dyDescent="0.35">
      <c r="B124" s="3">
        <f t="shared" si="25"/>
        <v>115</v>
      </c>
      <c r="C124" s="4">
        <f t="shared" si="28"/>
        <v>115</v>
      </c>
      <c r="D124" s="2" cm="1">
        <f t="array" ref="D124">_xlfn.XLOOKUP(C124,'Mortality Tables'!$B$4:$B$124,_xlfn.XLOOKUP(mortality_table,'Mortality Tables'!$B$3:$G$3,'Mortality Tables'!$B$4:$G$124,0,0),0,0)</f>
        <v>0.73204199999999997</v>
      </c>
      <c r="E124" s="2">
        <f t="shared" si="21"/>
        <v>0.26795800000000003</v>
      </c>
      <c r="F124" s="2">
        <f t="shared" si="27"/>
        <v>7.3001960571603E-8</v>
      </c>
      <c r="G124" s="2">
        <f t="shared" si="22"/>
        <v>5.3440501220757404E-8</v>
      </c>
      <c r="H124" s="2">
        <f t="shared" si="29"/>
        <v>3.4837044868942079E-3</v>
      </c>
      <c r="I124" s="2">
        <f t="shared" si="30"/>
        <v>100000</v>
      </c>
      <c r="J124" s="3">
        <f t="shared" si="23"/>
        <v>1.8617091388462795E-5</v>
      </c>
      <c r="K124" s="2">
        <f t="shared" si="31"/>
        <v>0</v>
      </c>
      <c r="L124" s="2">
        <f t="shared" si="32"/>
        <v>0</v>
      </c>
      <c r="M124" s="4">
        <f t="shared" si="24"/>
        <v>0</v>
      </c>
    </row>
    <row r="125" spans="2:13" x14ac:dyDescent="0.35">
      <c r="B125" s="3">
        <f t="shared" si="25"/>
        <v>116</v>
      </c>
      <c r="C125" s="4">
        <f t="shared" si="28"/>
        <v>116</v>
      </c>
      <c r="D125" s="2" cm="1">
        <f t="array" ref="D125">_xlfn.XLOOKUP(C125,'Mortality Tables'!$B$4:$B$124,_xlfn.XLOOKUP(mortality_table,'Mortality Tables'!$B$3:$G$3,'Mortality Tables'!$B$4:$G$124,0,0),0,0)</f>
        <v>0.75480899999999995</v>
      </c>
      <c r="E125" s="2">
        <f t="shared" si="21"/>
        <v>0.24519100000000005</v>
      </c>
      <c r="F125" s="2">
        <f t="shared" si="27"/>
        <v>1.9561459350845599E-8</v>
      </c>
      <c r="G125" s="2">
        <f t="shared" si="22"/>
        <v>1.4765165571152415E-8</v>
      </c>
      <c r="H125" s="2">
        <f t="shared" si="29"/>
        <v>3.3178137970421035E-3</v>
      </c>
      <c r="I125" s="2">
        <f t="shared" si="30"/>
        <v>100000</v>
      </c>
      <c r="J125" s="3">
        <f t="shared" si="23"/>
        <v>4.8988070047580538E-6</v>
      </c>
      <c r="K125" s="2">
        <f t="shared" si="31"/>
        <v>0</v>
      </c>
      <c r="L125" s="2">
        <f t="shared" si="32"/>
        <v>0</v>
      </c>
      <c r="M125" s="4">
        <f t="shared" si="24"/>
        <v>0</v>
      </c>
    </row>
    <row r="126" spans="2:13" x14ac:dyDescent="0.35">
      <c r="B126" s="3">
        <f t="shared" si="25"/>
        <v>117</v>
      </c>
      <c r="C126" s="4">
        <f t="shared" si="28"/>
        <v>117</v>
      </c>
      <c r="D126" s="2" cm="1">
        <f t="array" ref="D126">_xlfn.XLOOKUP(C126,'Mortality Tables'!$B$4:$B$124,_xlfn.XLOOKUP(mortality_table,'Mortality Tables'!$B$3:$G$3,'Mortality Tables'!$B$4:$G$124,0,0),0,0)</f>
        <v>0.77664800000000001</v>
      </c>
      <c r="E126" s="2">
        <f t="shared" si="21"/>
        <v>0.22335199999999999</v>
      </c>
      <c r="F126" s="2">
        <f t="shared" si="27"/>
        <v>4.7962937796931839E-9</v>
      </c>
      <c r="G126" s="2">
        <f t="shared" si="22"/>
        <v>3.7250319714111517E-9</v>
      </c>
      <c r="H126" s="2">
        <f t="shared" si="29"/>
        <v>3.1598226638496225E-3</v>
      </c>
      <c r="I126" s="2">
        <f t="shared" si="30"/>
        <v>100000</v>
      </c>
      <c r="J126" s="3">
        <f t="shared" si="23"/>
        <v>1.1770440446829396E-6</v>
      </c>
      <c r="K126" s="2">
        <f t="shared" si="31"/>
        <v>0</v>
      </c>
      <c r="L126" s="2">
        <f t="shared" si="32"/>
        <v>0</v>
      </c>
      <c r="M126" s="4">
        <f t="shared" si="24"/>
        <v>0</v>
      </c>
    </row>
    <row r="127" spans="2:13" x14ac:dyDescent="0.35">
      <c r="B127" s="3">
        <f t="shared" si="25"/>
        <v>118</v>
      </c>
      <c r="C127" s="4">
        <f t="shared" si="28"/>
        <v>118</v>
      </c>
      <c r="D127" s="2" cm="1">
        <f t="array" ref="D127">_xlfn.XLOOKUP(C127,'Mortality Tables'!$B$4:$B$124,_xlfn.XLOOKUP(mortality_table,'Mortality Tables'!$B$3:$G$3,'Mortality Tables'!$B$4:$G$124,0,0),0,0)</f>
        <v>0.79747699999999999</v>
      </c>
      <c r="E127" s="2">
        <f t="shared" si="21"/>
        <v>0.20252300000000001</v>
      </c>
      <c r="F127" s="2">
        <f t="shared" si="27"/>
        <v>1.071261808282032E-9</v>
      </c>
      <c r="G127" s="2">
        <f t="shared" si="22"/>
        <v>8.5430665308332999E-10</v>
      </c>
      <c r="H127" s="2">
        <f t="shared" si="29"/>
        <v>3.0093549179520209E-3</v>
      </c>
      <c r="I127" s="2">
        <f t="shared" si="30"/>
        <v>100000</v>
      </c>
      <c r="J127" s="3">
        <f t="shared" si="23"/>
        <v>2.5709119278954505E-7</v>
      </c>
      <c r="K127" s="2">
        <f t="shared" si="31"/>
        <v>0</v>
      </c>
      <c r="L127" s="2">
        <f t="shared" si="32"/>
        <v>0</v>
      </c>
      <c r="M127" s="4">
        <f t="shared" si="24"/>
        <v>0</v>
      </c>
    </row>
    <row r="128" spans="2:13" x14ac:dyDescent="0.35">
      <c r="B128" s="3">
        <f t="shared" si="25"/>
        <v>119</v>
      </c>
      <c r="C128" s="4">
        <f t="shared" si="28"/>
        <v>119</v>
      </c>
      <c r="D128" s="2" cm="1">
        <f t="array" ref="D128">_xlfn.XLOOKUP(C128,'Mortality Tables'!$B$4:$B$124,_xlfn.XLOOKUP(mortality_table,'Mortality Tables'!$B$3:$G$3,'Mortality Tables'!$B$4:$G$124,0,0),0,0)</f>
        <v>0.81722499999999998</v>
      </c>
      <c r="E128" s="2">
        <f t="shared" si="21"/>
        <v>0.18277500000000002</v>
      </c>
      <c r="F128" s="2">
        <f t="shared" si="27"/>
        <v>2.1695515519870196E-10</v>
      </c>
      <c r="G128" s="2">
        <f t="shared" si="22"/>
        <v>1.773011767072592E-10</v>
      </c>
      <c r="H128" s="2">
        <f t="shared" si="29"/>
        <v>2.8660523028114487E-3</v>
      </c>
      <c r="I128" s="2">
        <f t="shared" si="30"/>
        <v>100000</v>
      </c>
      <c r="J128" s="3">
        <f t="shared" si="23"/>
        <v>5.0815444579301984E-8</v>
      </c>
      <c r="K128" s="2">
        <f t="shared" si="31"/>
        <v>0</v>
      </c>
      <c r="L128" s="2">
        <f t="shared" si="32"/>
        <v>0</v>
      </c>
      <c r="M128" s="4">
        <f t="shared" si="24"/>
        <v>0</v>
      </c>
    </row>
    <row r="129" spans="2:13" ht="15" thickBot="1" x14ac:dyDescent="0.4">
      <c r="B129" s="6">
        <f t="shared" si="25"/>
        <v>120</v>
      </c>
      <c r="C129" s="8">
        <f t="shared" si="28"/>
        <v>120</v>
      </c>
      <c r="D129" s="2" cm="1">
        <f t="array" ref="D129">_xlfn.XLOOKUP(C129,'Mortality Tables'!$B$4:$B$124,_xlfn.XLOOKUP(mortality_table,'Mortality Tables'!$B$3:$G$3,'Mortality Tables'!$B$4:$G$124,0,0),0,0)</f>
        <v>1</v>
      </c>
      <c r="E129" s="7">
        <f t="shared" si="21"/>
        <v>0</v>
      </c>
      <c r="F129" s="7">
        <f t="shared" si="27"/>
        <v>3.9653978491442758E-11</v>
      </c>
      <c r="G129" s="7">
        <f t="shared" si="22"/>
        <v>3.9653978491442758E-11</v>
      </c>
      <c r="H129" s="2">
        <f t="shared" si="29"/>
        <v>2.729573621725189E-3</v>
      </c>
      <c r="I129" s="7">
        <f t="shared" si="30"/>
        <v>100000</v>
      </c>
      <c r="J129" s="6">
        <f t="shared" si="23"/>
        <v>1.0823845368670015E-8</v>
      </c>
      <c r="K129" s="2">
        <f t="shared" si="31"/>
        <v>0</v>
      </c>
      <c r="L129" s="2">
        <f t="shared" si="32"/>
        <v>0</v>
      </c>
      <c r="M129" s="8">
        <f t="shared" si="24"/>
        <v>0</v>
      </c>
    </row>
    <row r="130" spans="2:13" ht="15" thickBot="1" x14ac:dyDescent="0.4">
      <c r="J130" s="10">
        <f>SUM(J9:J129)</f>
        <v>3289.8545198904931</v>
      </c>
      <c r="K130" s="9">
        <f>SUM(K9:K129)</f>
        <v>29167.894275857332</v>
      </c>
      <c r="L130" s="9">
        <f>SUM(L9:L129)</f>
        <v>778.19483630694174</v>
      </c>
      <c r="M130" s="11">
        <f>SUM(M9:M129)</f>
        <v>29946.089112164274</v>
      </c>
    </row>
  </sheetData>
  <sheetProtection sheet="1" objects="1" scenarios="1"/>
  <mergeCells count="10">
    <mergeCell ref="E7:E8"/>
    <mergeCell ref="D7:D8"/>
    <mergeCell ref="C7:C8"/>
    <mergeCell ref="B7:B8"/>
    <mergeCell ref="B3:F3"/>
    <mergeCell ref="J7:M7"/>
    <mergeCell ref="I7:I8"/>
    <mergeCell ref="H7:H8"/>
    <mergeCell ref="G7:G8"/>
    <mergeCell ref="F7:F8"/>
  </mergeCell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62E90-E872-4FD5-8182-5198EAE754F9}">
  <dimension ref="B2:I1449"/>
  <sheetViews>
    <sheetView workbookViewId="0">
      <selection activeCell="I27" sqref="I27"/>
    </sheetView>
  </sheetViews>
  <sheetFormatPr defaultRowHeight="14.5" x14ac:dyDescent="0.35"/>
  <cols>
    <col min="2" max="2" width="7" customWidth="1"/>
    <col min="3" max="3" width="5.81640625" bestFit="1" customWidth="1"/>
    <col min="4" max="4" width="8.81640625" bestFit="1" customWidth="1"/>
    <col min="5" max="5" width="11.81640625" bestFit="1" customWidth="1"/>
    <col min="6" max="6" width="9.81640625" bestFit="1" customWidth="1"/>
    <col min="8" max="8" width="11" customWidth="1"/>
    <col min="9" max="9" width="12" customWidth="1"/>
    <col min="10" max="10" width="10.7265625" customWidth="1"/>
    <col min="11" max="11" width="7.36328125" bestFit="1" customWidth="1"/>
  </cols>
  <sheetData>
    <row r="2" spans="2:9" ht="15" thickBot="1" x14ac:dyDescent="0.4">
      <c r="B2" s="13" t="s">
        <v>58</v>
      </c>
    </row>
    <row r="3" spans="2:9" ht="15" thickBot="1" x14ac:dyDescent="0.4">
      <c r="B3" s="64" t="s">
        <v>67</v>
      </c>
      <c r="C3" s="65"/>
      <c r="D3" s="65"/>
      <c r="E3" s="65"/>
      <c r="F3" s="66"/>
      <c r="H3" s="64" t="s">
        <v>32</v>
      </c>
      <c r="I3" s="66"/>
    </row>
    <row r="4" spans="2:9" ht="43.5" x14ac:dyDescent="0.35">
      <c r="B4" s="14" t="s">
        <v>60</v>
      </c>
      <c r="C4" s="2">
        <f>current_age</f>
        <v>0</v>
      </c>
      <c r="E4" s="14" t="s">
        <v>74</v>
      </c>
      <c r="F4" s="2">
        <f>premium_payment_term</f>
        <v>26</v>
      </c>
      <c r="H4" s="37" t="s">
        <v>76</v>
      </c>
      <c r="I4" s="38">
        <f>SUM(I9:I1089)</f>
        <v>238.10557692404225</v>
      </c>
    </row>
    <row r="5" spans="2:9" ht="29" x14ac:dyDescent="0.35">
      <c r="B5" s="14" t="s">
        <v>59</v>
      </c>
      <c r="C5" s="2">
        <f>_xlfn.MAXIFS('Mortality Tables'!$B$4:$B$124,_xlfn.XLOOKUP(mortality_table,'Mortality Tables'!$B$3:$G$3,'Mortality Tables'!$B$4:$G$124,0,0),"&gt;0")</f>
        <v>120</v>
      </c>
      <c r="E5" s="14" t="s">
        <v>64</v>
      </c>
      <c r="F5" s="2">
        <f>1/_xlfn.XLOOKUP(premium_frequency,Frequencies[frequency],Frequencies[periods per year],,0)</f>
        <v>8.3333333333333329E-2</v>
      </c>
      <c r="G5" s="25"/>
      <c r="H5" s="14" t="s">
        <v>77</v>
      </c>
      <c r="I5" s="24" cm="1">
        <f t="array" ref="I5">SUM(_xlfn._xlws.FILTER(I9:I1089,B9:B1089&lt;$F$4))</f>
        <v>176.30608609390458</v>
      </c>
    </row>
    <row r="7" spans="2:9" ht="15" thickBot="1" x14ac:dyDescent="0.4"/>
    <row r="8" spans="2:9" ht="29.5" thickBot="1" x14ac:dyDescent="0.4">
      <c r="B8" s="20" t="s">
        <v>1</v>
      </c>
      <c r="C8" s="23" t="s">
        <v>6</v>
      </c>
      <c r="D8" s="22" t="s">
        <v>63</v>
      </c>
      <c r="E8" s="21" t="s">
        <v>65</v>
      </c>
      <c r="F8" s="21" t="s">
        <v>66</v>
      </c>
      <c r="G8" s="21" t="s">
        <v>45</v>
      </c>
      <c r="H8" s="21" t="s">
        <v>61</v>
      </c>
      <c r="I8" s="35" t="s">
        <v>62</v>
      </c>
    </row>
    <row r="9" spans="2:9" x14ac:dyDescent="0.35">
      <c r="B9" s="16">
        <v>0</v>
      </c>
      <c r="C9" s="17">
        <f t="shared" ref="C9:C72" si="0">current_age+B9</f>
        <v>0</v>
      </c>
      <c r="D9" s="1" cm="1">
        <f t="array" ref="D9">_xlfn.XLOOKUP(_xlfn.FLOOR.MATH(C9),'Mortality Tables'!$B$4:$B$124,_xlfn.XLOOKUP(mortality_table,'Mortality Tables'!$B$3:$G$3,'Mortality Tables'!$B$4:$G$124,0,0),0,0)</f>
        <v>3.5990000000000002E-3</v>
      </c>
      <c r="E9" s="1">
        <f t="shared" ref="E9:E72" si="1">$F$5*D9</f>
        <v>2.9991666666666665E-4</v>
      </c>
      <c r="F9" s="1">
        <f>1-E9</f>
        <v>0.99970008333333338</v>
      </c>
      <c r="G9" s="33">
        <v>1</v>
      </c>
      <c r="H9" s="34">
        <f t="shared" ref="H9:H72" si="2">(1+interest_rate)^-(B9)</f>
        <v>1</v>
      </c>
      <c r="I9" s="36">
        <f t="shared" ref="I9:I72" si="3">IF(current_age+B9&lt;=$C$5,G9*H9,0)</f>
        <v>1</v>
      </c>
    </row>
    <row r="10" spans="2:9" x14ac:dyDescent="0.35">
      <c r="B10" s="16">
        <f t="shared" ref="B10:B73" si="4">B9+$F$5</f>
        <v>8.3333333333333329E-2</v>
      </c>
      <c r="C10" s="17">
        <f t="shared" si="0"/>
        <v>8.3333333333333329E-2</v>
      </c>
      <c r="D10" s="1" cm="1">
        <f t="array" ref="D10">_xlfn.XLOOKUP(_xlfn.FLOOR.MATH(C10),'Mortality Tables'!$B$4:$B$124,_xlfn.XLOOKUP(mortality_table,'Mortality Tables'!$B$3:$G$3,'Mortality Tables'!$B$4:$G$124,0,0),0,0)</f>
        <v>3.5990000000000002E-3</v>
      </c>
      <c r="E10" s="1">
        <f t="shared" si="1"/>
        <v>2.9991666666666665E-4</v>
      </c>
      <c r="F10" s="1">
        <f t="shared" ref="F10:F26" si="5">1-E10</f>
        <v>0.99970008333333338</v>
      </c>
      <c r="G10" s="1">
        <f>G9*F9</f>
        <v>0.99970008333333338</v>
      </c>
      <c r="H10" s="34">
        <f t="shared" si="2"/>
        <v>0.99594240735106698</v>
      </c>
      <c r="I10" s="36">
        <f t="shared" si="3"/>
        <v>0.99564370762406229</v>
      </c>
    </row>
    <row r="11" spans="2:9" x14ac:dyDescent="0.35">
      <c r="B11" s="16">
        <f t="shared" si="4"/>
        <v>0.16666666666666666</v>
      </c>
      <c r="C11" s="17">
        <f t="shared" si="0"/>
        <v>0.16666666666666666</v>
      </c>
      <c r="D11" s="1" cm="1">
        <f t="array" ref="D11">_xlfn.XLOOKUP(_xlfn.FLOOR.MATH(C11),'Mortality Tables'!$B$4:$B$124,_xlfn.XLOOKUP(mortality_table,'Mortality Tables'!$B$3:$G$3,'Mortality Tables'!$B$4:$G$124,0,0),0,0)</f>
        <v>3.5990000000000002E-3</v>
      </c>
      <c r="E11" s="1">
        <f t="shared" si="1"/>
        <v>2.9991666666666665E-4</v>
      </c>
      <c r="F11" s="1">
        <f t="shared" si="5"/>
        <v>0.99970008333333338</v>
      </c>
      <c r="G11" s="1">
        <f t="shared" ref="G11:G26" si="6">G10*F10</f>
        <v>0.99940025661667375</v>
      </c>
      <c r="H11" s="34">
        <f t="shared" si="2"/>
        <v>0.99190127876023881</v>
      </c>
      <c r="I11" s="36">
        <f t="shared" si="3"/>
        <v>0.99130639253138952</v>
      </c>
    </row>
    <row r="12" spans="2:9" x14ac:dyDescent="0.35">
      <c r="B12" s="16">
        <f t="shared" si="4"/>
        <v>0.25</v>
      </c>
      <c r="C12" s="17">
        <f t="shared" si="0"/>
        <v>0.25</v>
      </c>
      <c r="D12" s="1" cm="1">
        <f t="array" ref="D12">_xlfn.XLOOKUP(_xlfn.FLOOR.MATH(C12),'Mortality Tables'!$B$4:$B$124,_xlfn.XLOOKUP(mortality_table,'Mortality Tables'!$B$3:$G$3,'Mortality Tables'!$B$4:$G$124,0,0),0,0)</f>
        <v>3.5990000000000002E-3</v>
      </c>
      <c r="E12" s="1">
        <f t="shared" si="1"/>
        <v>2.9991666666666665E-4</v>
      </c>
      <c r="F12" s="1">
        <f t="shared" si="5"/>
        <v>0.99970008333333338</v>
      </c>
      <c r="G12" s="1">
        <f t="shared" si="6"/>
        <v>0.99910051982304349</v>
      </c>
      <c r="H12" s="34">
        <f t="shared" si="2"/>
        <v>0.98787654742307407</v>
      </c>
      <c r="I12" s="36">
        <f t="shared" si="3"/>
        <v>0.98698797205138677</v>
      </c>
    </row>
    <row r="13" spans="2:9" x14ac:dyDescent="0.35">
      <c r="B13" s="16">
        <f t="shared" si="4"/>
        <v>0.33333333333333331</v>
      </c>
      <c r="C13" s="17">
        <f t="shared" si="0"/>
        <v>0.33333333333333331</v>
      </c>
      <c r="D13" s="1" cm="1">
        <f t="array" ref="D13">_xlfn.XLOOKUP(_xlfn.FLOOR.MATH(C13),'Mortality Tables'!$B$4:$B$124,_xlfn.XLOOKUP(mortality_table,'Mortality Tables'!$B$3:$G$3,'Mortality Tables'!$B$4:$G$124,0,0),0,0)</f>
        <v>3.5990000000000002E-3</v>
      </c>
      <c r="E13" s="1">
        <f t="shared" si="1"/>
        <v>2.9991666666666665E-4</v>
      </c>
      <c r="F13" s="1">
        <f t="shared" si="5"/>
        <v>0.99970008333333338</v>
      </c>
      <c r="G13" s="1">
        <f t="shared" si="6"/>
        <v>0.99880087292547326</v>
      </c>
      <c r="H13" s="34">
        <f t="shared" si="2"/>
        <v>0.98386814680619694</v>
      </c>
      <c r="I13" s="36">
        <f t="shared" si="3"/>
        <v>0.98268836387359715</v>
      </c>
    </row>
    <row r="14" spans="2:9" x14ac:dyDescent="0.35">
      <c r="B14" s="16">
        <f t="shared" si="4"/>
        <v>0.41666666666666663</v>
      </c>
      <c r="C14" s="17">
        <f t="shared" si="0"/>
        <v>0.41666666666666663</v>
      </c>
      <c r="D14" s="1" cm="1">
        <f t="array" ref="D14">_xlfn.XLOOKUP(_xlfn.FLOOR.MATH(C14),'Mortality Tables'!$B$4:$B$124,_xlfn.XLOOKUP(mortality_table,'Mortality Tables'!$B$3:$G$3,'Mortality Tables'!$B$4:$G$124,0,0),0,0)</f>
        <v>3.5990000000000002E-3</v>
      </c>
      <c r="E14" s="1">
        <f t="shared" si="1"/>
        <v>2.9991666666666665E-4</v>
      </c>
      <c r="F14" s="1">
        <f t="shared" si="5"/>
        <v>0.99970008333333338</v>
      </c>
      <c r="G14" s="1">
        <f t="shared" si="6"/>
        <v>0.99850131589700175</v>
      </c>
      <c r="H14" s="34">
        <f t="shared" si="2"/>
        <v>0.97987601064619689</v>
      </c>
      <c r="I14" s="36">
        <f t="shared" si="3"/>
        <v>0.97840748604613215</v>
      </c>
    </row>
    <row r="15" spans="2:9" x14ac:dyDescent="0.35">
      <c r="B15" s="16">
        <f t="shared" si="4"/>
        <v>0.49999999999999994</v>
      </c>
      <c r="C15" s="17">
        <f t="shared" si="0"/>
        <v>0.49999999999999994</v>
      </c>
      <c r="D15" s="1" cm="1">
        <f t="array" ref="D15">_xlfn.XLOOKUP(_xlfn.FLOOR.MATH(C15),'Mortality Tables'!$B$4:$B$124,_xlfn.XLOOKUP(mortality_table,'Mortality Tables'!$B$3:$G$3,'Mortality Tables'!$B$4:$G$124,0,0),0,0)</f>
        <v>3.5990000000000002E-3</v>
      </c>
      <c r="E15" s="1">
        <f t="shared" si="1"/>
        <v>2.9991666666666665E-4</v>
      </c>
      <c r="F15" s="1">
        <f t="shared" si="5"/>
        <v>0.99970008333333338</v>
      </c>
      <c r="G15" s="1">
        <f t="shared" si="6"/>
        <v>0.99820184871067563</v>
      </c>
      <c r="H15" s="34">
        <f t="shared" si="2"/>
        <v>0.97590007294853309</v>
      </c>
      <c r="I15" s="36">
        <f t="shared" si="3"/>
        <v>0.97414525697410892</v>
      </c>
    </row>
    <row r="16" spans="2:9" x14ac:dyDescent="0.35">
      <c r="B16" s="16">
        <f t="shared" si="4"/>
        <v>0.58333333333333326</v>
      </c>
      <c r="C16" s="17">
        <f t="shared" si="0"/>
        <v>0.58333333333333326</v>
      </c>
      <c r="D16" s="1" cm="1">
        <f t="array" ref="D16">_xlfn.XLOOKUP(_xlfn.FLOOR.MATH(C16),'Mortality Tables'!$B$4:$B$124,_xlfn.XLOOKUP(mortality_table,'Mortality Tables'!$B$3:$G$3,'Mortality Tables'!$B$4:$G$124,0,0),0,0)</f>
        <v>3.5990000000000002E-3</v>
      </c>
      <c r="E16" s="1">
        <f t="shared" si="1"/>
        <v>2.9991666666666665E-4</v>
      </c>
      <c r="F16" s="1">
        <f t="shared" si="5"/>
        <v>0.99970008333333338</v>
      </c>
      <c r="G16" s="1">
        <f t="shared" si="6"/>
        <v>0.9979024713395499</v>
      </c>
      <c r="H16" s="34">
        <f t="shared" si="2"/>
        <v>0.97194026798644406</v>
      </c>
      <c r="I16" s="36">
        <f t="shared" si="3"/>
        <v>0.96990159541809695</v>
      </c>
    </row>
    <row r="17" spans="2:9" x14ac:dyDescent="0.35">
      <c r="B17" s="16">
        <f t="shared" si="4"/>
        <v>0.66666666666666663</v>
      </c>
      <c r="C17" s="17">
        <f t="shared" si="0"/>
        <v>0.66666666666666663</v>
      </c>
      <c r="D17" s="1" cm="1">
        <f t="array" ref="D17">_xlfn.XLOOKUP(_xlfn.FLOOR.MATH(C17),'Mortality Tables'!$B$4:$B$124,_xlfn.XLOOKUP(mortality_table,'Mortality Tables'!$B$3:$G$3,'Mortality Tables'!$B$4:$G$124,0,0),0,0)</f>
        <v>3.5990000000000002E-3</v>
      </c>
      <c r="E17" s="1">
        <f t="shared" si="1"/>
        <v>2.9991666666666665E-4</v>
      </c>
      <c r="F17" s="1">
        <f t="shared" si="5"/>
        <v>0.99970008333333338</v>
      </c>
      <c r="G17" s="1">
        <f t="shared" si="6"/>
        <v>0.99760318375668733</v>
      </c>
      <c r="H17" s="34">
        <f t="shared" si="2"/>
        <v>0.96799653029986032</v>
      </c>
      <c r="I17" s="36">
        <f t="shared" si="3"/>
        <v>0.9656764204925673</v>
      </c>
    </row>
    <row r="18" spans="2:9" x14ac:dyDescent="0.35">
      <c r="B18" s="16">
        <f t="shared" si="4"/>
        <v>0.75</v>
      </c>
      <c r="C18" s="17">
        <f t="shared" si="0"/>
        <v>0.75</v>
      </c>
      <c r="D18" s="1" cm="1">
        <f t="array" ref="D18">_xlfn.XLOOKUP(_xlfn.FLOOR.MATH(C18),'Mortality Tables'!$B$4:$B$124,_xlfn.XLOOKUP(mortality_table,'Mortality Tables'!$B$3:$G$3,'Mortality Tables'!$B$4:$G$124,0,0),0,0)</f>
        <v>3.5990000000000002E-3</v>
      </c>
      <c r="E18" s="1">
        <f t="shared" si="1"/>
        <v>2.9991666666666665E-4</v>
      </c>
      <c r="F18" s="1">
        <f>1-E18</f>
        <v>0.99970008333333338</v>
      </c>
      <c r="G18" s="1">
        <f t="shared" si="6"/>
        <v>0.99730398593515901</v>
      </c>
      <c r="H18" s="34">
        <f t="shared" si="2"/>
        <v>0.96406879469432316</v>
      </c>
      <c r="I18" s="36">
        <f t="shared" si="3"/>
        <v>0.96146965166435294</v>
      </c>
    </row>
    <row r="19" spans="2:9" x14ac:dyDescent="0.35">
      <c r="B19" s="16">
        <f t="shared" si="4"/>
        <v>0.83333333333333337</v>
      </c>
      <c r="C19" s="17">
        <f t="shared" si="0"/>
        <v>0.83333333333333337</v>
      </c>
      <c r="D19" s="1" cm="1">
        <f t="array" ref="D19">_xlfn.XLOOKUP(_xlfn.FLOOR.MATH(C19),'Mortality Tables'!$B$4:$B$124,_xlfn.XLOOKUP(mortality_table,'Mortality Tables'!$B$3:$G$3,'Mortality Tables'!$B$4:$G$124,0,0),0,0)</f>
        <v>3.5990000000000002E-3</v>
      </c>
      <c r="E19" s="1">
        <f t="shared" si="1"/>
        <v>2.9991666666666665E-4</v>
      </c>
      <c r="F19" s="1">
        <f t="shared" si="5"/>
        <v>0.99970008333333338</v>
      </c>
      <c r="G19" s="1">
        <f t="shared" si="6"/>
        <v>0.99700487784804404</v>
      </c>
      <c r="H19" s="34">
        <f t="shared" si="2"/>
        <v>0.96015699623990569</v>
      </c>
      <c r="I19" s="36">
        <f t="shared" si="3"/>
        <v>0.957281208751112</v>
      </c>
    </row>
    <row r="20" spans="2:9" x14ac:dyDescent="0.35">
      <c r="B20" s="16">
        <f t="shared" si="4"/>
        <v>0.91666666666666674</v>
      </c>
      <c r="C20" s="17">
        <f t="shared" si="0"/>
        <v>0.91666666666666674</v>
      </c>
      <c r="D20" s="1" cm="1">
        <f t="array" ref="D20">_xlfn.XLOOKUP(_xlfn.FLOOR.MATH(C20),'Mortality Tables'!$B$4:$B$124,_xlfn.XLOOKUP(mortality_table,'Mortality Tables'!$B$3:$G$3,'Mortality Tables'!$B$4:$G$124,0,0),0,0)</f>
        <v>3.5990000000000002E-3</v>
      </c>
      <c r="E20" s="1">
        <f t="shared" si="1"/>
        <v>2.9991666666666665E-4</v>
      </c>
      <c r="F20" s="1">
        <f t="shared" si="5"/>
        <v>0.99970008333333338</v>
      </c>
      <c r="G20" s="1">
        <f t="shared" si="6"/>
        <v>0.99670585946842949</v>
      </c>
      <c r="H20" s="34">
        <f t="shared" si="2"/>
        <v>0.95626107027014118</v>
      </c>
      <c r="I20" s="36">
        <f t="shared" si="3"/>
        <v>0.9531110119198013</v>
      </c>
    </row>
    <row r="21" spans="2:9" x14ac:dyDescent="0.35">
      <c r="B21" s="16">
        <f t="shared" si="4"/>
        <v>1</v>
      </c>
      <c r="C21" s="17">
        <f t="shared" si="0"/>
        <v>1</v>
      </c>
      <c r="D21" s="1" cm="1">
        <f t="array" ref="D21">_xlfn.XLOOKUP(_xlfn.FLOOR.MATH(C21),'Mortality Tables'!$B$4:$B$124,_xlfn.XLOOKUP(mortality_table,'Mortality Tables'!$B$3:$G$3,'Mortality Tables'!$B$4:$G$124,0,0),0,0)</f>
        <v>6.2E-4</v>
      </c>
      <c r="E21" s="1">
        <f t="shared" si="1"/>
        <v>5.1666666666666664E-5</v>
      </c>
      <c r="F21" s="1">
        <f t="shared" si="5"/>
        <v>0.99994833333333333</v>
      </c>
      <c r="G21" s="1">
        <f t="shared" si="6"/>
        <v>0.99640693076941067</v>
      </c>
      <c r="H21" s="34">
        <f t="shared" si="2"/>
        <v>0.95238095238095233</v>
      </c>
      <c r="I21" s="36">
        <f t="shared" si="3"/>
        <v>0.94895898168515291</v>
      </c>
    </row>
    <row r="22" spans="2:9" x14ac:dyDescent="0.35">
      <c r="B22" s="16">
        <f t="shared" si="4"/>
        <v>1.0833333333333333</v>
      </c>
      <c r="C22" s="17">
        <f t="shared" si="0"/>
        <v>1.0833333333333333</v>
      </c>
      <c r="D22" s="1" cm="1">
        <f t="array" ref="D22">_xlfn.XLOOKUP(_xlfn.FLOOR.MATH(C22),'Mortality Tables'!$B$4:$B$124,_xlfn.XLOOKUP(mortality_table,'Mortality Tables'!$B$3:$G$3,'Mortality Tables'!$B$4:$G$124,0,0),0,0)</f>
        <v>6.2E-4</v>
      </c>
      <c r="E22" s="1">
        <f t="shared" si="1"/>
        <v>5.1666666666666664E-5</v>
      </c>
      <c r="F22" s="1">
        <f t="shared" si="5"/>
        <v>0.99994833333333333</v>
      </c>
      <c r="G22" s="1">
        <f t="shared" si="6"/>
        <v>0.99635544974465429</v>
      </c>
      <c r="H22" s="34">
        <f t="shared" si="2"/>
        <v>0.94851657842958759</v>
      </c>
      <c r="I22" s="36">
        <f t="shared" si="3"/>
        <v>0.94505966209147241</v>
      </c>
    </row>
    <row r="23" spans="2:9" x14ac:dyDescent="0.35">
      <c r="B23" s="16">
        <f t="shared" si="4"/>
        <v>1.1666666666666665</v>
      </c>
      <c r="C23" s="17">
        <f t="shared" si="0"/>
        <v>1.1666666666666665</v>
      </c>
      <c r="D23" s="1" cm="1">
        <f t="array" ref="D23">_xlfn.XLOOKUP(_xlfn.FLOOR.MATH(C23),'Mortality Tables'!$B$4:$B$124,_xlfn.XLOOKUP(mortality_table,'Mortality Tables'!$B$3:$G$3,'Mortality Tables'!$B$4:$G$124,0,0),0,0)</f>
        <v>6.2E-4</v>
      </c>
      <c r="E23" s="1">
        <f t="shared" si="1"/>
        <v>5.1666666666666664E-5</v>
      </c>
      <c r="F23" s="1">
        <f t="shared" si="5"/>
        <v>0.99994833333333333</v>
      </c>
      <c r="G23" s="1">
        <f t="shared" si="6"/>
        <v>0.9963039713797508</v>
      </c>
      <c r="H23" s="34">
        <f t="shared" si="2"/>
        <v>0.94466788453356076</v>
      </c>
      <c r="I23" s="36">
        <f t="shared" si="3"/>
        <v>0.94117636499569446</v>
      </c>
    </row>
    <row r="24" spans="2:9" x14ac:dyDescent="0.35">
      <c r="B24" s="16">
        <f t="shared" si="4"/>
        <v>1.2499999999999998</v>
      </c>
      <c r="C24" s="17">
        <f t="shared" si="0"/>
        <v>1.2499999999999998</v>
      </c>
      <c r="D24" s="1" cm="1">
        <f t="array" ref="D24">_xlfn.XLOOKUP(_xlfn.FLOOR.MATH(C24),'Mortality Tables'!$B$4:$B$124,_xlfn.XLOOKUP(mortality_table,'Mortality Tables'!$B$3:$G$3,'Mortality Tables'!$B$4:$G$124,0,0),0,0)</f>
        <v>6.2E-4</v>
      </c>
      <c r="E24" s="1">
        <f t="shared" si="1"/>
        <v>5.1666666666666664E-5</v>
      </c>
      <c r="F24" s="1">
        <f t="shared" si="5"/>
        <v>0.99994833333333333</v>
      </c>
      <c r="G24" s="1">
        <f t="shared" si="6"/>
        <v>0.99625249567456287</v>
      </c>
      <c r="H24" s="34">
        <f t="shared" si="2"/>
        <v>0.94083480706959433</v>
      </c>
      <c r="I24" s="36">
        <f t="shared" si="3"/>
        <v>0.93730902456057918</v>
      </c>
    </row>
    <row r="25" spans="2:9" x14ac:dyDescent="0.35">
      <c r="B25" s="16">
        <f t="shared" si="4"/>
        <v>1.333333333333333</v>
      </c>
      <c r="C25" s="17">
        <f t="shared" si="0"/>
        <v>1.333333333333333</v>
      </c>
      <c r="D25" s="1" cm="1">
        <f t="array" ref="D25">_xlfn.XLOOKUP(_xlfn.FLOOR.MATH(C25),'Mortality Tables'!$B$4:$B$124,_xlfn.XLOOKUP(mortality_table,'Mortality Tables'!$B$3:$G$3,'Mortality Tables'!$B$4:$G$124,0,0),0,0)</f>
        <v>6.2E-4</v>
      </c>
      <c r="E25" s="1">
        <f t="shared" si="1"/>
        <v>5.1666666666666664E-5</v>
      </c>
      <c r="F25" s="1">
        <f t="shared" si="5"/>
        <v>0.99994833333333333</v>
      </c>
      <c r="G25" s="1">
        <f t="shared" si="6"/>
        <v>0.99620102262895305</v>
      </c>
      <c r="H25" s="34">
        <f t="shared" si="2"/>
        <v>0.93701728267256856</v>
      </c>
      <c r="I25" s="36">
        <f t="shared" si="3"/>
        <v>0.93345757521941553</v>
      </c>
    </row>
    <row r="26" spans="2:9" x14ac:dyDescent="0.35">
      <c r="B26" s="16">
        <f t="shared" si="4"/>
        <v>1.4166666666666663</v>
      </c>
      <c r="C26" s="17">
        <f t="shared" si="0"/>
        <v>1.4166666666666663</v>
      </c>
      <c r="D26" s="1" cm="1">
        <f t="array" ref="D26">_xlfn.XLOOKUP(_xlfn.FLOOR.MATH(C26),'Mortality Tables'!$B$4:$B$124,_xlfn.XLOOKUP(mortality_table,'Mortality Tables'!$B$3:$G$3,'Mortality Tables'!$B$4:$G$124,0,0),0,0)</f>
        <v>6.2E-4</v>
      </c>
      <c r="E26" s="1">
        <f t="shared" si="1"/>
        <v>5.1666666666666664E-5</v>
      </c>
      <c r="F26" s="1">
        <f t="shared" si="5"/>
        <v>0.99994833333333333</v>
      </c>
      <c r="G26" s="1">
        <f t="shared" si="6"/>
        <v>0.9961495522427839</v>
      </c>
      <c r="H26" s="34">
        <f t="shared" si="2"/>
        <v>0.93321524823447322</v>
      </c>
      <c r="I26" s="36">
        <f t="shared" si="3"/>
        <v>0.92962195167490891</v>
      </c>
    </row>
    <row r="27" spans="2:9" x14ac:dyDescent="0.35">
      <c r="B27" s="16">
        <f t="shared" si="4"/>
        <v>1.4999999999999996</v>
      </c>
      <c r="C27" s="17">
        <f t="shared" si="0"/>
        <v>1.4999999999999996</v>
      </c>
      <c r="D27" s="1" cm="1">
        <f t="array" ref="D27">_xlfn.XLOOKUP(_xlfn.FLOOR.MATH(C27),'Mortality Tables'!$B$4:$B$124,_xlfn.XLOOKUP(mortality_table,'Mortality Tables'!$B$3:$G$3,'Mortality Tables'!$B$4:$G$124,0,0),0,0)</f>
        <v>6.2E-4</v>
      </c>
      <c r="E27" s="1">
        <f t="shared" si="1"/>
        <v>5.1666666666666664E-5</v>
      </c>
      <c r="F27" s="1">
        <f t="shared" ref="F27:F90" si="7">1-E27</f>
        <v>0.99994833333333333</v>
      </c>
      <c r="G27" s="1">
        <f t="shared" ref="G27:G90" si="8">G26*F26</f>
        <v>0.99609808451591797</v>
      </c>
      <c r="H27" s="34">
        <f t="shared" si="2"/>
        <v>0.92942864090336497</v>
      </c>
      <c r="I27" s="36">
        <f t="shared" si="3"/>
        <v>0.9258020888980748</v>
      </c>
    </row>
    <row r="28" spans="2:9" x14ac:dyDescent="0.35">
      <c r="B28" s="16">
        <f t="shared" si="4"/>
        <v>1.5833333333333328</v>
      </c>
      <c r="C28" s="17">
        <f t="shared" si="0"/>
        <v>1.5833333333333328</v>
      </c>
      <c r="D28" s="1" cm="1">
        <f t="array" ref="D28">_xlfn.XLOOKUP(_xlfn.FLOOR.MATH(C28),'Mortality Tables'!$B$4:$B$124,_xlfn.XLOOKUP(mortality_table,'Mortality Tables'!$B$3:$G$3,'Mortality Tables'!$B$4:$G$124,0,0),0,0)</f>
        <v>6.2E-4</v>
      </c>
      <c r="E28" s="1">
        <f t="shared" si="1"/>
        <v>5.1666666666666664E-5</v>
      </c>
      <c r="F28" s="1">
        <f t="shared" si="7"/>
        <v>0.99994833333333333</v>
      </c>
      <c r="G28" s="1">
        <f t="shared" si="8"/>
        <v>0.99604661944821793</v>
      </c>
      <c r="H28" s="34">
        <f t="shared" si="2"/>
        <v>0.92565739808232761</v>
      </c>
      <c r="I28" s="36">
        <f t="shared" si="3"/>
        <v>0.92199792212713572</v>
      </c>
    </row>
    <row r="29" spans="2:9" x14ac:dyDescent="0.35">
      <c r="B29" s="16">
        <f t="shared" si="4"/>
        <v>1.6666666666666661</v>
      </c>
      <c r="C29" s="17">
        <f t="shared" si="0"/>
        <v>1.6666666666666661</v>
      </c>
      <c r="D29" s="1" cm="1">
        <f t="array" ref="D29">_xlfn.XLOOKUP(_xlfn.FLOOR.MATH(C29),'Mortality Tables'!$B$4:$B$124,_xlfn.XLOOKUP(mortality_table,'Mortality Tables'!$B$3:$G$3,'Mortality Tables'!$B$4:$G$124,0,0),0,0)</f>
        <v>6.2E-4</v>
      </c>
      <c r="E29" s="1">
        <f t="shared" si="1"/>
        <v>5.1666666666666664E-5</v>
      </c>
      <c r="F29" s="1">
        <f t="shared" si="7"/>
        <v>0.99994833333333333</v>
      </c>
      <c r="G29" s="1">
        <f t="shared" si="8"/>
        <v>0.99599515703954644</v>
      </c>
      <c r="H29" s="34">
        <f t="shared" si="2"/>
        <v>0.92190145742843832</v>
      </c>
      <c r="I29" s="36">
        <f t="shared" si="3"/>
        <v>0.91820938686642417</v>
      </c>
    </row>
    <row r="30" spans="2:9" x14ac:dyDescent="0.35">
      <c r="B30" s="16">
        <f t="shared" si="4"/>
        <v>1.7499999999999993</v>
      </c>
      <c r="C30" s="17">
        <f t="shared" si="0"/>
        <v>1.7499999999999993</v>
      </c>
      <c r="D30" s="1" cm="1">
        <f t="array" ref="D30">_xlfn.XLOOKUP(_xlfn.FLOOR.MATH(C30),'Mortality Tables'!$B$4:$B$124,_xlfn.XLOOKUP(mortality_table,'Mortality Tables'!$B$3:$G$3,'Mortality Tables'!$B$4:$G$124,0,0),0,0)</f>
        <v>6.2E-4</v>
      </c>
      <c r="E30" s="1">
        <f t="shared" si="1"/>
        <v>5.1666666666666664E-5</v>
      </c>
      <c r="F30" s="1">
        <f t="shared" si="7"/>
        <v>0.99994833333333333</v>
      </c>
      <c r="G30" s="1">
        <f t="shared" si="8"/>
        <v>0.99594369728976606</v>
      </c>
      <c r="H30" s="34">
        <f t="shared" si="2"/>
        <v>0.91816075685173626</v>
      </c>
      <c r="I30" s="36">
        <f t="shared" si="3"/>
        <v>0.91443641888528815</v>
      </c>
    </row>
    <row r="31" spans="2:9" x14ac:dyDescent="0.35">
      <c r="B31" s="16">
        <f t="shared" si="4"/>
        <v>1.8333333333333326</v>
      </c>
      <c r="C31" s="17">
        <f t="shared" si="0"/>
        <v>1.8333333333333326</v>
      </c>
      <c r="D31" s="1" cm="1">
        <f t="array" ref="D31">_xlfn.XLOOKUP(_xlfn.FLOOR.MATH(C31),'Mortality Tables'!$B$4:$B$124,_xlfn.XLOOKUP(mortality_table,'Mortality Tables'!$B$3:$G$3,'Mortality Tables'!$B$4:$G$124,0,0),0,0)</f>
        <v>6.2E-4</v>
      </c>
      <c r="E31" s="1">
        <f t="shared" si="1"/>
        <v>5.1666666666666664E-5</v>
      </c>
      <c r="F31" s="1">
        <f t="shared" si="7"/>
        <v>0.99994833333333333</v>
      </c>
      <c r="G31" s="1">
        <f t="shared" si="8"/>
        <v>0.99589224019873945</v>
      </c>
      <c r="H31" s="34">
        <f t="shared" si="2"/>
        <v>0.91443523451419584</v>
      </c>
      <c r="I31" s="36">
        <f t="shared" si="3"/>
        <v>0.91067895421700218</v>
      </c>
    </row>
    <row r="32" spans="2:9" x14ac:dyDescent="0.35">
      <c r="B32" s="16">
        <f t="shared" si="4"/>
        <v>1.9166666666666659</v>
      </c>
      <c r="C32" s="17">
        <f t="shared" si="0"/>
        <v>1.9166666666666659</v>
      </c>
      <c r="D32" s="1" cm="1">
        <f t="array" ref="D32">_xlfn.XLOOKUP(_xlfn.FLOOR.MATH(C32),'Mortality Tables'!$B$4:$B$124,_xlfn.XLOOKUP(mortality_table,'Mortality Tables'!$B$3:$G$3,'Mortality Tables'!$B$4:$G$124,0,0),0,0)</f>
        <v>6.2E-4</v>
      </c>
      <c r="E32" s="1">
        <f t="shared" si="1"/>
        <v>5.1666666666666664E-5</v>
      </c>
      <c r="F32" s="1">
        <f t="shared" si="7"/>
        <v>0.99994833333333333</v>
      </c>
      <c r="G32" s="1">
        <f t="shared" si="8"/>
        <v>0.99584078576632917</v>
      </c>
      <c r="H32" s="34">
        <f t="shared" si="2"/>
        <v>0.91072482882870598</v>
      </c>
      <c r="I32" s="36">
        <f t="shared" si="3"/>
        <v>0.9069369291576842</v>
      </c>
    </row>
    <row r="33" spans="2:9" x14ac:dyDescent="0.35">
      <c r="B33" s="16">
        <f t="shared" si="4"/>
        <v>1.9999999999999991</v>
      </c>
      <c r="C33" s="17">
        <f t="shared" si="0"/>
        <v>1.9999999999999991</v>
      </c>
      <c r="D33" s="1" cm="1">
        <f t="array" ref="D33">_xlfn.XLOOKUP(_xlfn.FLOOR.MATH(C33),'Mortality Tables'!$B$4:$B$124,_xlfn.XLOOKUP(mortality_table,'Mortality Tables'!$B$3:$G$3,'Mortality Tables'!$B$4:$G$124,0,0),0,0)</f>
        <v>3.7500000000000001E-4</v>
      </c>
      <c r="E33" s="1">
        <f t="shared" si="1"/>
        <v>3.1250000000000001E-5</v>
      </c>
      <c r="F33" s="1">
        <f t="shared" si="7"/>
        <v>0.99996874999999996</v>
      </c>
      <c r="G33" s="1">
        <f t="shared" si="8"/>
        <v>0.99578933399239788</v>
      </c>
      <c r="H33" s="34">
        <f t="shared" si="2"/>
        <v>0.90702947845804982</v>
      </c>
      <c r="I33" s="36">
        <f t="shared" si="3"/>
        <v>0.90321028026521344</v>
      </c>
    </row>
    <row r="34" spans="2:9" x14ac:dyDescent="0.35">
      <c r="B34" s="16">
        <f t="shared" si="4"/>
        <v>2.0833333333333326</v>
      </c>
      <c r="C34" s="17">
        <f t="shared" si="0"/>
        <v>2.0833333333333326</v>
      </c>
      <c r="D34" s="1" cm="1">
        <f t="array" ref="D34">_xlfn.XLOOKUP(_xlfn.FLOOR.MATH(C34),'Mortality Tables'!$B$4:$B$124,_xlfn.XLOOKUP(mortality_table,'Mortality Tables'!$B$3:$G$3,'Mortality Tables'!$B$4:$G$124,0,0),0,0)</f>
        <v>3.7500000000000001E-4</v>
      </c>
      <c r="E34" s="1">
        <f t="shared" si="1"/>
        <v>3.1250000000000001E-5</v>
      </c>
      <c r="F34" s="1">
        <f t="shared" si="7"/>
        <v>0.99996874999999996</v>
      </c>
      <c r="G34" s="1">
        <f t="shared" si="8"/>
        <v>0.99575821557571054</v>
      </c>
      <c r="H34" s="34">
        <f t="shared" si="2"/>
        <v>0.90334912231389286</v>
      </c>
      <c r="I34" s="36">
        <f t="shared" si="3"/>
        <v>0.89951731007716629</v>
      </c>
    </row>
    <row r="35" spans="2:9" x14ac:dyDescent="0.35">
      <c r="B35" s="16">
        <f t="shared" si="4"/>
        <v>2.1666666666666661</v>
      </c>
      <c r="C35" s="17">
        <f t="shared" si="0"/>
        <v>2.1666666666666661</v>
      </c>
      <c r="D35" s="1" cm="1">
        <f t="array" ref="D35">_xlfn.XLOOKUP(_xlfn.FLOOR.MATH(C35),'Mortality Tables'!$B$4:$B$124,_xlfn.XLOOKUP(mortality_table,'Mortality Tables'!$B$3:$G$3,'Mortality Tables'!$B$4:$G$124,0,0),0,0)</f>
        <v>3.7500000000000001E-4</v>
      </c>
      <c r="E35" s="1">
        <f t="shared" si="1"/>
        <v>3.1250000000000001E-5</v>
      </c>
      <c r="F35" s="1">
        <f t="shared" si="7"/>
        <v>0.99996874999999996</v>
      </c>
      <c r="G35" s="1">
        <f t="shared" si="8"/>
        <v>0.99572709813147375</v>
      </c>
      <c r="H35" s="34">
        <f t="shared" si="2"/>
        <v>0.89968369955577199</v>
      </c>
      <c r="I35" s="36">
        <f t="shared" si="3"/>
        <v>0.89583943939485755</v>
      </c>
    </row>
    <row r="36" spans="2:9" x14ac:dyDescent="0.35">
      <c r="B36" s="16">
        <f t="shared" si="4"/>
        <v>2.2499999999999996</v>
      </c>
      <c r="C36" s="17">
        <f t="shared" si="0"/>
        <v>2.2499999999999996</v>
      </c>
      <c r="D36" s="1" cm="1">
        <f t="array" ref="D36">_xlfn.XLOOKUP(_xlfn.FLOOR.MATH(C36),'Mortality Tables'!$B$4:$B$124,_xlfn.XLOOKUP(mortality_table,'Mortality Tables'!$B$3:$G$3,'Mortality Tables'!$B$4:$G$124,0,0),0,0)</f>
        <v>3.7500000000000001E-4</v>
      </c>
      <c r="E36" s="1">
        <f t="shared" si="1"/>
        <v>3.1250000000000001E-5</v>
      </c>
      <c r="F36" s="1">
        <f t="shared" si="7"/>
        <v>0.99996874999999996</v>
      </c>
      <c r="G36" s="1">
        <f t="shared" si="8"/>
        <v>0.99569598165965711</v>
      </c>
      <c r="H36" s="34">
        <f t="shared" si="2"/>
        <v>0.89603314959008984</v>
      </c>
      <c r="I36" s="36">
        <f t="shared" si="3"/>
        <v>0.89217660648069885</v>
      </c>
    </row>
    <row r="37" spans="2:9" x14ac:dyDescent="0.35">
      <c r="B37" s="16">
        <f t="shared" si="4"/>
        <v>2.333333333333333</v>
      </c>
      <c r="C37" s="17">
        <f t="shared" si="0"/>
        <v>2.333333333333333</v>
      </c>
      <c r="D37" s="1" cm="1">
        <f t="array" ref="D37">_xlfn.XLOOKUP(_xlfn.FLOOR.MATH(C37),'Mortality Tables'!$B$4:$B$124,_xlfn.XLOOKUP(mortality_table,'Mortality Tables'!$B$3:$G$3,'Mortality Tables'!$B$4:$G$124,0,0),0,0)</f>
        <v>3.7500000000000001E-4</v>
      </c>
      <c r="E37" s="1">
        <f t="shared" si="1"/>
        <v>3.1250000000000001E-5</v>
      </c>
      <c r="F37" s="1">
        <f t="shared" si="7"/>
        <v>0.99996874999999996</v>
      </c>
      <c r="G37" s="1">
        <f t="shared" si="8"/>
        <v>0.9956648661602302</v>
      </c>
      <c r="H37" s="34">
        <f t="shared" si="2"/>
        <v>0.89239741206911283</v>
      </c>
      <c r="I37" s="36">
        <f t="shared" si="3"/>
        <v>0.88852874984952901</v>
      </c>
    </row>
    <row r="38" spans="2:9" x14ac:dyDescent="0.35">
      <c r="B38" s="16">
        <f t="shared" si="4"/>
        <v>2.4166666666666665</v>
      </c>
      <c r="C38" s="17">
        <f t="shared" si="0"/>
        <v>2.4166666666666665</v>
      </c>
      <c r="D38" s="1" cm="1">
        <f t="array" ref="D38">_xlfn.XLOOKUP(_xlfn.FLOOR.MATH(C38),'Mortality Tables'!$B$4:$B$124,_xlfn.XLOOKUP(mortality_table,'Mortality Tables'!$B$3:$G$3,'Mortality Tables'!$B$4:$G$124,0,0),0,0)</f>
        <v>3.7500000000000001E-4</v>
      </c>
      <c r="E38" s="1">
        <f t="shared" si="1"/>
        <v>3.1250000000000001E-5</v>
      </c>
      <c r="F38" s="1">
        <f t="shared" si="7"/>
        <v>0.99996874999999996</v>
      </c>
      <c r="G38" s="1">
        <f t="shared" si="8"/>
        <v>0.9956337516331627</v>
      </c>
      <c r="H38" s="34">
        <f t="shared" si="2"/>
        <v>0.88877642688997438</v>
      </c>
      <c r="I38" s="36">
        <f t="shared" si="3"/>
        <v>0.88489580826758252</v>
      </c>
    </row>
    <row r="39" spans="2:9" x14ac:dyDescent="0.35">
      <c r="B39" s="16">
        <f t="shared" si="4"/>
        <v>2.5</v>
      </c>
      <c r="C39" s="17">
        <f t="shared" si="0"/>
        <v>2.5</v>
      </c>
      <c r="D39" s="1" cm="1">
        <f t="array" ref="D39">_xlfn.XLOOKUP(_xlfn.FLOOR.MATH(C39),'Mortality Tables'!$B$4:$B$124,_xlfn.XLOOKUP(mortality_table,'Mortality Tables'!$B$3:$G$3,'Mortality Tables'!$B$4:$G$124,0,0),0,0)</f>
        <v>3.7500000000000001E-4</v>
      </c>
      <c r="E39" s="1">
        <f t="shared" si="1"/>
        <v>3.1250000000000001E-5</v>
      </c>
      <c r="F39" s="1">
        <f t="shared" si="7"/>
        <v>0.99996874999999996</v>
      </c>
      <c r="G39" s="1">
        <f t="shared" si="8"/>
        <v>0.99560263807842408</v>
      </c>
      <c r="H39" s="34">
        <f t="shared" si="2"/>
        <v>0.88517013419368074</v>
      </c>
      <c r="I39" s="36">
        <f t="shared" si="3"/>
        <v>0.88127772075146116</v>
      </c>
    </row>
    <row r="40" spans="2:9" x14ac:dyDescent="0.35">
      <c r="B40" s="16">
        <f t="shared" si="4"/>
        <v>2.5833333333333335</v>
      </c>
      <c r="C40" s="17">
        <f t="shared" si="0"/>
        <v>2.5833333333333335</v>
      </c>
      <c r="D40" s="1" cm="1">
        <f t="array" ref="D40">_xlfn.XLOOKUP(_xlfn.FLOOR.MATH(C40),'Mortality Tables'!$B$4:$B$124,_xlfn.XLOOKUP(mortality_table,'Mortality Tables'!$B$3:$G$3,'Mortality Tables'!$B$4:$G$124,0,0),0,0)</f>
        <v>3.7500000000000001E-4</v>
      </c>
      <c r="E40" s="1">
        <f t="shared" si="1"/>
        <v>3.1250000000000001E-5</v>
      </c>
      <c r="F40" s="1">
        <f t="shared" si="7"/>
        <v>0.99996874999999996</v>
      </c>
      <c r="G40" s="1">
        <f t="shared" si="8"/>
        <v>0.99557152549598404</v>
      </c>
      <c r="H40" s="34">
        <f t="shared" si="2"/>
        <v>0.8815784743641214</v>
      </c>
      <c r="I40" s="36">
        <f t="shared" si="3"/>
        <v>0.87767442656711059</v>
      </c>
    </row>
    <row r="41" spans="2:9" x14ac:dyDescent="0.35">
      <c r="B41" s="16">
        <f t="shared" si="4"/>
        <v>2.666666666666667</v>
      </c>
      <c r="C41" s="17">
        <f t="shared" si="0"/>
        <v>2.666666666666667</v>
      </c>
      <c r="D41" s="1" cm="1">
        <f t="array" ref="D41">_xlfn.XLOOKUP(_xlfn.FLOOR.MATH(C41),'Mortality Tables'!$B$4:$B$124,_xlfn.XLOOKUP(mortality_table,'Mortality Tables'!$B$3:$G$3,'Mortality Tables'!$B$4:$G$124,0,0),0,0)</f>
        <v>3.7500000000000001E-4</v>
      </c>
      <c r="E41" s="1">
        <f t="shared" si="1"/>
        <v>3.1250000000000001E-5</v>
      </c>
      <c r="F41" s="1">
        <f t="shared" si="7"/>
        <v>0.99996874999999996</v>
      </c>
      <c r="G41" s="1">
        <f t="shared" si="8"/>
        <v>0.99554041388581227</v>
      </c>
      <c r="H41" s="34">
        <f t="shared" si="2"/>
        <v>0.87800138802708416</v>
      </c>
      <c r="I41" s="36">
        <f t="shared" si="3"/>
        <v>0.87408586522880105</v>
      </c>
    </row>
    <row r="42" spans="2:9" x14ac:dyDescent="0.35">
      <c r="B42" s="16">
        <f t="shared" si="4"/>
        <v>2.7500000000000004</v>
      </c>
      <c r="C42" s="17">
        <f t="shared" si="0"/>
        <v>2.7500000000000004</v>
      </c>
      <c r="D42" s="1" cm="1">
        <f t="array" ref="D42">_xlfn.XLOOKUP(_xlfn.FLOOR.MATH(C42),'Mortality Tables'!$B$4:$B$124,_xlfn.XLOOKUP(mortality_table,'Mortality Tables'!$B$3:$G$3,'Mortality Tables'!$B$4:$G$124,0,0),0,0)</f>
        <v>3.7500000000000001E-4</v>
      </c>
      <c r="E42" s="1">
        <f t="shared" si="1"/>
        <v>3.1250000000000001E-5</v>
      </c>
      <c r="F42" s="1">
        <f t="shared" si="7"/>
        <v>0.99996874999999996</v>
      </c>
      <c r="G42" s="1">
        <f t="shared" si="8"/>
        <v>0.99550930324787834</v>
      </c>
      <c r="H42" s="34">
        <f t="shared" si="2"/>
        <v>0.87443881604927254</v>
      </c>
      <c r="I42" s="36">
        <f t="shared" si="3"/>
        <v>0.87051197649811096</v>
      </c>
    </row>
    <row r="43" spans="2:9" x14ac:dyDescent="0.35">
      <c r="B43" s="16">
        <f t="shared" si="4"/>
        <v>2.8333333333333339</v>
      </c>
      <c r="C43" s="17">
        <f t="shared" si="0"/>
        <v>2.8333333333333339</v>
      </c>
      <c r="D43" s="1" cm="1">
        <f t="array" ref="D43">_xlfn.XLOOKUP(_xlfn.FLOOR.MATH(C43),'Mortality Tables'!$B$4:$B$124,_xlfn.XLOOKUP(mortality_table,'Mortality Tables'!$B$3:$G$3,'Mortality Tables'!$B$4:$G$124,0,0),0,0)</f>
        <v>3.7500000000000001E-4</v>
      </c>
      <c r="E43" s="1">
        <f t="shared" si="1"/>
        <v>3.1250000000000001E-5</v>
      </c>
      <c r="F43" s="1">
        <f t="shared" si="7"/>
        <v>0.99996874999999996</v>
      </c>
      <c r="G43" s="1">
        <f t="shared" si="8"/>
        <v>0.99547819358215184</v>
      </c>
      <c r="H43" s="34">
        <f t="shared" si="2"/>
        <v>0.87089069953732934</v>
      </c>
      <c r="I43" s="36">
        <f t="shared" si="3"/>
        <v>0.86695270038291716</v>
      </c>
    </row>
    <row r="44" spans="2:9" x14ac:dyDescent="0.35">
      <c r="B44" s="16">
        <f t="shared" si="4"/>
        <v>2.9166666666666674</v>
      </c>
      <c r="C44" s="17">
        <f t="shared" si="0"/>
        <v>2.9166666666666674</v>
      </c>
      <c r="D44" s="1" cm="1">
        <f t="array" ref="D44">_xlfn.XLOOKUP(_xlfn.FLOOR.MATH(C44),'Mortality Tables'!$B$4:$B$124,_xlfn.XLOOKUP(mortality_table,'Mortality Tables'!$B$3:$G$3,'Mortality Tables'!$B$4:$G$124,0,0),0,0)</f>
        <v>3.7500000000000001E-4</v>
      </c>
      <c r="E44" s="1">
        <f t="shared" si="1"/>
        <v>3.1250000000000001E-5</v>
      </c>
      <c r="F44" s="1">
        <f t="shared" si="7"/>
        <v>0.99996874999999996</v>
      </c>
      <c r="G44" s="1">
        <f t="shared" si="8"/>
        <v>0.99544708488860234</v>
      </c>
      <c r="H44" s="34">
        <f t="shared" si="2"/>
        <v>0.86735697983686277</v>
      </c>
      <c r="I44" s="36">
        <f t="shared" si="3"/>
        <v>0.86340797713638728</v>
      </c>
    </row>
    <row r="45" spans="2:9" x14ac:dyDescent="0.35">
      <c r="B45" s="16">
        <f t="shared" si="4"/>
        <v>3.0000000000000009</v>
      </c>
      <c r="C45" s="17">
        <f t="shared" si="0"/>
        <v>3.0000000000000009</v>
      </c>
      <c r="D45" s="1" cm="1">
        <f t="array" ref="D45">_xlfn.XLOOKUP(_xlfn.FLOOR.MATH(C45),'Mortality Tables'!$B$4:$B$124,_xlfn.XLOOKUP(mortality_table,'Mortality Tables'!$B$3:$G$3,'Mortality Tables'!$B$4:$G$124,0,0),0,0)</f>
        <v>2.9300000000000002E-4</v>
      </c>
      <c r="E45" s="1">
        <f t="shared" si="1"/>
        <v>2.4416666666666666E-5</v>
      </c>
      <c r="F45" s="1">
        <f t="shared" si="7"/>
        <v>0.99997558333333336</v>
      </c>
      <c r="G45" s="1">
        <f t="shared" si="8"/>
        <v>0.99541597716719954</v>
      </c>
      <c r="H45" s="34">
        <f t="shared" si="2"/>
        <v>0.86383759853147601</v>
      </c>
      <c r="I45" s="36">
        <f t="shared" si="3"/>
        <v>0.85987774725597621</v>
      </c>
    </row>
    <row r="46" spans="2:9" x14ac:dyDescent="0.35">
      <c r="B46" s="16">
        <f t="shared" si="4"/>
        <v>3.0833333333333344</v>
      </c>
      <c r="C46" s="17">
        <f t="shared" si="0"/>
        <v>3.0833333333333344</v>
      </c>
      <c r="D46" s="1" cm="1">
        <f t="array" ref="D46">_xlfn.XLOOKUP(_xlfn.FLOOR.MATH(C46),'Mortality Tables'!$B$4:$B$124,_xlfn.XLOOKUP(mortality_table,'Mortality Tables'!$B$3:$G$3,'Mortality Tables'!$B$4:$G$124,0,0),0,0)</f>
        <v>2.9300000000000002E-4</v>
      </c>
      <c r="E46" s="1">
        <f t="shared" si="1"/>
        <v>2.4416666666666666E-5</v>
      </c>
      <c r="F46" s="1">
        <f t="shared" si="7"/>
        <v>0.99997558333333336</v>
      </c>
      <c r="G46" s="1">
        <f t="shared" si="8"/>
        <v>0.99539167242709037</v>
      </c>
      <c r="H46" s="34">
        <f t="shared" si="2"/>
        <v>0.86033249744180262</v>
      </c>
      <c r="I46" s="36">
        <f t="shared" si="3"/>
        <v>0.85636780347197139</v>
      </c>
    </row>
    <row r="47" spans="2:9" x14ac:dyDescent="0.35">
      <c r="B47" s="16">
        <f t="shared" si="4"/>
        <v>3.1666666666666679</v>
      </c>
      <c r="C47" s="17">
        <f t="shared" si="0"/>
        <v>3.1666666666666679</v>
      </c>
      <c r="D47" s="1" cm="1">
        <f t="array" ref="D47">_xlfn.XLOOKUP(_xlfn.FLOOR.MATH(C47),'Mortality Tables'!$B$4:$B$124,_xlfn.XLOOKUP(mortality_table,'Mortality Tables'!$B$3:$G$3,'Mortality Tables'!$B$4:$G$124,0,0),0,0)</f>
        <v>2.9300000000000002E-4</v>
      </c>
      <c r="E47" s="1">
        <f t="shared" si="1"/>
        <v>2.4416666666666666E-5</v>
      </c>
      <c r="F47" s="1">
        <f t="shared" si="7"/>
        <v>0.99997558333333336</v>
      </c>
      <c r="G47" s="1">
        <f t="shared" si="8"/>
        <v>0.99536736828042194</v>
      </c>
      <c r="H47" s="34">
        <f t="shared" si="2"/>
        <v>0.85684161862454467</v>
      </c>
      <c r="I47" s="36">
        <f t="shared" si="3"/>
        <v>0.85287218696345002</v>
      </c>
    </row>
    <row r="48" spans="2:9" x14ac:dyDescent="0.35">
      <c r="B48" s="16">
        <f t="shared" si="4"/>
        <v>3.2500000000000013</v>
      </c>
      <c r="C48" s="17">
        <f t="shared" si="0"/>
        <v>3.2500000000000013</v>
      </c>
      <c r="D48" s="1" cm="1">
        <f t="array" ref="D48">_xlfn.XLOOKUP(_xlfn.FLOOR.MATH(C48),'Mortality Tables'!$B$4:$B$124,_xlfn.XLOOKUP(mortality_table,'Mortality Tables'!$B$3:$G$3,'Mortality Tables'!$B$4:$G$124,0,0),0,0)</f>
        <v>2.9300000000000002E-4</v>
      </c>
      <c r="E48" s="1">
        <f t="shared" si="1"/>
        <v>2.4416666666666666E-5</v>
      </c>
      <c r="F48" s="1">
        <f t="shared" si="7"/>
        <v>0.99997558333333336</v>
      </c>
      <c r="G48" s="1">
        <f t="shared" si="8"/>
        <v>0.99534306472717982</v>
      </c>
      <c r="H48" s="34">
        <f t="shared" si="2"/>
        <v>0.85336490437151402</v>
      </c>
      <c r="I48" s="36">
        <f t="shared" si="3"/>
        <v>0.84939083924775949</v>
      </c>
    </row>
    <row r="49" spans="2:9" x14ac:dyDescent="0.35">
      <c r="B49" s="16">
        <f t="shared" si="4"/>
        <v>3.3333333333333348</v>
      </c>
      <c r="C49" s="17">
        <f t="shared" si="0"/>
        <v>3.3333333333333348</v>
      </c>
      <c r="D49" s="1" cm="1">
        <f t="array" ref="D49">_xlfn.XLOOKUP(_xlfn.FLOOR.MATH(C49),'Mortality Tables'!$B$4:$B$124,_xlfn.XLOOKUP(mortality_table,'Mortality Tables'!$B$3:$G$3,'Mortality Tables'!$B$4:$G$124,0,0),0,0)</f>
        <v>2.9300000000000002E-4</v>
      </c>
      <c r="E49" s="1">
        <f t="shared" si="1"/>
        <v>2.4416666666666666E-5</v>
      </c>
      <c r="F49" s="1">
        <f t="shared" si="7"/>
        <v>0.99997558333333336</v>
      </c>
      <c r="G49" s="1">
        <f t="shared" si="8"/>
        <v>0.99531876176734946</v>
      </c>
      <c r="H49" s="34">
        <f t="shared" si="2"/>
        <v>0.84990229720867871</v>
      </c>
      <c r="I49" s="36">
        <f t="shared" si="3"/>
        <v>0.8459237020809679</v>
      </c>
    </row>
    <row r="50" spans="2:9" x14ac:dyDescent="0.35">
      <c r="B50" s="16">
        <f t="shared" si="4"/>
        <v>3.4166666666666683</v>
      </c>
      <c r="C50" s="17">
        <f t="shared" si="0"/>
        <v>3.4166666666666683</v>
      </c>
      <c r="D50" s="1" cm="1">
        <f t="array" ref="D50">_xlfn.XLOOKUP(_xlfn.FLOOR.MATH(C50),'Mortality Tables'!$B$4:$B$124,_xlfn.XLOOKUP(mortality_table,'Mortality Tables'!$B$3:$G$3,'Mortality Tables'!$B$4:$G$124,0,0),0,0)</f>
        <v>2.9300000000000002E-4</v>
      </c>
      <c r="E50" s="1">
        <f t="shared" si="1"/>
        <v>2.4416666666666666E-5</v>
      </c>
      <c r="F50" s="1">
        <f t="shared" si="7"/>
        <v>0.99997558333333336</v>
      </c>
      <c r="G50" s="1">
        <f t="shared" si="8"/>
        <v>0.99529445940091632</v>
      </c>
      <c r="H50" s="34">
        <f t="shared" si="2"/>
        <v>0.84645373989521355</v>
      </c>
      <c r="I50" s="36">
        <f t="shared" si="3"/>
        <v>0.84247071745689039</v>
      </c>
    </row>
    <row r="51" spans="2:9" x14ac:dyDescent="0.35">
      <c r="B51" s="16">
        <f t="shared" si="4"/>
        <v>3.5000000000000018</v>
      </c>
      <c r="C51" s="17">
        <f t="shared" si="0"/>
        <v>3.5000000000000018</v>
      </c>
      <c r="D51" s="1" cm="1">
        <f t="array" ref="D51">_xlfn.XLOOKUP(_xlfn.FLOOR.MATH(C51),'Mortality Tables'!$B$4:$B$124,_xlfn.XLOOKUP(mortality_table,'Mortality Tables'!$B$3:$G$3,'Mortality Tables'!$B$4:$G$124,0,0),0,0)</f>
        <v>2.9300000000000002E-4</v>
      </c>
      <c r="E51" s="1">
        <f t="shared" si="1"/>
        <v>2.4416666666666666E-5</v>
      </c>
      <c r="F51" s="1">
        <f t="shared" si="7"/>
        <v>0.99997558333333336</v>
      </c>
      <c r="G51" s="1">
        <f t="shared" si="8"/>
        <v>0.99527015762786597</v>
      </c>
      <c r="H51" s="34">
        <f t="shared" si="2"/>
        <v>0.843019175422553</v>
      </c>
      <c r="I51" s="36">
        <f t="shared" si="3"/>
        <v>0.83903182760611794</v>
      </c>
    </row>
    <row r="52" spans="2:9" x14ac:dyDescent="0.35">
      <c r="B52" s="16">
        <f t="shared" si="4"/>
        <v>3.5833333333333353</v>
      </c>
      <c r="C52" s="17">
        <f t="shared" si="0"/>
        <v>3.5833333333333353</v>
      </c>
      <c r="D52" s="1" cm="1">
        <f t="array" ref="D52">_xlfn.XLOOKUP(_xlfn.FLOOR.MATH(C52),'Mortality Tables'!$B$4:$B$124,_xlfn.XLOOKUP(mortality_table,'Mortality Tables'!$B$3:$G$3,'Mortality Tables'!$B$4:$G$124,0,0),0,0)</f>
        <v>2.9300000000000002E-4</v>
      </c>
      <c r="E52" s="1">
        <f t="shared" si="1"/>
        <v>2.4416666666666666E-5</v>
      </c>
      <c r="F52" s="1">
        <f t="shared" si="7"/>
        <v>0.99997558333333336</v>
      </c>
      <c r="G52" s="1">
        <f t="shared" si="8"/>
        <v>0.99524585644818386</v>
      </c>
      <c r="H52" s="34">
        <f t="shared" si="2"/>
        <v>0.83959854701344894</v>
      </c>
      <c r="I52" s="36">
        <f t="shared" si="3"/>
        <v>0.83560697499505077</v>
      </c>
    </row>
    <row r="53" spans="2:9" x14ac:dyDescent="0.35">
      <c r="B53" s="16">
        <f t="shared" si="4"/>
        <v>3.6666666666666687</v>
      </c>
      <c r="C53" s="17">
        <f t="shared" si="0"/>
        <v>3.6666666666666687</v>
      </c>
      <c r="D53" s="1" cm="1">
        <f t="array" ref="D53">_xlfn.XLOOKUP(_xlfn.FLOOR.MATH(C53),'Mortality Tables'!$B$4:$B$124,_xlfn.XLOOKUP(mortality_table,'Mortality Tables'!$B$3:$G$3,'Mortality Tables'!$B$4:$G$124,0,0),0,0)</f>
        <v>2.9300000000000002E-4</v>
      </c>
      <c r="E53" s="1">
        <f t="shared" si="1"/>
        <v>2.4416666666666666E-5</v>
      </c>
      <c r="F53" s="1">
        <f t="shared" si="7"/>
        <v>0.99997558333333336</v>
      </c>
      <c r="G53" s="1">
        <f t="shared" si="8"/>
        <v>0.99522155586185557</v>
      </c>
      <c r="H53" s="34">
        <f t="shared" si="2"/>
        <v>0.83619179812103239</v>
      </c>
      <c r="I53" s="36">
        <f t="shared" si="3"/>
        <v>0.83219610232493646</v>
      </c>
    </row>
    <row r="54" spans="2:9" x14ac:dyDescent="0.35">
      <c r="B54" s="16">
        <f t="shared" si="4"/>
        <v>3.7500000000000022</v>
      </c>
      <c r="C54" s="17">
        <f t="shared" si="0"/>
        <v>3.7500000000000022</v>
      </c>
      <c r="D54" s="1" cm="1">
        <f t="array" ref="D54">_xlfn.XLOOKUP(_xlfn.FLOOR.MATH(C54),'Mortality Tables'!$B$4:$B$124,_xlfn.XLOOKUP(mortality_table,'Mortality Tables'!$B$3:$G$3,'Mortality Tables'!$B$4:$G$124,0,0),0,0)</f>
        <v>2.9300000000000002E-4</v>
      </c>
      <c r="E54" s="1">
        <f t="shared" si="1"/>
        <v>2.4416666666666666E-5</v>
      </c>
      <c r="F54" s="1">
        <f t="shared" si="7"/>
        <v>0.99997558333333336</v>
      </c>
      <c r="G54" s="1">
        <f t="shared" si="8"/>
        <v>0.99519725586886665</v>
      </c>
      <c r="H54" s="34">
        <f t="shared" si="2"/>
        <v>0.83279887242787853</v>
      </c>
      <c r="I54" s="36">
        <f t="shared" si="3"/>
        <v>0.82879915253091108</v>
      </c>
    </row>
    <row r="55" spans="2:9" x14ac:dyDescent="0.35">
      <c r="B55" s="16">
        <f t="shared" si="4"/>
        <v>3.8333333333333357</v>
      </c>
      <c r="C55" s="17">
        <f t="shared" si="0"/>
        <v>3.8333333333333357</v>
      </c>
      <c r="D55" s="1" cm="1">
        <f t="array" ref="D55">_xlfn.XLOOKUP(_xlfn.FLOOR.MATH(C55),'Mortality Tables'!$B$4:$B$124,_xlfn.XLOOKUP(mortality_table,'Mortality Tables'!$B$3:$G$3,'Mortality Tables'!$B$4:$G$124,0,0),0,0)</f>
        <v>2.9300000000000002E-4</v>
      </c>
      <c r="E55" s="1">
        <f t="shared" si="1"/>
        <v>2.4416666666666666E-5</v>
      </c>
      <c r="F55" s="1">
        <f t="shared" si="7"/>
        <v>0.99997558333333336</v>
      </c>
      <c r="G55" s="1">
        <f t="shared" si="8"/>
        <v>0.99517295646920256</v>
      </c>
      <c r="H55" s="34">
        <f t="shared" si="2"/>
        <v>0.82941971384507551</v>
      </c>
      <c r="I55" s="36">
        <f t="shared" si="3"/>
        <v>0.82541606878104379</v>
      </c>
    </row>
    <row r="56" spans="2:9" x14ac:dyDescent="0.35">
      <c r="B56" s="16">
        <f t="shared" si="4"/>
        <v>3.9166666666666692</v>
      </c>
      <c r="C56" s="17">
        <f t="shared" si="0"/>
        <v>3.9166666666666692</v>
      </c>
      <c r="D56" s="1" cm="1">
        <f t="array" ref="D56">_xlfn.XLOOKUP(_xlfn.FLOOR.MATH(C56),'Mortality Tables'!$B$4:$B$124,_xlfn.XLOOKUP(mortality_table,'Mortality Tables'!$B$3:$G$3,'Mortality Tables'!$B$4:$G$124,0,0),0,0)</f>
        <v>2.9300000000000002E-4</v>
      </c>
      <c r="E56" s="1">
        <f t="shared" si="1"/>
        <v>2.4416666666666666E-5</v>
      </c>
      <c r="F56" s="1">
        <f t="shared" si="7"/>
        <v>0.99997558333333336</v>
      </c>
      <c r="G56" s="1">
        <f t="shared" si="8"/>
        <v>0.99514865766284877</v>
      </c>
      <c r="H56" s="34">
        <f t="shared" si="2"/>
        <v>0.82605426651129765</v>
      </c>
      <c r="I56" s="36">
        <f t="shared" si="3"/>
        <v>0.82204679447538698</v>
      </c>
    </row>
    <row r="57" spans="2:9" x14ac:dyDescent="0.35">
      <c r="B57" s="16">
        <f t="shared" si="4"/>
        <v>4.0000000000000027</v>
      </c>
      <c r="C57" s="17">
        <f t="shared" si="0"/>
        <v>4.0000000000000027</v>
      </c>
      <c r="D57" s="1" cm="1">
        <f t="array" ref="D57">_xlfn.XLOOKUP(_xlfn.FLOOR.MATH(C57),'Mortality Tables'!$B$4:$B$124,_xlfn.XLOOKUP(mortality_table,'Mortality Tables'!$B$3:$G$3,'Mortality Tables'!$B$4:$G$124,0,0),0,0)</f>
        <v>2.31E-4</v>
      </c>
      <c r="E57" s="1">
        <f t="shared" si="1"/>
        <v>1.925E-5</v>
      </c>
      <c r="F57" s="1">
        <f t="shared" si="7"/>
        <v>0.99998074999999997</v>
      </c>
      <c r="G57" s="1">
        <f t="shared" si="8"/>
        <v>0.99512435944979083</v>
      </c>
      <c r="H57" s="34">
        <f t="shared" si="2"/>
        <v>0.82270247479188163</v>
      </c>
      <c r="I57" s="36">
        <f t="shared" si="3"/>
        <v>0.81869127324502888</v>
      </c>
    </row>
    <row r="58" spans="2:9" x14ac:dyDescent="0.35">
      <c r="B58" s="16">
        <f t="shared" si="4"/>
        <v>4.0833333333333357</v>
      </c>
      <c r="C58" s="17">
        <f t="shared" si="0"/>
        <v>4.0833333333333357</v>
      </c>
      <c r="D58" s="1" cm="1">
        <f t="array" ref="D58">_xlfn.XLOOKUP(_xlfn.FLOOR.MATH(C58),'Mortality Tables'!$B$4:$B$124,_xlfn.XLOOKUP(mortality_table,'Mortality Tables'!$B$3:$G$3,'Mortality Tables'!$B$4:$G$124,0,0),0,0)</f>
        <v>2.31E-4</v>
      </c>
      <c r="E58" s="1">
        <f t="shared" si="1"/>
        <v>1.925E-5</v>
      </c>
      <c r="F58" s="1">
        <f t="shared" si="7"/>
        <v>0.99998074999999997</v>
      </c>
      <c r="G58" s="1">
        <f t="shared" si="8"/>
        <v>0.99510520330587138</v>
      </c>
      <c r="H58" s="34">
        <f t="shared" si="2"/>
        <v>0.81936428327790733</v>
      </c>
      <c r="I58" s="36">
        <f t="shared" si="3"/>
        <v>0.81535366169283152</v>
      </c>
    </row>
    <row r="59" spans="2:9" x14ac:dyDescent="0.35">
      <c r="B59" s="16">
        <f t="shared" si="4"/>
        <v>4.1666666666666687</v>
      </c>
      <c r="C59" s="17">
        <f t="shared" si="0"/>
        <v>4.1666666666666687</v>
      </c>
      <c r="D59" s="1" cm="1">
        <f t="array" ref="D59">_xlfn.XLOOKUP(_xlfn.FLOOR.MATH(C59),'Mortality Tables'!$B$4:$B$124,_xlfn.XLOOKUP(mortality_table,'Mortality Tables'!$B$3:$G$3,'Mortality Tables'!$B$4:$G$124,0,0),0,0)</f>
        <v>2.31E-4</v>
      </c>
      <c r="E59" s="1">
        <f t="shared" si="1"/>
        <v>1.925E-5</v>
      </c>
      <c r="F59" s="1">
        <f t="shared" si="7"/>
        <v>0.99998074999999997</v>
      </c>
      <c r="G59" s="1">
        <f t="shared" si="8"/>
        <v>0.99508604753070773</v>
      </c>
      <c r="H59" s="34">
        <f t="shared" si="2"/>
        <v>0.81603963678528069</v>
      </c>
      <c r="I59" s="36">
        <f t="shared" si="3"/>
        <v>0.8120296567970593</v>
      </c>
    </row>
    <row r="60" spans="2:9" x14ac:dyDescent="0.35">
      <c r="B60" s="16">
        <f t="shared" si="4"/>
        <v>4.2500000000000018</v>
      </c>
      <c r="C60" s="17">
        <f t="shared" si="0"/>
        <v>4.2500000000000018</v>
      </c>
      <c r="D60" s="1" cm="1">
        <f t="array" ref="D60">_xlfn.XLOOKUP(_xlfn.FLOOR.MATH(C60),'Mortality Tables'!$B$4:$B$124,_xlfn.XLOOKUP(mortality_table,'Mortality Tables'!$B$3:$G$3,'Mortality Tables'!$B$4:$G$124,0,0),0,0)</f>
        <v>2.31E-4</v>
      </c>
      <c r="E60" s="1">
        <f t="shared" si="1"/>
        <v>1.925E-5</v>
      </c>
      <c r="F60" s="1">
        <f t="shared" si="7"/>
        <v>0.99998074999999997</v>
      </c>
      <c r="G60" s="1">
        <f t="shared" si="8"/>
        <v>0.99506689212429278</v>
      </c>
      <c r="H60" s="34">
        <f t="shared" si="2"/>
        <v>0.81272848035382284</v>
      </c>
      <c r="I60" s="36">
        <f t="shared" si="3"/>
        <v>0.80871920308657785</v>
      </c>
    </row>
    <row r="61" spans="2:9" x14ac:dyDescent="0.35">
      <c r="B61" s="16">
        <f t="shared" si="4"/>
        <v>4.3333333333333348</v>
      </c>
      <c r="C61" s="17">
        <f t="shared" si="0"/>
        <v>4.3333333333333348</v>
      </c>
      <c r="D61" s="1" cm="1">
        <f t="array" ref="D61">_xlfn.XLOOKUP(_xlfn.FLOOR.MATH(C61),'Mortality Tables'!$B$4:$B$124,_xlfn.XLOOKUP(mortality_table,'Mortality Tables'!$B$3:$G$3,'Mortality Tables'!$B$4:$G$124,0,0),0,0)</f>
        <v>2.31E-4</v>
      </c>
      <c r="E61" s="1">
        <f t="shared" si="1"/>
        <v>1.925E-5</v>
      </c>
      <c r="F61" s="1">
        <f t="shared" si="7"/>
        <v>0.99998074999999997</v>
      </c>
      <c r="G61" s="1">
        <f t="shared" si="8"/>
        <v>0.99504773708661931</v>
      </c>
      <c r="H61" s="34">
        <f t="shared" si="2"/>
        <v>0.80943075924636065</v>
      </c>
      <c r="I61" s="36">
        <f t="shared" si="3"/>
        <v>0.80542224531639528</v>
      </c>
    </row>
    <row r="62" spans="2:9" x14ac:dyDescent="0.35">
      <c r="B62" s="16">
        <f t="shared" si="4"/>
        <v>4.4166666666666679</v>
      </c>
      <c r="C62" s="17">
        <f t="shared" si="0"/>
        <v>4.4166666666666679</v>
      </c>
      <c r="D62" s="1" cm="1">
        <f t="array" ref="D62">_xlfn.XLOOKUP(_xlfn.FLOOR.MATH(C62),'Mortality Tables'!$B$4:$B$124,_xlfn.XLOOKUP(mortality_table,'Mortality Tables'!$B$3:$G$3,'Mortality Tables'!$B$4:$G$124,0,0),0,0)</f>
        <v>2.31E-4</v>
      </c>
      <c r="E62" s="1">
        <f t="shared" si="1"/>
        <v>1.925E-5</v>
      </c>
      <c r="F62" s="1">
        <f t="shared" si="7"/>
        <v>0.99998074999999997</v>
      </c>
      <c r="G62" s="1">
        <f t="shared" si="8"/>
        <v>0.99502858241768033</v>
      </c>
      <c r="H62" s="34">
        <f t="shared" si="2"/>
        <v>0.80614641894782246</v>
      </c>
      <c r="I62" s="36">
        <f t="shared" si="3"/>
        <v>0.80213872846674117</v>
      </c>
    </row>
    <row r="63" spans="2:9" x14ac:dyDescent="0.35">
      <c r="B63" s="16">
        <f t="shared" si="4"/>
        <v>4.5000000000000009</v>
      </c>
      <c r="C63" s="17">
        <f t="shared" si="0"/>
        <v>4.5000000000000009</v>
      </c>
      <c r="D63" s="1" cm="1">
        <f t="array" ref="D63">_xlfn.XLOOKUP(_xlfn.FLOOR.MATH(C63),'Mortality Tables'!$B$4:$B$124,_xlfn.XLOOKUP(mortality_table,'Mortality Tables'!$B$3:$G$3,'Mortality Tables'!$B$4:$G$124,0,0),0,0)</f>
        <v>2.31E-4</v>
      </c>
      <c r="E63" s="1">
        <f t="shared" si="1"/>
        <v>1.925E-5</v>
      </c>
      <c r="F63" s="1">
        <f t="shared" si="7"/>
        <v>0.99998074999999997</v>
      </c>
      <c r="G63" s="1">
        <f t="shared" si="8"/>
        <v>0.99500942811746873</v>
      </c>
      <c r="H63" s="34">
        <f t="shared" si="2"/>
        <v>0.80287540516433609</v>
      </c>
      <c r="I63" s="36">
        <f t="shared" si="3"/>
        <v>0.79886859774214702</v>
      </c>
    </row>
    <row r="64" spans="2:9" x14ac:dyDescent="0.35">
      <c r="B64" s="16">
        <f t="shared" si="4"/>
        <v>4.5833333333333339</v>
      </c>
      <c r="C64" s="17">
        <f t="shared" si="0"/>
        <v>4.5833333333333339</v>
      </c>
      <c r="D64" s="1" cm="1">
        <f t="array" ref="D64">_xlfn.XLOOKUP(_xlfn.FLOOR.MATH(C64),'Mortality Tables'!$B$4:$B$124,_xlfn.XLOOKUP(mortality_table,'Mortality Tables'!$B$3:$G$3,'Mortality Tables'!$B$4:$G$124,0,0),0,0)</f>
        <v>2.31E-4</v>
      </c>
      <c r="E64" s="1">
        <f t="shared" si="1"/>
        <v>1.925E-5</v>
      </c>
      <c r="F64" s="1">
        <f t="shared" si="7"/>
        <v>0.99998074999999997</v>
      </c>
      <c r="G64" s="1">
        <f t="shared" si="8"/>
        <v>0.99499027418597741</v>
      </c>
      <c r="H64" s="34">
        <f t="shared" si="2"/>
        <v>0.79961766382233246</v>
      </c>
      <c r="I64" s="36">
        <f t="shared" si="3"/>
        <v>0.79561179857053332</v>
      </c>
    </row>
    <row r="65" spans="2:9" x14ac:dyDescent="0.35">
      <c r="B65" s="16">
        <f t="shared" si="4"/>
        <v>4.666666666666667</v>
      </c>
      <c r="C65" s="17">
        <f t="shared" si="0"/>
        <v>4.666666666666667</v>
      </c>
      <c r="D65" s="1" cm="1">
        <f t="array" ref="D65">_xlfn.XLOOKUP(_xlfn.FLOOR.MATH(C65),'Mortality Tables'!$B$4:$B$124,_xlfn.XLOOKUP(mortality_table,'Mortality Tables'!$B$3:$G$3,'Mortality Tables'!$B$4:$G$124,0,0),0,0)</f>
        <v>2.31E-4</v>
      </c>
      <c r="E65" s="1">
        <f t="shared" si="1"/>
        <v>1.925E-5</v>
      </c>
      <c r="F65" s="1">
        <f t="shared" si="7"/>
        <v>0.99998074999999997</v>
      </c>
      <c r="G65" s="1">
        <f t="shared" si="8"/>
        <v>0.99497112062319926</v>
      </c>
      <c r="H65" s="34">
        <f t="shared" si="2"/>
        <v>0.79637314106764989</v>
      </c>
      <c r="I65" s="36">
        <f t="shared" si="3"/>
        <v>0.79236827660229681</v>
      </c>
    </row>
    <row r="66" spans="2:9" x14ac:dyDescent="0.35">
      <c r="B66" s="16">
        <f t="shared" si="4"/>
        <v>4.75</v>
      </c>
      <c r="C66" s="17">
        <f t="shared" si="0"/>
        <v>4.75</v>
      </c>
      <c r="D66" s="1" cm="1">
        <f t="array" ref="D66">_xlfn.XLOOKUP(_xlfn.FLOOR.MATH(C66),'Mortality Tables'!$B$4:$B$124,_xlfn.XLOOKUP(mortality_table,'Mortality Tables'!$B$3:$G$3,'Mortality Tables'!$B$4:$G$124,0,0),0,0)</f>
        <v>2.31E-4</v>
      </c>
      <c r="E66" s="1">
        <f t="shared" si="1"/>
        <v>1.925E-5</v>
      </c>
      <c r="F66" s="1">
        <f t="shared" si="7"/>
        <v>0.99998074999999997</v>
      </c>
      <c r="G66" s="1">
        <f t="shared" si="8"/>
        <v>0.99495196742912728</v>
      </c>
      <c r="H66" s="34">
        <f t="shared" si="2"/>
        <v>0.79314178326464624</v>
      </c>
      <c r="I66" s="36">
        <f t="shared" si="3"/>
        <v>0.78913797770940619</v>
      </c>
    </row>
    <row r="67" spans="2:9" x14ac:dyDescent="0.35">
      <c r="B67" s="16">
        <f t="shared" si="4"/>
        <v>4.833333333333333</v>
      </c>
      <c r="C67" s="17">
        <f t="shared" si="0"/>
        <v>4.833333333333333</v>
      </c>
      <c r="D67" s="1" cm="1">
        <f t="array" ref="D67">_xlfn.XLOOKUP(_xlfn.FLOOR.MATH(C67),'Mortality Tables'!$B$4:$B$124,_xlfn.XLOOKUP(mortality_table,'Mortality Tables'!$B$3:$G$3,'Mortality Tables'!$B$4:$G$124,0,0),0,0)</f>
        <v>2.31E-4</v>
      </c>
      <c r="E67" s="1">
        <f t="shared" si="1"/>
        <v>1.925E-5</v>
      </c>
      <c r="F67" s="1">
        <f t="shared" si="7"/>
        <v>0.99998074999999997</v>
      </c>
      <c r="G67" s="1">
        <f t="shared" si="8"/>
        <v>0.99493281460375427</v>
      </c>
      <c r="H67" s="34">
        <f t="shared" si="2"/>
        <v>0.78992353699531004</v>
      </c>
      <c r="I67" s="36">
        <f t="shared" si="3"/>
        <v>0.78592084798449657</v>
      </c>
    </row>
    <row r="68" spans="2:9" x14ac:dyDescent="0.35">
      <c r="B68" s="16">
        <f t="shared" si="4"/>
        <v>4.9166666666666661</v>
      </c>
      <c r="C68" s="17">
        <f t="shared" si="0"/>
        <v>4.9166666666666661</v>
      </c>
      <c r="D68" s="1" cm="1">
        <f t="array" ref="D68">_xlfn.XLOOKUP(_xlfn.FLOOR.MATH(C68),'Mortality Tables'!$B$4:$B$124,_xlfn.XLOOKUP(mortality_table,'Mortality Tables'!$B$3:$G$3,'Mortality Tables'!$B$4:$G$124,0,0),0,0)</f>
        <v>2.31E-4</v>
      </c>
      <c r="E68" s="1">
        <f t="shared" si="1"/>
        <v>1.925E-5</v>
      </c>
      <c r="F68" s="1">
        <f t="shared" si="7"/>
        <v>0.99998074999999997</v>
      </c>
      <c r="G68" s="1">
        <f t="shared" si="8"/>
        <v>0.99491366214707311</v>
      </c>
      <c r="H68" s="34">
        <f t="shared" si="2"/>
        <v>0.78671834905837879</v>
      </c>
      <c r="I68" s="36">
        <f t="shared" si="3"/>
        <v>0.78271683373997103</v>
      </c>
    </row>
    <row r="69" spans="2:9" x14ac:dyDescent="0.35">
      <c r="B69" s="16">
        <f t="shared" si="4"/>
        <v>4.9999999999999991</v>
      </c>
      <c r="C69" s="17">
        <f t="shared" si="0"/>
        <v>4.9999999999999991</v>
      </c>
      <c r="D69" s="1" cm="1">
        <f t="array" ref="D69">_xlfn.XLOOKUP(_xlfn.FLOOR.MATH(C69),'Mortality Tables'!$B$4:$B$124,_xlfn.XLOOKUP(mortality_table,'Mortality Tables'!$B$3:$G$3,'Mortality Tables'!$B$4:$G$124,0,0),0,0)</f>
        <v>2.0900000000000001E-4</v>
      </c>
      <c r="E69" s="1">
        <f t="shared" si="1"/>
        <v>1.7416666666666665E-5</v>
      </c>
      <c r="F69" s="1">
        <f t="shared" si="7"/>
        <v>0.99998258333333334</v>
      </c>
      <c r="G69" s="1">
        <f t="shared" si="8"/>
        <v>0.9948945100590767</v>
      </c>
      <c r="H69" s="34">
        <f t="shared" si="2"/>
        <v>0.78352616646845896</v>
      </c>
      <c r="I69" s="36">
        <f t="shared" si="3"/>
        <v>0.779525881507104</v>
      </c>
    </row>
    <row r="70" spans="2:9" x14ac:dyDescent="0.35">
      <c r="B70" s="16">
        <f t="shared" si="4"/>
        <v>5.0833333333333321</v>
      </c>
      <c r="C70" s="17">
        <f t="shared" si="0"/>
        <v>5.0833333333333321</v>
      </c>
      <c r="D70" s="1" cm="1">
        <f t="array" ref="D70">_xlfn.XLOOKUP(_xlfn.FLOOR.MATH(C70),'Mortality Tables'!$B$4:$B$124,_xlfn.XLOOKUP(mortality_table,'Mortality Tables'!$B$3:$G$3,'Mortality Tables'!$B$4:$G$124,0,0),0,0)</f>
        <v>2.0900000000000001E-4</v>
      </c>
      <c r="E70" s="1">
        <f t="shared" si="1"/>
        <v>1.7416666666666665E-5</v>
      </c>
      <c r="F70" s="1">
        <f t="shared" si="7"/>
        <v>0.99998258333333334</v>
      </c>
      <c r="G70" s="1">
        <f t="shared" si="8"/>
        <v>0.99487718231302646</v>
      </c>
      <c r="H70" s="34">
        <f t="shared" si="2"/>
        <v>0.78034693645514985</v>
      </c>
      <c r="I70" s="36">
        <f t="shared" si="3"/>
        <v>0.77634936136710175</v>
      </c>
    </row>
    <row r="71" spans="2:9" x14ac:dyDescent="0.35">
      <c r="B71" s="16">
        <f t="shared" si="4"/>
        <v>5.1666666666666652</v>
      </c>
      <c r="C71" s="17">
        <f t="shared" si="0"/>
        <v>5.1666666666666652</v>
      </c>
      <c r="D71" s="1" cm="1">
        <f t="array" ref="D71">_xlfn.XLOOKUP(_xlfn.FLOOR.MATH(C71),'Mortality Tables'!$B$4:$B$124,_xlfn.XLOOKUP(mortality_table,'Mortality Tables'!$B$3:$G$3,'Mortality Tables'!$B$4:$G$124,0,0),0,0)</f>
        <v>2.0900000000000001E-4</v>
      </c>
      <c r="E71" s="1">
        <f t="shared" si="1"/>
        <v>1.7416666666666665E-5</v>
      </c>
      <c r="F71" s="1">
        <f t="shared" si="7"/>
        <v>0.99998258333333334</v>
      </c>
      <c r="G71" s="1">
        <f t="shared" si="8"/>
        <v>0.99485985486876782</v>
      </c>
      <c r="H71" s="34">
        <f t="shared" si="2"/>
        <v>0.77718060646217213</v>
      </c>
      <c r="I71" s="36">
        <f t="shared" si="3"/>
        <v>0.77318578535177751</v>
      </c>
    </row>
    <row r="72" spans="2:9" x14ac:dyDescent="0.35">
      <c r="B72" s="16">
        <f t="shared" si="4"/>
        <v>5.2499999999999982</v>
      </c>
      <c r="C72" s="17">
        <f t="shared" si="0"/>
        <v>5.2499999999999982</v>
      </c>
      <c r="D72" s="1" cm="1">
        <f t="array" ref="D72">_xlfn.XLOOKUP(_xlfn.FLOOR.MATH(C72),'Mortality Tables'!$B$4:$B$124,_xlfn.XLOOKUP(mortality_table,'Mortality Tables'!$B$3:$G$3,'Mortality Tables'!$B$4:$G$124,0,0),0,0)</f>
        <v>2.0900000000000001E-4</v>
      </c>
      <c r="E72" s="1">
        <f t="shared" si="1"/>
        <v>1.7416666666666665E-5</v>
      </c>
      <c r="F72" s="1">
        <f t="shared" si="7"/>
        <v>0.99998258333333334</v>
      </c>
      <c r="G72" s="1">
        <f t="shared" si="8"/>
        <v>0.99484252772629556</v>
      </c>
      <c r="H72" s="34">
        <f t="shared" si="2"/>
        <v>0.77402712414649799</v>
      </c>
      <c r="I72" s="36">
        <f t="shared" si="3"/>
        <v>0.77003510071461723</v>
      </c>
    </row>
    <row r="73" spans="2:9" x14ac:dyDescent="0.35">
      <c r="B73" s="16">
        <f t="shared" si="4"/>
        <v>5.3333333333333313</v>
      </c>
      <c r="C73" s="17">
        <f t="shared" ref="C73:C136" si="9">current_age+B73</f>
        <v>5.3333333333333313</v>
      </c>
      <c r="D73" s="1" cm="1">
        <f t="array" ref="D73">_xlfn.XLOOKUP(_xlfn.FLOOR.MATH(C73),'Mortality Tables'!$B$4:$B$124,_xlfn.XLOOKUP(mortality_table,'Mortality Tables'!$B$3:$G$3,'Mortality Tables'!$B$4:$G$124,0,0),0,0)</f>
        <v>2.0900000000000001E-4</v>
      </c>
      <c r="E73" s="1">
        <f t="shared" ref="E73:E136" si="10">$F$5*D73</f>
        <v>1.7416666666666665E-5</v>
      </c>
      <c r="F73" s="1">
        <f t="shared" si="7"/>
        <v>0.99998258333333334</v>
      </c>
      <c r="G73" s="1">
        <f t="shared" si="8"/>
        <v>0.99482520088560433</v>
      </c>
      <c r="H73" s="34">
        <f t="shared" ref="H73:H136" si="11">(1+interest_rate)^-(B73)</f>
        <v>0.77088643737748652</v>
      </c>
      <c r="I73" s="36">
        <f t="shared" ref="I73:I136" si="12">IF(current_age+B73&lt;=$C$5,G73*H73,0)</f>
        <v>0.76689725492404592</v>
      </c>
    </row>
    <row r="74" spans="2:9" x14ac:dyDescent="0.35">
      <c r="B74" s="16">
        <f t="shared" ref="B74:B137" si="13">B73+$F$5</f>
        <v>5.4166666666666643</v>
      </c>
      <c r="C74" s="17">
        <f t="shared" si="9"/>
        <v>5.4166666666666643</v>
      </c>
      <c r="D74" s="1" cm="1">
        <f t="array" ref="D74">_xlfn.XLOOKUP(_xlfn.FLOOR.MATH(C74),'Mortality Tables'!$B$4:$B$124,_xlfn.XLOOKUP(mortality_table,'Mortality Tables'!$B$3:$G$3,'Mortality Tables'!$B$4:$G$124,0,0),0,0)</f>
        <v>2.0900000000000001E-4</v>
      </c>
      <c r="E74" s="1">
        <f t="shared" si="10"/>
        <v>1.7416666666666665E-5</v>
      </c>
      <c r="F74" s="1">
        <f t="shared" si="7"/>
        <v>0.99998258333333334</v>
      </c>
      <c r="G74" s="1">
        <f t="shared" si="8"/>
        <v>0.99480787434668894</v>
      </c>
      <c r="H74" s="34">
        <f t="shared" si="11"/>
        <v>0.76775849423602149</v>
      </c>
      <c r="I74" s="36">
        <f t="shared" si="12"/>
        <v>0.76377219566255117</v>
      </c>
    </row>
    <row r="75" spans="2:9" x14ac:dyDescent="0.35">
      <c r="B75" s="16">
        <f t="shared" si="13"/>
        <v>5.4999999999999973</v>
      </c>
      <c r="C75" s="17">
        <f t="shared" si="9"/>
        <v>5.4999999999999973</v>
      </c>
      <c r="D75" s="1" cm="1">
        <f t="array" ref="D75">_xlfn.XLOOKUP(_xlfn.FLOOR.MATH(C75),'Mortality Tables'!$B$4:$B$124,_xlfn.XLOOKUP(mortality_table,'Mortality Tables'!$B$3:$G$3,'Mortality Tables'!$B$4:$G$124,0,0),0,0)</f>
        <v>2.0900000000000001E-4</v>
      </c>
      <c r="E75" s="1">
        <f t="shared" si="10"/>
        <v>1.7416666666666665E-5</v>
      </c>
      <c r="F75" s="1">
        <f t="shared" si="7"/>
        <v>0.99998258333333334</v>
      </c>
      <c r="G75" s="1">
        <f t="shared" si="8"/>
        <v>0.99479054810954404</v>
      </c>
      <c r="H75" s="34">
        <f t="shared" si="11"/>
        <v>0.76464324301365372</v>
      </c>
      <c r="I75" s="36">
        <f t="shared" si="12"/>
        <v>0.76065987082581188</v>
      </c>
    </row>
    <row r="76" spans="2:9" x14ac:dyDescent="0.35">
      <c r="B76" s="16">
        <f t="shared" si="13"/>
        <v>5.5833333333333304</v>
      </c>
      <c r="C76" s="17">
        <f t="shared" si="9"/>
        <v>5.5833333333333304</v>
      </c>
      <c r="D76" s="1" cm="1">
        <f t="array" ref="D76">_xlfn.XLOOKUP(_xlfn.FLOOR.MATH(C76),'Mortality Tables'!$B$4:$B$124,_xlfn.XLOOKUP(mortality_table,'Mortality Tables'!$B$3:$G$3,'Mortality Tables'!$B$4:$G$124,0,0),0,0)</f>
        <v>2.0900000000000001E-4</v>
      </c>
      <c r="E76" s="1">
        <f t="shared" si="10"/>
        <v>1.7416666666666665E-5</v>
      </c>
      <c r="F76" s="1">
        <f t="shared" si="7"/>
        <v>0.99998258333333334</v>
      </c>
      <c r="G76" s="1">
        <f t="shared" si="8"/>
        <v>0.99477322217416442</v>
      </c>
      <c r="H76" s="34">
        <f t="shared" si="11"/>
        <v>0.76154063221174517</v>
      </c>
      <c r="I76" s="36">
        <f t="shared" si="12"/>
        <v>0.75756022852182803</v>
      </c>
    </row>
    <row r="77" spans="2:9" x14ac:dyDescent="0.35">
      <c r="B77" s="16">
        <f t="shared" si="13"/>
        <v>5.6666666666666634</v>
      </c>
      <c r="C77" s="17">
        <f t="shared" si="9"/>
        <v>5.6666666666666634</v>
      </c>
      <c r="D77" s="1" cm="1">
        <f t="array" ref="D77">_xlfn.XLOOKUP(_xlfn.FLOOR.MATH(C77),'Mortality Tables'!$B$4:$B$124,_xlfn.XLOOKUP(mortality_table,'Mortality Tables'!$B$3:$G$3,'Mortality Tables'!$B$4:$G$124,0,0),0,0)</f>
        <v>2.0900000000000001E-4</v>
      </c>
      <c r="E77" s="1">
        <f t="shared" si="10"/>
        <v>1.7416666666666665E-5</v>
      </c>
      <c r="F77" s="1">
        <f t="shared" si="7"/>
        <v>0.99998258333333334</v>
      </c>
      <c r="G77" s="1">
        <f t="shared" si="8"/>
        <v>0.99475589654054486</v>
      </c>
      <c r="H77" s="34">
        <f t="shared" si="11"/>
        <v>0.75845061054061913</v>
      </c>
      <c r="I77" s="36">
        <f t="shared" si="12"/>
        <v>0.75447321707005721</v>
      </c>
    </row>
    <row r="78" spans="2:9" x14ac:dyDescent="0.35">
      <c r="B78" s="16">
        <f t="shared" si="13"/>
        <v>5.7499999999999964</v>
      </c>
      <c r="C78" s="17">
        <f t="shared" si="9"/>
        <v>5.7499999999999964</v>
      </c>
      <c r="D78" s="1" cm="1">
        <f t="array" ref="D78">_xlfn.XLOOKUP(_xlfn.FLOOR.MATH(C78),'Mortality Tables'!$B$4:$B$124,_xlfn.XLOOKUP(mortality_table,'Mortality Tables'!$B$3:$G$3,'Mortality Tables'!$B$4:$G$124,0,0),0,0)</f>
        <v>2.0900000000000001E-4</v>
      </c>
      <c r="E78" s="1">
        <f t="shared" si="10"/>
        <v>1.7416666666666665E-5</v>
      </c>
      <c r="F78" s="1">
        <f t="shared" si="7"/>
        <v>0.99998258333333334</v>
      </c>
      <c r="G78" s="1">
        <f t="shared" si="8"/>
        <v>0.99473857120868014</v>
      </c>
      <c r="H78" s="34">
        <f t="shared" si="11"/>
        <v>0.75537312691871084</v>
      </c>
      <c r="I78" s="36">
        <f t="shared" si="12"/>
        <v>0.75139878500055146</v>
      </c>
    </row>
    <row r="79" spans="2:9" x14ac:dyDescent="0.35">
      <c r="B79" s="16">
        <f t="shared" si="13"/>
        <v>5.8333333333333295</v>
      </c>
      <c r="C79" s="17">
        <f t="shared" si="9"/>
        <v>5.8333333333333295</v>
      </c>
      <c r="D79" s="1" cm="1">
        <f t="array" ref="D79">_xlfn.XLOOKUP(_xlfn.FLOOR.MATH(C79),'Mortality Tables'!$B$4:$B$124,_xlfn.XLOOKUP(mortality_table,'Mortality Tables'!$B$3:$G$3,'Mortality Tables'!$B$4:$G$124,0,0),0,0)</f>
        <v>2.0900000000000001E-4</v>
      </c>
      <c r="E79" s="1">
        <f t="shared" si="10"/>
        <v>1.7416666666666665E-5</v>
      </c>
      <c r="F79" s="1">
        <f t="shared" si="7"/>
        <v>0.99998258333333334</v>
      </c>
      <c r="G79" s="1">
        <f t="shared" si="8"/>
        <v>0.99472124617856494</v>
      </c>
      <c r="H79" s="34">
        <f t="shared" si="11"/>
        <v>0.75230813047172396</v>
      </c>
      <c r="I79" s="36">
        <f t="shared" si="12"/>
        <v>0.7483368810530997</v>
      </c>
    </row>
    <row r="80" spans="2:9" x14ac:dyDescent="0.35">
      <c r="B80" s="16">
        <f t="shared" si="13"/>
        <v>5.9166666666666625</v>
      </c>
      <c r="C80" s="17">
        <f t="shared" si="9"/>
        <v>5.9166666666666625</v>
      </c>
      <c r="D80" s="1" cm="1">
        <f t="array" ref="D80">_xlfn.XLOOKUP(_xlfn.FLOOR.MATH(C80),'Mortality Tables'!$B$4:$B$124,_xlfn.XLOOKUP(mortality_table,'Mortality Tables'!$B$3:$G$3,'Mortality Tables'!$B$4:$G$124,0,0),0,0)</f>
        <v>2.0900000000000001E-4</v>
      </c>
      <c r="E80" s="1">
        <f t="shared" si="10"/>
        <v>1.7416666666666665E-5</v>
      </c>
      <c r="F80" s="1">
        <f t="shared" si="7"/>
        <v>0.99998258333333334</v>
      </c>
      <c r="G80" s="1">
        <f t="shared" si="8"/>
        <v>0.99470392145019404</v>
      </c>
      <c r="H80" s="34">
        <f t="shared" si="11"/>
        <v>0.74925557053178937</v>
      </c>
      <c r="I80" s="36">
        <f t="shared" si="12"/>
        <v>0.74528745417637332</v>
      </c>
    </row>
    <row r="81" spans="2:9" x14ac:dyDescent="0.35">
      <c r="B81" s="16">
        <f t="shared" si="13"/>
        <v>5.9999999999999956</v>
      </c>
      <c r="C81" s="17">
        <f t="shared" si="9"/>
        <v>5.9999999999999956</v>
      </c>
      <c r="D81" s="1" cm="1">
        <f t="array" ref="D81">_xlfn.XLOOKUP(_xlfn.FLOOR.MATH(C81),'Mortality Tables'!$B$4:$B$124,_xlfn.XLOOKUP(mortality_table,'Mortality Tables'!$B$3:$G$3,'Mortality Tables'!$B$4:$G$124,0,0),0,0)</f>
        <v>1.8799999999999999E-4</v>
      </c>
      <c r="E81" s="1">
        <f t="shared" si="10"/>
        <v>1.5666666666666663E-5</v>
      </c>
      <c r="F81" s="1">
        <f t="shared" si="7"/>
        <v>0.99998433333333336</v>
      </c>
      <c r="G81" s="1">
        <f t="shared" si="8"/>
        <v>0.9946865970235621</v>
      </c>
      <c r="H81" s="34">
        <f t="shared" si="11"/>
        <v>0.74621539663662761</v>
      </c>
      <c r="I81" s="36">
        <f t="shared" si="12"/>
        <v>0.74225045352707475</v>
      </c>
    </row>
    <row r="82" spans="2:9" x14ac:dyDescent="0.35">
      <c r="B82" s="16">
        <f t="shared" si="13"/>
        <v>6.0833333333333286</v>
      </c>
      <c r="C82" s="17">
        <f t="shared" si="9"/>
        <v>6.0833333333333286</v>
      </c>
      <c r="D82" s="1" cm="1">
        <f t="array" ref="D82">_xlfn.XLOOKUP(_xlfn.FLOOR.MATH(C82),'Mortality Tables'!$B$4:$B$124,_xlfn.XLOOKUP(mortality_table,'Mortality Tables'!$B$3:$G$3,'Mortality Tables'!$B$4:$G$124,0,0),0,0)</f>
        <v>1.8799999999999999E-4</v>
      </c>
      <c r="E82" s="1">
        <f t="shared" si="10"/>
        <v>1.5666666666666663E-5</v>
      </c>
      <c r="F82" s="1">
        <f t="shared" si="7"/>
        <v>0.99998433333333336</v>
      </c>
      <c r="G82" s="1">
        <f t="shared" si="8"/>
        <v>0.99467101360020871</v>
      </c>
      <c r="H82" s="34">
        <f t="shared" si="11"/>
        <v>0.74318755852871421</v>
      </c>
      <c r="I82" s="36">
        <f t="shared" si="12"/>
        <v>0.73922712213682062</v>
      </c>
    </row>
    <row r="83" spans="2:9" x14ac:dyDescent="0.35">
      <c r="B83" s="16">
        <f t="shared" si="13"/>
        <v>6.1666666666666616</v>
      </c>
      <c r="C83" s="17">
        <f t="shared" si="9"/>
        <v>6.1666666666666616</v>
      </c>
      <c r="D83" s="1" cm="1">
        <f t="array" ref="D83">_xlfn.XLOOKUP(_xlfn.FLOOR.MATH(C83),'Mortality Tables'!$B$4:$B$124,_xlfn.XLOOKUP(mortality_table,'Mortality Tables'!$B$3:$G$3,'Mortality Tables'!$B$4:$G$124,0,0),0,0)</f>
        <v>1.8799999999999999E-4</v>
      </c>
      <c r="E83" s="1">
        <f t="shared" si="10"/>
        <v>1.5666666666666663E-5</v>
      </c>
      <c r="F83" s="1">
        <f t="shared" si="7"/>
        <v>0.99998433333333336</v>
      </c>
      <c r="G83" s="1">
        <f t="shared" si="8"/>
        <v>0.99465543042099569</v>
      </c>
      <c r="H83" s="34">
        <f t="shared" si="11"/>
        <v>0.74017200615444967</v>
      </c>
      <c r="I83" s="36">
        <f t="shared" si="12"/>
        <v>0.73621610536712601</v>
      </c>
    </row>
    <row r="84" spans="2:9" x14ac:dyDescent="0.35">
      <c r="B84" s="16">
        <f t="shared" si="13"/>
        <v>6.2499999999999947</v>
      </c>
      <c r="C84" s="17">
        <f t="shared" si="9"/>
        <v>6.2499999999999947</v>
      </c>
      <c r="D84" s="1" cm="1">
        <f t="array" ref="D84">_xlfn.XLOOKUP(_xlfn.FLOOR.MATH(C84),'Mortality Tables'!$B$4:$B$124,_xlfn.XLOOKUP(mortality_table,'Mortality Tables'!$B$3:$G$3,'Mortality Tables'!$B$4:$G$124,0,0),0,0)</f>
        <v>1.8799999999999999E-4</v>
      </c>
      <c r="E84" s="1">
        <f t="shared" si="10"/>
        <v>1.5666666666666663E-5</v>
      </c>
      <c r="F84" s="1">
        <f t="shared" si="7"/>
        <v>0.99998433333333336</v>
      </c>
      <c r="G84" s="1">
        <f t="shared" si="8"/>
        <v>0.99463984748591916</v>
      </c>
      <c r="H84" s="34">
        <f t="shared" si="11"/>
        <v>0.7371686896633316</v>
      </c>
      <c r="I84" s="36">
        <f t="shared" si="12"/>
        <v>0.73321735305813096</v>
      </c>
    </row>
    <row r="85" spans="2:9" x14ac:dyDescent="0.35">
      <c r="B85" s="16">
        <f t="shared" si="13"/>
        <v>6.3333333333333277</v>
      </c>
      <c r="C85" s="17">
        <f t="shared" si="9"/>
        <v>6.3333333333333277</v>
      </c>
      <c r="D85" s="1" cm="1">
        <f t="array" ref="D85">_xlfn.XLOOKUP(_xlfn.FLOOR.MATH(C85),'Mortality Tables'!$B$4:$B$124,_xlfn.XLOOKUP(mortality_table,'Mortality Tables'!$B$3:$G$3,'Mortality Tables'!$B$4:$G$124,0,0),0,0)</f>
        <v>1.8799999999999999E-4</v>
      </c>
      <c r="E85" s="1">
        <f t="shared" si="10"/>
        <v>1.5666666666666663E-5</v>
      </c>
      <c r="F85" s="1">
        <f t="shared" si="7"/>
        <v>0.99998433333333336</v>
      </c>
      <c r="G85" s="1">
        <f t="shared" si="8"/>
        <v>0.99462426479497523</v>
      </c>
      <c r="H85" s="34">
        <f t="shared" si="11"/>
        <v>0.73417755940713003</v>
      </c>
      <c r="I85" s="36">
        <f t="shared" si="12"/>
        <v>0.73023081525428601</v>
      </c>
    </row>
    <row r="86" spans="2:9" x14ac:dyDescent="0.35">
      <c r="B86" s="16">
        <f t="shared" si="13"/>
        <v>6.4166666666666607</v>
      </c>
      <c r="C86" s="17">
        <f t="shared" si="9"/>
        <v>6.4166666666666607</v>
      </c>
      <c r="D86" s="1" cm="1">
        <f t="array" ref="D86">_xlfn.XLOOKUP(_xlfn.FLOOR.MATH(C86),'Mortality Tables'!$B$4:$B$124,_xlfn.XLOOKUP(mortality_table,'Mortality Tables'!$B$3:$G$3,'Mortality Tables'!$B$4:$G$124,0,0),0,0)</f>
        <v>1.8799999999999999E-4</v>
      </c>
      <c r="E86" s="1">
        <f t="shared" si="10"/>
        <v>1.5666666666666663E-5</v>
      </c>
      <c r="F86" s="1">
        <f t="shared" si="7"/>
        <v>0.99998433333333336</v>
      </c>
      <c r="G86" s="1">
        <f t="shared" si="8"/>
        <v>0.99460868234816013</v>
      </c>
      <c r="H86" s="34">
        <f t="shared" si="11"/>
        <v>0.73119856593906829</v>
      </c>
      <c r="I86" s="36">
        <f t="shared" si="12"/>
        <v>0.72725644220352104</v>
      </c>
    </row>
    <row r="87" spans="2:9" x14ac:dyDescent="0.35">
      <c r="B87" s="16">
        <f t="shared" si="13"/>
        <v>6.4999999999999938</v>
      </c>
      <c r="C87" s="17">
        <f t="shared" si="9"/>
        <v>6.4999999999999938</v>
      </c>
      <c r="D87" s="1" cm="1">
        <f t="array" ref="D87">_xlfn.XLOOKUP(_xlfn.FLOOR.MATH(C87),'Mortality Tables'!$B$4:$B$124,_xlfn.XLOOKUP(mortality_table,'Mortality Tables'!$B$3:$G$3,'Mortality Tables'!$B$4:$G$124,0,0),0,0)</f>
        <v>1.8799999999999999E-4</v>
      </c>
      <c r="E87" s="1">
        <f t="shared" si="10"/>
        <v>1.5666666666666663E-5</v>
      </c>
      <c r="F87" s="1">
        <f t="shared" si="7"/>
        <v>0.99998433333333336</v>
      </c>
      <c r="G87" s="1">
        <f t="shared" si="8"/>
        <v>0.99459310014547009</v>
      </c>
      <c r="H87" s="34">
        <f t="shared" si="11"/>
        <v>0.72823166001300355</v>
      </c>
      <c r="I87" s="36">
        <f t="shared" si="12"/>
        <v>0.72429418435641513</v>
      </c>
    </row>
    <row r="88" spans="2:9" x14ac:dyDescent="0.35">
      <c r="B88" s="16">
        <f t="shared" si="13"/>
        <v>6.5833333333333268</v>
      </c>
      <c r="C88" s="17">
        <f t="shared" si="9"/>
        <v>6.5833333333333268</v>
      </c>
      <c r="D88" s="1" cm="1">
        <f t="array" ref="D88">_xlfn.XLOOKUP(_xlfn.FLOOR.MATH(C88),'Mortality Tables'!$B$4:$B$124,_xlfn.XLOOKUP(mortality_table,'Mortality Tables'!$B$3:$G$3,'Mortality Tables'!$B$4:$G$124,0,0),0,0)</f>
        <v>1.8799999999999999E-4</v>
      </c>
      <c r="E88" s="1">
        <f t="shared" si="10"/>
        <v>1.5666666666666663E-5</v>
      </c>
      <c r="F88" s="1">
        <f t="shared" si="7"/>
        <v>0.99998433333333336</v>
      </c>
      <c r="G88" s="1">
        <f t="shared" si="8"/>
        <v>0.99457751818690121</v>
      </c>
      <c r="H88" s="34">
        <f t="shared" si="11"/>
        <v>0.72527679258261468</v>
      </c>
      <c r="I88" s="36">
        <f t="shared" si="12"/>
        <v>0.72134399236537283</v>
      </c>
    </row>
    <row r="89" spans="2:9" x14ac:dyDescent="0.35">
      <c r="B89" s="16">
        <f t="shared" si="13"/>
        <v>6.6666666666666599</v>
      </c>
      <c r="C89" s="17">
        <f t="shared" si="9"/>
        <v>6.6666666666666599</v>
      </c>
      <c r="D89" s="1" cm="1">
        <f t="array" ref="D89">_xlfn.XLOOKUP(_xlfn.FLOOR.MATH(C89),'Mortality Tables'!$B$4:$B$124,_xlfn.XLOOKUP(mortality_table,'Mortality Tables'!$B$3:$G$3,'Mortality Tables'!$B$4:$G$124,0,0),0,0)</f>
        <v>1.8799999999999999E-4</v>
      </c>
      <c r="E89" s="1">
        <f t="shared" si="10"/>
        <v>1.5666666666666663E-5</v>
      </c>
      <c r="F89" s="1">
        <f t="shared" si="7"/>
        <v>0.99998433333333336</v>
      </c>
      <c r="G89" s="1">
        <f t="shared" si="8"/>
        <v>0.99456193647244961</v>
      </c>
      <c r="H89" s="34">
        <f t="shared" si="11"/>
        <v>0.72233391480058973</v>
      </c>
      <c r="I89" s="36">
        <f t="shared" si="12"/>
        <v>0.71840581708379991</v>
      </c>
    </row>
    <row r="90" spans="2:9" x14ac:dyDescent="0.35">
      <c r="B90" s="16">
        <f t="shared" si="13"/>
        <v>6.7499999999999929</v>
      </c>
      <c r="C90" s="17">
        <f t="shared" si="9"/>
        <v>6.7499999999999929</v>
      </c>
      <c r="D90" s="1" cm="1">
        <f t="array" ref="D90">_xlfn.XLOOKUP(_xlfn.FLOOR.MATH(C90),'Mortality Tables'!$B$4:$B$124,_xlfn.XLOOKUP(mortality_table,'Mortality Tables'!$B$3:$G$3,'Mortality Tables'!$B$4:$G$124,0,0),0,0)</f>
        <v>1.8799999999999999E-4</v>
      </c>
      <c r="E90" s="1">
        <f t="shared" si="10"/>
        <v>1.5666666666666663E-5</v>
      </c>
      <c r="F90" s="1">
        <f t="shared" si="7"/>
        <v>0.99998433333333336</v>
      </c>
      <c r="G90" s="1">
        <f t="shared" si="8"/>
        <v>0.99454635500211153</v>
      </c>
      <c r="H90" s="34">
        <f t="shared" si="11"/>
        <v>0.71940297801781994</v>
      </c>
      <c r="I90" s="36">
        <f t="shared" si="12"/>
        <v>0.715479609565287</v>
      </c>
    </row>
    <row r="91" spans="2:9" x14ac:dyDescent="0.35">
      <c r="B91" s="16">
        <f t="shared" si="13"/>
        <v>6.8333333333333259</v>
      </c>
      <c r="C91" s="17">
        <f t="shared" si="9"/>
        <v>6.8333333333333259</v>
      </c>
      <c r="D91" s="1" cm="1">
        <f t="array" ref="D91">_xlfn.XLOOKUP(_xlfn.FLOOR.MATH(C91),'Mortality Tables'!$B$4:$B$124,_xlfn.XLOOKUP(mortality_table,'Mortality Tables'!$B$3:$G$3,'Mortality Tables'!$B$4:$G$124,0,0),0,0)</f>
        <v>1.8799999999999999E-4</v>
      </c>
      <c r="E91" s="1">
        <f t="shared" si="10"/>
        <v>1.5666666666666663E-5</v>
      </c>
      <c r="F91" s="1">
        <f t="shared" ref="F91:F154" si="14">1-E91</f>
        <v>0.99998433333333336</v>
      </c>
      <c r="G91" s="1">
        <f t="shared" ref="G91:G154" si="15">G90*F90</f>
        <v>0.99453077377588317</v>
      </c>
      <c r="H91" s="34">
        <f t="shared" si="11"/>
        <v>0.71648393378259434</v>
      </c>
      <c r="I91" s="36">
        <f t="shared" si="12"/>
        <v>0.71256532106279213</v>
      </c>
    </row>
    <row r="92" spans="2:9" x14ac:dyDescent="0.35">
      <c r="B92" s="16">
        <f t="shared" si="13"/>
        <v>6.916666666666659</v>
      </c>
      <c r="C92" s="17">
        <f t="shared" si="9"/>
        <v>6.916666666666659</v>
      </c>
      <c r="D92" s="1" cm="1">
        <f t="array" ref="D92">_xlfn.XLOOKUP(_xlfn.FLOOR.MATH(C92),'Mortality Tables'!$B$4:$B$124,_xlfn.XLOOKUP(mortality_table,'Mortality Tables'!$B$3:$G$3,'Mortality Tables'!$B$4:$G$124,0,0),0,0)</f>
        <v>1.8799999999999999E-4</v>
      </c>
      <c r="E92" s="1">
        <f t="shared" si="10"/>
        <v>1.5666666666666663E-5</v>
      </c>
      <c r="F92" s="1">
        <f t="shared" si="14"/>
        <v>0.99998433333333336</v>
      </c>
      <c r="G92" s="1">
        <f t="shared" si="15"/>
        <v>0.99451519279376066</v>
      </c>
      <c r="H92" s="34">
        <f t="shared" si="11"/>
        <v>0.71357673383979958</v>
      </c>
      <c r="I92" s="36">
        <f t="shared" si="12"/>
        <v>0.70966290302783031</v>
      </c>
    </row>
    <row r="93" spans="2:9" x14ac:dyDescent="0.35">
      <c r="B93" s="16">
        <f t="shared" si="13"/>
        <v>6.999999999999992</v>
      </c>
      <c r="C93" s="17">
        <f t="shared" si="9"/>
        <v>6.999999999999992</v>
      </c>
      <c r="D93" s="1" cm="1">
        <f t="array" ref="D93">_xlfn.XLOOKUP(_xlfn.FLOOR.MATH(C93),'Mortality Tables'!$B$4:$B$124,_xlfn.XLOOKUP(mortality_table,'Mortality Tables'!$B$3:$G$3,'Mortality Tables'!$B$4:$G$124,0,0),0,0)</f>
        <v>1.8799999999999999E-4</v>
      </c>
      <c r="E93" s="1">
        <f t="shared" si="10"/>
        <v>1.5666666666666663E-5</v>
      </c>
      <c r="F93" s="1">
        <f t="shared" si="14"/>
        <v>0.99998433333333336</v>
      </c>
      <c r="G93" s="1">
        <f t="shared" si="15"/>
        <v>0.99449961205574022</v>
      </c>
      <c r="H93" s="34">
        <f t="shared" si="11"/>
        <v>0.71068133013012169</v>
      </c>
      <c r="I93" s="36">
        <f t="shared" si="12"/>
        <v>0.70677230710966343</v>
      </c>
    </row>
    <row r="94" spans="2:9" x14ac:dyDescent="0.35">
      <c r="B94" s="16">
        <f t="shared" si="13"/>
        <v>7.083333333333325</v>
      </c>
      <c r="C94" s="17">
        <f t="shared" si="9"/>
        <v>7.083333333333325</v>
      </c>
      <c r="D94" s="1" cm="1">
        <f t="array" ref="D94">_xlfn.XLOOKUP(_xlfn.FLOOR.MATH(C94),'Mortality Tables'!$B$4:$B$124,_xlfn.XLOOKUP(mortality_table,'Mortality Tables'!$B$3:$G$3,'Mortality Tables'!$B$4:$G$124,0,0),0,0)</f>
        <v>1.76E-4</v>
      </c>
      <c r="E94" s="1">
        <f t="shared" si="10"/>
        <v>1.4666666666666666E-5</v>
      </c>
      <c r="F94" s="1">
        <f t="shared" si="14"/>
        <v>0.99998533333333328</v>
      </c>
      <c r="G94" s="1">
        <f t="shared" si="15"/>
        <v>0.99448403156181808</v>
      </c>
      <c r="H94" s="34">
        <f t="shared" si="11"/>
        <v>0.70779767478925171</v>
      </c>
      <c r="I94" s="36">
        <f t="shared" si="12"/>
        <v>0.70389348515449568</v>
      </c>
    </row>
    <row r="95" spans="2:9" x14ac:dyDescent="0.35">
      <c r="B95" s="16">
        <f t="shared" si="13"/>
        <v>7.1666666666666581</v>
      </c>
      <c r="C95" s="17">
        <f t="shared" si="9"/>
        <v>7.1666666666666581</v>
      </c>
      <c r="D95" s="1" cm="1">
        <f t="array" ref="D95">_xlfn.XLOOKUP(_xlfn.FLOOR.MATH(C95),'Mortality Tables'!$B$4:$B$124,_xlfn.XLOOKUP(mortality_table,'Mortality Tables'!$B$3:$G$3,'Mortality Tables'!$B$4:$G$124,0,0),0,0)</f>
        <v>1.76E-4</v>
      </c>
      <c r="E95" s="1">
        <f t="shared" si="10"/>
        <v>1.4666666666666666E-5</v>
      </c>
      <c r="F95" s="1">
        <f t="shared" si="14"/>
        <v>0.99998533333333328</v>
      </c>
      <c r="G95" s="1">
        <f t="shared" si="15"/>
        <v>0.99446944579602181</v>
      </c>
      <c r="H95" s="34">
        <f t="shared" si="11"/>
        <v>0.70492572014709509</v>
      </c>
      <c r="I95" s="36">
        <f t="shared" si="12"/>
        <v>0.70102709024204324</v>
      </c>
    </row>
    <row r="96" spans="2:9" x14ac:dyDescent="0.35">
      <c r="B96" s="16">
        <f t="shared" si="13"/>
        <v>7.2499999999999911</v>
      </c>
      <c r="C96" s="17">
        <f t="shared" si="9"/>
        <v>7.2499999999999911</v>
      </c>
      <c r="D96" s="1" cm="1">
        <f t="array" ref="D96">_xlfn.XLOOKUP(_xlfn.FLOOR.MATH(C96),'Mortality Tables'!$B$4:$B$124,_xlfn.XLOOKUP(mortality_table,'Mortality Tables'!$B$3:$G$3,'Mortality Tables'!$B$4:$G$124,0,0),0,0)</f>
        <v>1.76E-4</v>
      </c>
      <c r="E96" s="1">
        <f t="shared" si="10"/>
        <v>1.4666666666666666E-5</v>
      </c>
      <c r="F96" s="1">
        <f t="shared" si="14"/>
        <v>0.99998533333333328</v>
      </c>
      <c r="G96" s="1">
        <f t="shared" si="15"/>
        <v>0.99445486024415009</v>
      </c>
      <c r="H96" s="34">
        <f t="shared" si="11"/>
        <v>0.70206541872698247</v>
      </c>
      <c r="I96" s="36">
        <f t="shared" si="12"/>
        <v>0.69817236786239212</v>
      </c>
    </row>
    <row r="97" spans="2:9" x14ac:dyDescent="0.35">
      <c r="B97" s="16">
        <f t="shared" si="13"/>
        <v>7.3333333333333242</v>
      </c>
      <c r="C97" s="17">
        <f t="shared" si="9"/>
        <v>7.3333333333333242</v>
      </c>
      <c r="D97" s="1" cm="1">
        <f t="array" ref="D97">_xlfn.XLOOKUP(_xlfn.FLOOR.MATH(C97),'Mortality Tables'!$B$4:$B$124,_xlfn.XLOOKUP(mortality_table,'Mortality Tables'!$B$3:$G$3,'Mortality Tables'!$B$4:$G$124,0,0),0,0)</f>
        <v>1.76E-4</v>
      </c>
      <c r="E97" s="1">
        <f t="shared" si="10"/>
        <v>1.4666666666666666E-5</v>
      </c>
      <c r="F97" s="1">
        <f t="shared" si="14"/>
        <v>0.99998533333333328</v>
      </c>
      <c r="G97" s="1">
        <f t="shared" si="15"/>
        <v>0.99444027490619979</v>
      </c>
      <c r="H97" s="34">
        <f t="shared" si="11"/>
        <v>0.69921672324488582</v>
      </c>
      <c r="I97" s="36">
        <f t="shared" si="12"/>
        <v>0.69532927048265647</v>
      </c>
    </row>
    <row r="98" spans="2:9" x14ac:dyDescent="0.35">
      <c r="B98" s="16">
        <f t="shared" si="13"/>
        <v>7.4166666666666572</v>
      </c>
      <c r="C98" s="17">
        <f t="shared" si="9"/>
        <v>7.4166666666666572</v>
      </c>
      <c r="D98" s="1" cm="1">
        <f t="array" ref="D98">_xlfn.XLOOKUP(_xlfn.FLOOR.MATH(C98),'Mortality Tables'!$B$4:$B$124,_xlfn.XLOOKUP(mortality_table,'Mortality Tables'!$B$3:$G$3,'Mortality Tables'!$B$4:$G$124,0,0),0,0)</f>
        <v>1.76E-4</v>
      </c>
      <c r="E98" s="1">
        <f t="shared" si="10"/>
        <v>1.4666666666666666E-5</v>
      </c>
      <c r="F98" s="1">
        <f t="shared" si="14"/>
        <v>0.99998533333333328</v>
      </c>
      <c r="G98" s="1">
        <f t="shared" si="15"/>
        <v>0.99442568978216783</v>
      </c>
      <c r="H98" s="34">
        <f t="shared" si="11"/>
        <v>0.69637958660863652</v>
      </c>
      <c r="I98" s="36">
        <f t="shared" si="12"/>
        <v>0.69249775076351427</v>
      </c>
    </row>
    <row r="99" spans="2:9" x14ac:dyDescent="0.35">
      <c r="B99" s="16">
        <f t="shared" si="13"/>
        <v>7.4999999999999902</v>
      </c>
      <c r="C99" s="17">
        <f t="shared" si="9"/>
        <v>7.4999999999999902</v>
      </c>
      <c r="D99" s="1" cm="1">
        <f t="array" ref="D99">_xlfn.XLOOKUP(_xlfn.FLOOR.MATH(C99),'Mortality Tables'!$B$4:$B$124,_xlfn.XLOOKUP(mortality_table,'Mortality Tables'!$B$3:$G$3,'Mortality Tables'!$B$4:$G$124,0,0),0,0)</f>
        <v>1.76E-4</v>
      </c>
      <c r="E99" s="1">
        <f t="shared" si="10"/>
        <v>1.4666666666666666E-5</v>
      </c>
      <c r="F99" s="1">
        <f t="shared" si="14"/>
        <v>0.99998533333333328</v>
      </c>
      <c r="G99" s="1">
        <f t="shared" si="15"/>
        <v>0.99441110487205098</v>
      </c>
      <c r="H99" s="34">
        <f t="shared" si="11"/>
        <v>0.69355396191714636</v>
      </c>
      <c r="I99" s="36">
        <f t="shared" si="12"/>
        <v>0.68967776155841787</v>
      </c>
    </row>
    <row r="100" spans="2:9" x14ac:dyDescent="0.35">
      <c r="B100" s="16">
        <f t="shared" si="13"/>
        <v>7.5833333333333233</v>
      </c>
      <c r="C100" s="17">
        <f t="shared" si="9"/>
        <v>7.5833333333333233</v>
      </c>
      <c r="D100" s="1" cm="1">
        <f t="array" ref="D100">_xlfn.XLOOKUP(_xlfn.FLOOR.MATH(C100),'Mortality Tables'!$B$4:$B$124,_xlfn.XLOOKUP(mortality_table,'Mortality Tables'!$B$3:$G$3,'Mortality Tables'!$B$4:$G$124,0,0),0,0)</f>
        <v>1.76E-4</v>
      </c>
      <c r="E100" s="1">
        <f t="shared" si="10"/>
        <v>1.4666666666666666E-5</v>
      </c>
      <c r="F100" s="1">
        <f t="shared" si="14"/>
        <v>0.99998533333333328</v>
      </c>
      <c r="G100" s="1">
        <f t="shared" si="15"/>
        <v>0.99439652017584612</v>
      </c>
      <c r="H100" s="34">
        <f t="shared" si="11"/>
        <v>0.69073980245963296</v>
      </c>
      <c r="I100" s="36">
        <f t="shared" si="12"/>
        <v>0.68686925591281034</v>
      </c>
    </row>
    <row r="101" spans="2:9" x14ac:dyDescent="0.35">
      <c r="B101" s="16">
        <f t="shared" si="13"/>
        <v>7.6666666666666563</v>
      </c>
      <c r="C101" s="17">
        <f t="shared" si="9"/>
        <v>7.6666666666666563</v>
      </c>
      <c r="D101" s="1" cm="1">
        <f t="array" ref="D101">_xlfn.XLOOKUP(_xlfn.FLOOR.MATH(C101),'Mortality Tables'!$B$4:$B$124,_xlfn.XLOOKUP(mortality_table,'Mortality Tables'!$B$3:$G$3,'Mortality Tables'!$B$4:$G$124,0,0),0,0)</f>
        <v>1.76E-4</v>
      </c>
      <c r="E101" s="1">
        <f t="shared" si="10"/>
        <v>1.4666666666666666E-5</v>
      </c>
      <c r="F101" s="1">
        <f t="shared" si="14"/>
        <v>0.99998533333333328</v>
      </c>
      <c r="G101" s="1">
        <f t="shared" si="15"/>
        <v>0.99438193569355016</v>
      </c>
      <c r="H101" s="34">
        <f t="shared" si="11"/>
        <v>0.68793706171484736</v>
      </c>
      <c r="I101" s="36">
        <f t="shared" si="12"/>
        <v>0.68407218706334316</v>
      </c>
    </row>
    <row r="102" spans="2:9" x14ac:dyDescent="0.35">
      <c r="B102" s="16">
        <f t="shared" si="13"/>
        <v>7.7499999999999893</v>
      </c>
      <c r="C102" s="17">
        <f t="shared" si="9"/>
        <v>7.7499999999999893</v>
      </c>
      <c r="D102" s="1" cm="1">
        <f t="array" ref="D102">_xlfn.XLOOKUP(_xlfn.FLOOR.MATH(C102),'Mortality Tables'!$B$4:$B$124,_xlfn.XLOOKUP(mortality_table,'Mortality Tables'!$B$3:$G$3,'Mortality Tables'!$B$4:$G$124,0,0),0,0)</f>
        <v>1.76E-4</v>
      </c>
      <c r="E102" s="1">
        <f t="shared" si="10"/>
        <v>1.4666666666666666E-5</v>
      </c>
      <c r="F102" s="1">
        <f t="shared" si="14"/>
        <v>0.99998533333333328</v>
      </c>
      <c r="G102" s="1">
        <f t="shared" si="15"/>
        <v>0.99436735142515997</v>
      </c>
      <c r="H102" s="34">
        <f t="shared" si="11"/>
        <v>0.68514569335030484</v>
      </c>
      <c r="I102" s="36">
        <f t="shared" si="12"/>
        <v>0.68128650843709748</v>
      </c>
    </row>
    <row r="103" spans="2:9" x14ac:dyDescent="0.35">
      <c r="B103" s="16">
        <f t="shared" si="13"/>
        <v>7.8333333333333224</v>
      </c>
      <c r="C103" s="17">
        <f t="shared" si="9"/>
        <v>7.8333333333333224</v>
      </c>
      <c r="D103" s="1" cm="1">
        <f t="array" ref="D103">_xlfn.XLOOKUP(_xlfn.FLOOR.MATH(C103),'Mortality Tables'!$B$4:$B$124,_xlfn.XLOOKUP(mortality_table,'Mortality Tables'!$B$3:$G$3,'Mortality Tables'!$B$4:$G$124,0,0),0,0)</f>
        <v>1.76E-4</v>
      </c>
      <c r="E103" s="1">
        <f t="shared" si="10"/>
        <v>1.4666666666666666E-5</v>
      </c>
      <c r="F103" s="1">
        <f t="shared" si="14"/>
        <v>0.99998533333333328</v>
      </c>
      <c r="G103" s="1">
        <f t="shared" si="15"/>
        <v>0.99435276737067235</v>
      </c>
      <c r="H103" s="34">
        <f t="shared" si="11"/>
        <v>0.68236565122151849</v>
      </c>
      <c r="I103" s="36">
        <f t="shared" si="12"/>
        <v>0.67851217365080796</v>
      </c>
    </row>
    <row r="104" spans="2:9" x14ac:dyDescent="0.35">
      <c r="B104" s="16">
        <f t="shared" si="13"/>
        <v>7.9166666666666554</v>
      </c>
      <c r="C104" s="17">
        <f t="shared" si="9"/>
        <v>7.9166666666666554</v>
      </c>
      <c r="D104" s="1" cm="1">
        <f t="array" ref="D104">_xlfn.XLOOKUP(_xlfn.FLOOR.MATH(C104),'Mortality Tables'!$B$4:$B$124,_xlfn.XLOOKUP(mortality_table,'Mortality Tables'!$B$3:$G$3,'Mortality Tables'!$B$4:$G$124,0,0),0,0)</f>
        <v>1.76E-4</v>
      </c>
      <c r="E104" s="1">
        <f t="shared" si="10"/>
        <v>1.4666666666666666E-5</v>
      </c>
      <c r="F104" s="1">
        <f t="shared" si="14"/>
        <v>0.99998533333333328</v>
      </c>
      <c r="G104" s="1">
        <f t="shared" si="15"/>
        <v>0.99433818353008419</v>
      </c>
      <c r="H104" s="34">
        <f t="shared" si="11"/>
        <v>0.67959688937123786</v>
      </c>
      <c r="I104" s="36">
        <f t="shared" si="12"/>
        <v>0.67574913651009227</v>
      </c>
    </row>
    <row r="105" spans="2:9" x14ac:dyDescent="0.35">
      <c r="B105" s="16">
        <f t="shared" si="13"/>
        <v>7.9999999999999885</v>
      </c>
      <c r="C105" s="17">
        <f t="shared" si="9"/>
        <v>7.9999999999999885</v>
      </c>
      <c r="D105" s="1" cm="1">
        <f t="array" ref="D105">_xlfn.XLOOKUP(_xlfn.FLOOR.MATH(C105),'Mortality Tables'!$B$4:$B$124,_xlfn.XLOOKUP(mortality_table,'Mortality Tables'!$B$3:$G$3,'Mortality Tables'!$B$4:$G$124,0,0),0,0)</f>
        <v>1.76E-4</v>
      </c>
      <c r="E105" s="1">
        <f t="shared" si="10"/>
        <v>1.4666666666666666E-5</v>
      </c>
      <c r="F105" s="1">
        <f t="shared" si="14"/>
        <v>0.99998533333333328</v>
      </c>
      <c r="G105" s="1">
        <f t="shared" si="15"/>
        <v>0.99432359990339236</v>
      </c>
      <c r="H105" s="34">
        <f t="shared" si="11"/>
        <v>0.67683936202868733</v>
      </c>
      <c r="I105" s="36">
        <f t="shared" si="12"/>
        <v>0.67299735100867986</v>
      </c>
    </row>
    <row r="106" spans="2:9" x14ac:dyDescent="0.35">
      <c r="B106" s="16">
        <f t="shared" si="13"/>
        <v>8.0833333333333215</v>
      </c>
      <c r="C106" s="17">
        <f t="shared" si="9"/>
        <v>8.0833333333333215</v>
      </c>
      <c r="D106" s="1" cm="1">
        <f t="array" ref="D106">_xlfn.XLOOKUP(_xlfn.FLOOR.MATH(C106),'Mortality Tables'!$B$4:$B$124,_xlfn.XLOOKUP(mortality_table,'Mortality Tables'!$B$3:$G$3,'Mortality Tables'!$B$4:$G$124,0,0),0,0)</f>
        <v>1.64E-4</v>
      </c>
      <c r="E106" s="1">
        <f t="shared" si="10"/>
        <v>1.3666666666666666E-5</v>
      </c>
      <c r="F106" s="1">
        <f t="shared" si="14"/>
        <v>0.99998633333333331</v>
      </c>
      <c r="G106" s="1">
        <f t="shared" si="15"/>
        <v>0.99430901649059378</v>
      </c>
      <c r="H106" s="34">
        <f t="shared" si="11"/>
        <v>0.67409302360881129</v>
      </c>
      <c r="I106" s="36">
        <f t="shared" si="12"/>
        <v>0.67025677132764772</v>
      </c>
    </row>
    <row r="107" spans="2:9" x14ac:dyDescent="0.35">
      <c r="B107" s="16">
        <f t="shared" si="13"/>
        <v>8.1666666666666554</v>
      </c>
      <c r="C107" s="17">
        <f t="shared" si="9"/>
        <v>8.1666666666666554</v>
      </c>
      <c r="D107" s="1" cm="1">
        <f t="array" ref="D107">_xlfn.XLOOKUP(_xlfn.FLOOR.MATH(C107),'Mortality Tables'!$B$4:$B$124,_xlfn.XLOOKUP(mortality_table,'Mortality Tables'!$B$3:$G$3,'Mortality Tables'!$B$4:$G$124,0,0),0,0)</f>
        <v>1.64E-4</v>
      </c>
      <c r="E107" s="1">
        <f t="shared" si="10"/>
        <v>1.3666666666666666E-5</v>
      </c>
      <c r="F107" s="1">
        <f t="shared" si="14"/>
        <v>0.99998633333333331</v>
      </c>
      <c r="G107" s="1">
        <f t="shared" si="15"/>
        <v>0.99429542760070166</v>
      </c>
      <c r="H107" s="34">
        <f t="shared" si="11"/>
        <v>0.67135782871151917</v>
      </c>
      <c r="I107" s="36">
        <f t="shared" si="12"/>
        <v>0.66752801937179862</v>
      </c>
    </row>
    <row r="108" spans="2:9" x14ac:dyDescent="0.35">
      <c r="B108" s="16">
        <f t="shared" si="13"/>
        <v>8.2499999999999893</v>
      </c>
      <c r="C108" s="17">
        <f t="shared" si="9"/>
        <v>8.2499999999999893</v>
      </c>
      <c r="D108" s="1" cm="1">
        <f t="array" ref="D108">_xlfn.XLOOKUP(_xlfn.FLOOR.MATH(C108),'Mortality Tables'!$B$4:$B$124,_xlfn.XLOOKUP(mortality_table,'Mortality Tables'!$B$3:$G$3,'Mortality Tables'!$B$4:$G$124,0,0),0,0)</f>
        <v>1.64E-4</v>
      </c>
      <c r="E108" s="1">
        <f t="shared" si="10"/>
        <v>1.3666666666666666E-5</v>
      </c>
      <c r="F108" s="1">
        <f t="shared" si="14"/>
        <v>0.99998633333333331</v>
      </c>
      <c r="G108" s="1">
        <f t="shared" si="15"/>
        <v>0.99428183889652444</v>
      </c>
      <c r="H108" s="34">
        <f t="shared" si="11"/>
        <v>0.66863373212093569</v>
      </c>
      <c r="I108" s="36">
        <f t="shared" si="12"/>
        <v>0.66481037672145005</v>
      </c>
    </row>
    <row r="109" spans="2:9" x14ac:dyDescent="0.35">
      <c r="B109" s="16">
        <f t="shared" si="13"/>
        <v>8.3333333333333233</v>
      </c>
      <c r="C109" s="17">
        <f t="shared" si="9"/>
        <v>8.3333333333333233</v>
      </c>
      <c r="D109" s="1" cm="1">
        <f t="array" ref="D109">_xlfn.XLOOKUP(_xlfn.FLOOR.MATH(C109),'Mortality Tables'!$B$4:$B$124,_xlfn.XLOOKUP(mortality_table,'Mortality Tables'!$B$3:$G$3,'Mortality Tables'!$B$4:$G$124,0,0),0,0)</f>
        <v>1.64E-4</v>
      </c>
      <c r="E109" s="1">
        <f t="shared" si="10"/>
        <v>1.3666666666666666E-5</v>
      </c>
      <c r="F109" s="1">
        <f t="shared" si="14"/>
        <v>0.99998633333333331</v>
      </c>
      <c r="G109" s="1">
        <f t="shared" si="15"/>
        <v>0.99426825037805955</v>
      </c>
      <c r="H109" s="34">
        <f t="shared" si="11"/>
        <v>0.66592068880465327</v>
      </c>
      <c r="I109" s="36">
        <f t="shared" si="12"/>
        <v>0.66210379814835485</v>
      </c>
    </row>
    <row r="110" spans="2:9" x14ac:dyDescent="0.35">
      <c r="B110" s="16">
        <f t="shared" si="13"/>
        <v>8.4166666666666572</v>
      </c>
      <c r="C110" s="17">
        <f t="shared" si="9"/>
        <v>8.4166666666666572</v>
      </c>
      <c r="D110" s="1" cm="1">
        <f t="array" ref="D110">_xlfn.XLOOKUP(_xlfn.FLOOR.MATH(C110),'Mortality Tables'!$B$4:$B$124,_xlfn.XLOOKUP(mortality_table,'Mortality Tables'!$B$3:$G$3,'Mortality Tables'!$B$4:$G$124,0,0),0,0)</f>
        <v>1.64E-4</v>
      </c>
      <c r="E110" s="1">
        <f t="shared" si="10"/>
        <v>1.3666666666666666E-5</v>
      </c>
      <c r="F110" s="1">
        <f t="shared" si="14"/>
        <v>0.99998633333333331</v>
      </c>
      <c r="G110" s="1">
        <f t="shared" si="15"/>
        <v>0.99425466204530433</v>
      </c>
      <c r="H110" s="34">
        <f t="shared" si="11"/>
        <v>0.66321865391298707</v>
      </c>
      <c r="I110" s="36">
        <f t="shared" si="12"/>
        <v>0.65940823860839859</v>
      </c>
    </row>
    <row r="111" spans="2:9" x14ac:dyDescent="0.35">
      <c r="B111" s="16">
        <f t="shared" si="13"/>
        <v>8.4999999999999911</v>
      </c>
      <c r="C111" s="17">
        <f t="shared" si="9"/>
        <v>8.4999999999999911</v>
      </c>
      <c r="D111" s="1" cm="1">
        <f t="array" ref="D111">_xlfn.XLOOKUP(_xlfn.FLOOR.MATH(C111),'Mortality Tables'!$B$4:$B$124,_xlfn.XLOOKUP(mortality_table,'Mortality Tables'!$B$3:$G$3,'Mortality Tables'!$B$4:$G$124,0,0),0,0)</f>
        <v>1.64E-4</v>
      </c>
      <c r="E111" s="1">
        <f t="shared" si="10"/>
        <v>1.3666666666666666E-5</v>
      </c>
      <c r="F111" s="1">
        <f t="shared" si="14"/>
        <v>0.99998633333333331</v>
      </c>
      <c r="G111" s="1">
        <f t="shared" si="15"/>
        <v>0.99424107389825633</v>
      </c>
      <c r="H111" s="34">
        <f t="shared" si="11"/>
        <v>0.66052758277823453</v>
      </c>
      <c r="I111" s="36">
        <f t="shared" si="12"/>
        <v>0.65672365324085136</v>
      </c>
    </row>
    <row r="112" spans="2:9" x14ac:dyDescent="0.35">
      <c r="B112" s="16">
        <f t="shared" si="13"/>
        <v>8.583333333333325</v>
      </c>
      <c r="C112" s="17">
        <f t="shared" si="9"/>
        <v>8.583333333333325</v>
      </c>
      <c r="D112" s="1" cm="1">
        <f t="array" ref="D112">_xlfn.XLOOKUP(_xlfn.FLOOR.MATH(C112),'Mortality Tables'!$B$4:$B$124,_xlfn.XLOOKUP(mortality_table,'Mortality Tables'!$B$3:$G$3,'Mortality Tables'!$B$4:$G$124,0,0),0,0)</f>
        <v>1.64E-4</v>
      </c>
      <c r="E112" s="1">
        <f t="shared" si="10"/>
        <v>1.3666666666666666E-5</v>
      </c>
      <c r="F112" s="1">
        <f t="shared" si="14"/>
        <v>0.99998633333333331</v>
      </c>
      <c r="G112" s="1">
        <f t="shared" si="15"/>
        <v>0.99422748593691301</v>
      </c>
      <c r="H112" s="34">
        <f t="shared" si="11"/>
        <v>0.65784743091393605</v>
      </c>
      <c r="I112" s="36">
        <f t="shared" si="12"/>
        <v>0.65404999736761971</v>
      </c>
    </row>
    <row r="113" spans="2:9" x14ac:dyDescent="0.35">
      <c r="B113" s="16">
        <f t="shared" si="13"/>
        <v>8.666666666666659</v>
      </c>
      <c r="C113" s="17">
        <f t="shared" si="9"/>
        <v>8.666666666666659</v>
      </c>
      <c r="D113" s="1" cm="1">
        <f t="array" ref="D113">_xlfn.XLOOKUP(_xlfn.FLOOR.MATH(C113),'Mortality Tables'!$B$4:$B$124,_xlfn.XLOOKUP(mortality_table,'Mortality Tables'!$B$3:$G$3,'Mortality Tables'!$B$4:$G$124,0,0),0,0)</f>
        <v>1.64E-4</v>
      </c>
      <c r="E113" s="1">
        <f t="shared" si="10"/>
        <v>1.3666666666666666E-5</v>
      </c>
      <c r="F113" s="1">
        <f t="shared" si="14"/>
        <v>0.99998633333333331</v>
      </c>
      <c r="G113" s="1">
        <f t="shared" si="15"/>
        <v>0.99421389816127181</v>
      </c>
      <c r="H113" s="34">
        <f t="shared" si="11"/>
        <v>0.65517815401414026</v>
      </c>
      <c r="I113" s="36">
        <f t="shared" si="12"/>
        <v>0.65138722649250447</v>
      </c>
    </row>
    <row r="114" spans="2:9" x14ac:dyDescent="0.35">
      <c r="B114" s="16">
        <f t="shared" si="13"/>
        <v>8.7499999999999929</v>
      </c>
      <c r="C114" s="17">
        <f t="shared" si="9"/>
        <v>8.7499999999999929</v>
      </c>
      <c r="D114" s="1" cm="1">
        <f t="array" ref="D114">_xlfn.XLOOKUP(_xlfn.FLOOR.MATH(C114),'Mortality Tables'!$B$4:$B$124,_xlfn.XLOOKUP(mortality_table,'Mortality Tables'!$B$3:$G$3,'Mortality Tables'!$B$4:$G$124,0,0),0,0)</f>
        <v>1.64E-4</v>
      </c>
      <c r="E114" s="1">
        <f t="shared" si="10"/>
        <v>1.3666666666666666E-5</v>
      </c>
      <c r="F114" s="1">
        <f t="shared" si="14"/>
        <v>0.99998633333333331</v>
      </c>
      <c r="G114" s="1">
        <f t="shared" si="15"/>
        <v>0.99420031057133029</v>
      </c>
      <c r="H114" s="34">
        <f t="shared" si="11"/>
        <v>0.652519707952671</v>
      </c>
      <c r="I114" s="36">
        <f t="shared" si="12"/>
        <v>0.64873529630045923</v>
      </c>
    </row>
    <row r="115" spans="2:9" x14ac:dyDescent="0.35">
      <c r="B115" s="16">
        <f t="shared" si="13"/>
        <v>8.8333333333333268</v>
      </c>
      <c r="C115" s="17">
        <f t="shared" si="9"/>
        <v>8.8333333333333268</v>
      </c>
      <c r="D115" s="1" cm="1">
        <f t="array" ref="D115">_xlfn.XLOOKUP(_xlfn.FLOOR.MATH(C115),'Mortality Tables'!$B$4:$B$124,_xlfn.XLOOKUP(mortality_table,'Mortality Tables'!$B$3:$G$3,'Mortality Tables'!$B$4:$G$124,0,0),0,0)</f>
        <v>1.64E-4</v>
      </c>
      <c r="E115" s="1">
        <f t="shared" si="10"/>
        <v>1.3666666666666666E-5</v>
      </c>
      <c r="F115" s="1">
        <f t="shared" si="14"/>
        <v>0.99998633333333331</v>
      </c>
      <c r="G115" s="1">
        <f t="shared" si="15"/>
        <v>0.99418672316708578</v>
      </c>
      <c r="H115" s="34">
        <f t="shared" si="11"/>
        <v>0.64987204878239835</v>
      </c>
      <c r="I115" s="36">
        <f t="shared" si="12"/>
        <v>0.64609416265685315</v>
      </c>
    </row>
    <row r="116" spans="2:9" x14ac:dyDescent="0.35">
      <c r="B116" s="16">
        <f t="shared" si="13"/>
        <v>8.9166666666666607</v>
      </c>
      <c r="C116" s="17">
        <f t="shared" si="9"/>
        <v>8.9166666666666607</v>
      </c>
      <c r="D116" s="1" cm="1">
        <f t="array" ref="D116">_xlfn.XLOOKUP(_xlfn.FLOOR.MATH(C116),'Mortality Tables'!$B$4:$B$124,_xlfn.XLOOKUP(mortality_table,'Mortality Tables'!$B$3:$G$3,'Mortality Tables'!$B$4:$G$124,0,0),0,0)</f>
        <v>1.64E-4</v>
      </c>
      <c r="E116" s="1">
        <f t="shared" si="10"/>
        <v>1.3666666666666666E-5</v>
      </c>
      <c r="F116" s="1">
        <f t="shared" si="14"/>
        <v>0.99998633333333331</v>
      </c>
      <c r="G116" s="1">
        <f t="shared" si="15"/>
        <v>0.99417313594853585</v>
      </c>
      <c r="H116" s="34">
        <f t="shared" si="11"/>
        <v>0.64723513273451194</v>
      </c>
      <c r="I116" s="36">
        <f t="shared" si="12"/>
        <v>0.64346378160673656</v>
      </c>
    </row>
    <row r="117" spans="2:9" x14ac:dyDescent="0.35">
      <c r="B117" s="16">
        <f t="shared" si="13"/>
        <v>8.9999999999999947</v>
      </c>
      <c r="C117" s="17">
        <f t="shared" si="9"/>
        <v>8.9999999999999947</v>
      </c>
      <c r="D117" s="1" cm="1">
        <f t="array" ref="D117">_xlfn.XLOOKUP(_xlfn.FLOOR.MATH(C117),'Mortality Tables'!$B$4:$B$124,_xlfn.XLOOKUP(mortality_table,'Mortality Tables'!$B$3:$G$3,'Mortality Tables'!$B$4:$G$124,0,0),0,0)</f>
        <v>1.64E-4</v>
      </c>
      <c r="E117" s="1">
        <f t="shared" si="10"/>
        <v>1.3666666666666666E-5</v>
      </c>
      <c r="F117" s="1">
        <f t="shared" si="14"/>
        <v>0.99998633333333331</v>
      </c>
      <c r="G117" s="1">
        <f t="shared" si="15"/>
        <v>0.99415954891567782</v>
      </c>
      <c r="H117" s="34">
        <f t="shared" si="11"/>
        <v>0.64460891621779726</v>
      </c>
      <c r="I117" s="36">
        <f t="shared" si="12"/>
        <v>0.64084410937410929</v>
      </c>
    </row>
    <row r="118" spans="2:9" x14ac:dyDescent="0.35">
      <c r="B118" s="16">
        <f t="shared" si="13"/>
        <v>9.0833333333333286</v>
      </c>
      <c r="C118" s="17">
        <f t="shared" si="9"/>
        <v>9.0833333333333286</v>
      </c>
      <c r="D118" s="1" cm="1">
        <f t="array" ref="D118">_xlfn.XLOOKUP(_xlfn.FLOOR.MATH(C118),'Mortality Tables'!$B$4:$B$124,_xlfn.XLOOKUP(mortality_table,'Mortality Tables'!$B$3:$G$3,'Mortality Tables'!$B$4:$G$124,0,0),0,0)</f>
        <v>1.6200000000000001E-4</v>
      </c>
      <c r="E118" s="1">
        <f t="shared" si="10"/>
        <v>1.3499999999999999E-5</v>
      </c>
      <c r="F118" s="1">
        <f t="shared" si="14"/>
        <v>0.9999865</v>
      </c>
      <c r="G118" s="1">
        <f t="shared" si="15"/>
        <v>0.99414596206850925</v>
      </c>
      <c r="H118" s="34">
        <f t="shared" si="11"/>
        <v>0.64199335581791528</v>
      </c>
      <c r="I118" s="36">
        <f t="shared" si="12"/>
        <v>0.63823510236119219</v>
      </c>
    </row>
    <row r="119" spans="2:9" x14ac:dyDescent="0.35">
      <c r="B119" s="16">
        <f t="shared" si="13"/>
        <v>9.1666666666666625</v>
      </c>
      <c r="C119" s="17">
        <f t="shared" si="9"/>
        <v>9.1666666666666625</v>
      </c>
      <c r="D119" s="1" cm="1">
        <f t="array" ref="D119">_xlfn.XLOOKUP(_xlfn.FLOOR.MATH(C119),'Mortality Tables'!$B$4:$B$124,_xlfn.XLOOKUP(mortality_table,'Mortality Tables'!$B$3:$G$3,'Mortality Tables'!$B$4:$G$124,0,0),0,0)</f>
        <v>1.6200000000000001E-4</v>
      </c>
      <c r="E119" s="1">
        <f t="shared" si="10"/>
        <v>1.3499999999999999E-5</v>
      </c>
      <c r="F119" s="1">
        <f t="shared" si="14"/>
        <v>0.9999865</v>
      </c>
      <c r="G119" s="1">
        <f t="shared" si="15"/>
        <v>0.99413254109802129</v>
      </c>
      <c r="H119" s="34">
        <f t="shared" si="11"/>
        <v>0.63938840829668475</v>
      </c>
      <c r="I119" s="36">
        <f t="shared" si="12"/>
        <v>0.63563682308860237</v>
      </c>
    </row>
    <row r="120" spans="2:9" x14ac:dyDescent="0.35">
      <c r="B120" s="16">
        <f t="shared" si="13"/>
        <v>9.2499999999999964</v>
      </c>
      <c r="C120" s="17">
        <f t="shared" si="9"/>
        <v>9.2499999999999964</v>
      </c>
      <c r="D120" s="1" cm="1">
        <f t="array" ref="D120">_xlfn.XLOOKUP(_xlfn.FLOOR.MATH(C120),'Mortality Tables'!$B$4:$B$124,_xlfn.XLOOKUP(mortality_table,'Mortality Tables'!$B$3:$G$3,'Mortality Tables'!$B$4:$G$124,0,0),0,0)</f>
        <v>1.6200000000000001E-4</v>
      </c>
      <c r="E120" s="1">
        <f t="shared" si="10"/>
        <v>1.3499999999999999E-5</v>
      </c>
      <c r="F120" s="1">
        <f t="shared" si="14"/>
        <v>0.9999865</v>
      </c>
      <c r="G120" s="1">
        <f t="shared" si="15"/>
        <v>0.99411912030871652</v>
      </c>
      <c r="H120" s="34">
        <f t="shared" si="11"/>
        <v>0.63679403059136708</v>
      </c>
      <c r="I120" s="36">
        <f t="shared" si="12"/>
        <v>0.63304912150933179</v>
      </c>
    </row>
    <row r="121" spans="2:9" x14ac:dyDescent="0.35">
      <c r="B121" s="16">
        <f t="shared" si="13"/>
        <v>9.3333333333333304</v>
      </c>
      <c r="C121" s="17">
        <f t="shared" si="9"/>
        <v>9.3333333333333304</v>
      </c>
      <c r="D121" s="1" cm="1">
        <f t="array" ref="D121">_xlfn.XLOOKUP(_xlfn.FLOOR.MATH(C121),'Mortality Tables'!$B$4:$B$124,_xlfn.XLOOKUP(mortality_table,'Mortality Tables'!$B$3:$G$3,'Mortality Tables'!$B$4:$G$124,0,0),0,0)</f>
        <v>1.6200000000000001E-4</v>
      </c>
      <c r="E121" s="1">
        <f t="shared" si="10"/>
        <v>1.3499999999999999E-5</v>
      </c>
      <c r="F121" s="1">
        <f t="shared" si="14"/>
        <v>0.9999865</v>
      </c>
      <c r="G121" s="1">
        <f t="shared" si="15"/>
        <v>0.99410569970059237</v>
      </c>
      <c r="H121" s="34">
        <f t="shared" si="11"/>
        <v>0.63421017981395522</v>
      </c>
      <c r="I121" s="36">
        <f t="shared" si="12"/>
        <v>0.63047195456119043</v>
      </c>
    </row>
    <row r="122" spans="2:9" x14ac:dyDescent="0.35">
      <c r="B122" s="16">
        <f t="shared" si="13"/>
        <v>9.4166666666666643</v>
      </c>
      <c r="C122" s="17">
        <f t="shared" si="9"/>
        <v>9.4166666666666643</v>
      </c>
      <c r="D122" s="1" cm="1">
        <f t="array" ref="D122">_xlfn.XLOOKUP(_xlfn.FLOOR.MATH(C122),'Mortality Tables'!$B$4:$B$124,_xlfn.XLOOKUP(mortality_table,'Mortality Tables'!$B$3:$G$3,'Mortality Tables'!$B$4:$G$124,0,0),0,0)</f>
        <v>1.6200000000000001E-4</v>
      </c>
      <c r="E122" s="1">
        <f t="shared" si="10"/>
        <v>1.3499999999999999E-5</v>
      </c>
      <c r="F122" s="1">
        <f t="shared" si="14"/>
        <v>0.9999865</v>
      </c>
      <c r="G122" s="1">
        <f t="shared" si="15"/>
        <v>0.99409227927364641</v>
      </c>
      <c r="H122" s="34">
        <f t="shared" si="11"/>
        <v>0.63163681325046361</v>
      </c>
      <c r="I122" s="36">
        <f t="shared" si="12"/>
        <v>0.6279052793572959</v>
      </c>
    </row>
    <row r="123" spans="2:9" x14ac:dyDescent="0.35">
      <c r="B123" s="16">
        <f t="shared" si="13"/>
        <v>9.4999999999999982</v>
      </c>
      <c r="C123" s="17">
        <f t="shared" si="9"/>
        <v>9.4999999999999982</v>
      </c>
      <c r="D123" s="1" cm="1">
        <f t="array" ref="D123">_xlfn.XLOOKUP(_xlfn.FLOOR.MATH(C123),'Mortality Tables'!$B$4:$B$124,_xlfn.XLOOKUP(mortality_table,'Mortality Tables'!$B$3:$G$3,'Mortality Tables'!$B$4:$G$124,0,0),0,0)</f>
        <v>1.6200000000000001E-4</v>
      </c>
      <c r="E123" s="1">
        <f t="shared" si="10"/>
        <v>1.3499999999999999E-5</v>
      </c>
      <c r="F123" s="1">
        <f t="shared" si="14"/>
        <v>0.9999865</v>
      </c>
      <c r="G123" s="1">
        <f t="shared" si="15"/>
        <v>0.99407885902787618</v>
      </c>
      <c r="H123" s="34">
        <f t="shared" si="11"/>
        <v>0.62907388836022315</v>
      </c>
      <c r="I123" s="36">
        <f t="shared" si="12"/>
        <v>0.62534905318536016</v>
      </c>
    </row>
    <row r="124" spans="2:9" x14ac:dyDescent="0.35">
      <c r="B124" s="16">
        <f t="shared" si="13"/>
        <v>9.5833333333333321</v>
      </c>
      <c r="C124" s="17">
        <f t="shared" si="9"/>
        <v>9.5833333333333321</v>
      </c>
      <c r="D124" s="1" cm="1">
        <f t="array" ref="D124">_xlfn.XLOOKUP(_xlfn.FLOOR.MATH(C124),'Mortality Tables'!$B$4:$B$124,_xlfn.XLOOKUP(mortality_table,'Mortality Tables'!$B$3:$G$3,'Mortality Tables'!$B$4:$G$124,0,0),0,0)</f>
        <v>1.6200000000000001E-4</v>
      </c>
      <c r="E124" s="1">
        <f t="shared" si="10"/>
        <v>1.3499999999999999E-5</v>
      </c>
      <c r="F124" s="1">
        <f t="shared" si="14"/>
        <v>0.9999865</v>
      </c>
      <c r="G124" s="1">
        <f t="shared" si="15"/>
        <v>0.99406543896327926</v>
      </c>
      <c r="H124" s="34">
        <f t="shared" si="11"/>
        <v>0.626521362775177</v>
      </c>
      <c r="I124" s="36">
        <f t="shared" si="12"/>
        <v>0.6228032335069783</v>
      </c>
    </row>
    <row r="125" spans="2:9" x14ac:dyDescent="0.35">
      <c r="B125" s="16">
        <f t="shared" si="13"/>
        <v>9.6666666666666661</v>
      </c>
      <c r="C125" s="17">
        <f t="shared" si="9"/>
        <v>9.6666666666666661</v>
      </c>
      <c r="D125" s="1" cm="1">
        <f t="array" ref="D125">_xlfn.XLOOKUP(_xlfn.FLOOR.MATH(C125),'Mortality Tables'!$B$4:$B$124,_xlfn.XLOOKUP(mortality_table,'Mortality Tables'!$B$3:$G$3,'Mortality Tables'!$B$4:$G$124,0,0),0,0)</f>
        <v>1.6200000000000001E-4</v>
      </c>
      <c r="E125" s="1">
        <f t="shared" si="10"/>
        <v>1.3499999999999999E-5</v>
      </c>
      <c r="F125" s="1">
        <f t="shared" si="14"/>
        <v>0.9999865</v>
      </c>
      <c r="G125" s="1">
        <f t="shared" si="15"/>
        <v>0.9940520190798533</v>
      </c>
      <c r="H125" s="34">
        <f t="shared" si="11"/>
        <v>0.62397919429918092</v>
      </c>
      <c r="I125" s="36">
        <f t="shared" si="12"/>
        <v>0.6202677779569209</v>
      </c>
    </row>
    <row r="126" spans="2:9" x14ac:dyDescent="0.35">
      <c r="B126" s="16">
        <f t="shared" si="13"/>
        <v>9.75</v>
      </c>
      <c r="C126" s="17">
        <f t="shared" si="9"/>
        <v>9.75</v>
      </c>
      <c r="D126" s="1" cm="1">
        <f t="array" ref="D126">_xlfn.XLOOKUP(_xlfn.FLOOR.MATH(C126),'Mortality Tables'!$B$4:$B$124,_xlfn.XLOOKUP(mortality_table,'Mortality Tables'!$B$3:$G$3,'Mortality Tables'!$B$4:$G$124,0,0),0,0)</f>
        <v>1.6200000000000001E-4</v>
      </c>
      <c r="E126" s="1">
        <f t="shared" si="10"/>
        <v>1.3499999999999999E-5</v>
      </c>
      <c r="F126" s="1">
        <f t="shared" si="14"/>
        <v>0.9999865</v>
      </c>
      <c r="G126" s="1">
        <f t="shared" si="15"/>
        <v>0.99403859937759576</v>
      </c>
      <c r="H126" s="34">
        <f t="shared" si="11"/>
        <v>0.62144734090730558</v>
      </c>
      <c r="I126" s="36">
        <f t="shared" si="12"/>
        <v>0.61774264434242931</v>
      </c>
    </row>
    <row r="127" spans="2:9" x14ac:dyDescent="0.35">
      <c r="B127" s="16">
        <f t="shared" si="13"/>
        <v>9.8333333333333339</v>
      </c>
      <c r="C127" s="17">
        <f t="shared" si="9"/>
        <v>9.8333333333333339</v>
      </c>
      <c r="D127" s="1" cm="1">
        <f t="array" ref="D127">_xlfn.XLOOKUP(_xlfn.FLOOR.MATH(C127),'Mortality Tables'!$B$4:$B$124,_xlfn.XLOOKUP(mortality_table,'Mortality Tables'!$B$3:$G$3,'Mortality Tables'!$B$4:$G$124,0,0),0,0)</f>
        <v>1.6200000000000001E-4</v>
      </c>
      <c r="E127" s="1">
        <f t="shared" si="10"/>
        <v>1.3499999999999999E-5</v>
      </c>
      <c r="F127" s="1">
        <f t="shared" si="14"/>
        <v>0.9999865</v>
      </c>
      <c r="G127" s="1">
        <f t="shared" si="15"/>
        <v>0.99402517985650418</v>
      </c>
      <c r="H127" s="34">
        <f t="shared" si="11"/>
        <v>0.61892576074514116</v>
      </c>
      <c r="I127" s="36">
        <f t="shared" si="12"/>
        <v>0.61522779064251265</v>
      </c>
    </row>
    <row r="128" spans="2:9" x14ac:dyDescent="0.35">
      <c r="B128" s="16">
        <f t="shared" si="13"/>
        <v>9.9166666666666679</v>
      </c>
      <c r="C128" s="17">
        <f t="shared" si="9"/>
        <v>9.9166666666666679</v>
      </c>
      <c r="D128" s="1" cm="1">
        <f t="array" ref="D128">_xlfn.XLOOKUP(_xlfn.FLOOR.MATH(C128),'Mortality Tables'!$B$4:$B$124,_xlfn.XLOOKUP(mortality_table,'Mortality Tables'!$B$3:$G$3,'Mortality Tables'!$B$4:$G$124,0,0),0,0)</f>
        <v>1.6200000000000001E-4</v>
      </c>
      <c r="E128" s="1">
        <f t="shared" si="10"/>
        <v>1.3499999999999999E-5</v>
      </c>
      <c r="F128" s="1">
        <f t="shared" si="14"/>
        <v>0.9999865</v>
      </c>
      <c r="G128" s="1">
        <f t="shared" si="15"/>
        <v>0.99401176051657614</v>
      </c>
      <c r="H128" s="34">
        <f t="shared" si="11"/>
        <v>0.61641441212810644</v>
      </c>
      <c r="I128" s="36">
        <f t="shared" si="12"/>
        <v>0.61272317500724938</v>
      </c>
    </row>
    <row r="129" spans="2:9" x14ac:dyDescent="0.35">
      <c r="B129" s="16">
        <f t="shared" si="13"/>
        <v>10.000000000000002</v>
      </c>
      <c r="C129" s="17">
        <f t="shared" si="9"/>
        <v>10.000000000000002</v>
      </c>
      <c r="D129" s="1" cm="1">
        <f t="array" ref="D129">_xlfn.XLOOKUP(_xlfn.FLOOR.MATH(C129),'Mortality Tables'!$B$4:$B$124,_xlfn.XLOOKUP(mortality_table,'Mortality Tables'!$B$3:$G$3,'Mortality Tables'!$B$4:$G$124,0,0),0,0)</f>
        <v>1.6000000000000001E-4</v>
      </c>
      <c r="E129" s="1">
        <f t="shared" si="10"/>
        <v>1.3333333333333333E-5</v>
      </c>
      <c r="F129" s="1">
        <f t="shared" si="14"/>
        <v>0.99998666666666669</v>
      </c>
      <c r="G129" s="1">
        <f t="shared" si="15"/>
        <v>0.99399834135780918</v>
      </c>
      <c r="H129" s="34">
        <f t="shared" si="11"/>
        <v>0.6139132535407591</v>
      </c>
      <c r="I129" s="36">
        <f t="shared" si="12"/>
        <v>0.61022875575709068</v>
      </c>
    </row>
    <row r="130" spans="2:9" x14ac:dyDescent="0.35">
      <c r="B130" s="16">
        <f t="shared" si="13"/>
        <v>10.083333333333336</v>
      </c>
      <c r="C130" s="17">
        <f t="shared" si="9"/>
        <v>10.083333333333336</v>
      </c>
      <c r="D130" s="1" cm="1">
        <f t="array" ref="D130">_xlfn.XLOOKUP(_xlfn.FLOOR.MATH(C130),'Mortality Tables'!$B$4:$B$124,_xlfn.XLOOKUP(mortality_table,'Mortality Tables'!$B$3:$G$3,'Mortality Tables'!$B$4:$G$124,0,0),0,0)</f>
        <v>1.6000000000000001E-4</v>
      </c>
      <c r="E130" s="1">
        <f t="shared" si="10"/>
        <v>1.3333333333333333E-5</v>
      </c>
      <c r="F130" s="1">
        <f t="shared" si="14"/>
        <v>0.99998666666666669</v>
      </c>
      <c r="G130" s="1">
        <f t="shared" si="15"/>
        <v>0.99398508804659114</v>
      </c>
      <c r="H130" s="34">
        <f t="shared" si="11"/>
        <v>0.61142224363610964</v>
      </c>
      <c r="I130" s="36">
        <f t="shared" si="12"/>
        <v>0.60774459267428271</v>
      </c>
    </row>
    <row r="131" spans="2:9" x14ac:dyDescent="0.35">
      <c r="B131" s="16">
        <f t="shared" si="13"/>
        <v>10.16666666666667</v>
      </c>
      <c r="C131" s="17">
        <f t="shared" si="9"/>
        <v>10.16666666666667</v>
      </c>
      <c r="D131" s="1" cm="1">
        <f t="array" ref="D131">_xlfn.XLOOKUP(_xlfn.FLOOR.MATH(C131),'Mortality Tables'!$B$4:$B$124,_xlfn.XLOOKUP(mortality_table,'Mortality Tables'!$B$3:$G$3,'Mortality Tables'!$B$4:$G$124,0,0),0,0)</f>
        <v>1.6000000000000001E-4</v>
      </c>
      <c r="E131" s="1">
        <f t="shared" si="10"/>
        <v>1.3333333333333333E-5</v>
      </c>
      <c r="F131" s="1">
        <f t="shared" si="14"/>
        <v>0.99998666666666669</v>
      </c>
      <c r="G131" s="1">
        <f t="shared" si="15"/>
        <v>0.99397183491208385</v>
      </c>
      <c r="H131" s="34">
        <f t="shared" si="11"/>
        <v>0.60894134123493759</v>
      </c>
      <c r="I131" s="36">
        <f t="shared" si="12"/>
        <v>0.60527054230111632</v>
      </c>
    </row>
    <row r="132" spans="2:9" x14ac:dyDescent="0.35">
      <c r="B132" s="16">
        <f t="shared" si="13"/>
        <v>10.250000000000004</v>
      </c>
      <c r="C132" s="17">
        <f t="shared" si="9"/>
        <v>10.250000000000004</v>
      </c>
      <c r="D132" s="1" cm="1">
        <f t="array" ref="D132">_xlfn.XLOOKUP(_xlfn.FLOOR.MATH(C132),'Mortality Tables'!$B$4:$B$124,_xlfn.XLOOKUP(mortality_table,'Mortality Tables'!$B$3:$G$3,'Mortality Tables'!$B$4:$G$124,0,0),0,0)</f>
        <v>1.6000000000000001E-4</v>
      </c>
      <c r="E132" s="1">
        <f t="shared" si="10"/>
        <v>1.3333333333333333E-5</v>
      </c>
      <c r="F132" s="1">
        <f t="shared" si="14"/>
        <v>0.99998666666666669</v>
      </c>
      <c r="G132" s="1">
        <f t="shared" si="15"/>
        <v>0.99395858195428499</v>
      </c>
      <c r="H132" s="34">
        <f t="shared" si="11"/>
        <v>0.60647050532511126</v>
      </c>
      <c r="I132" s="36">
        <f t="shared" si="12"/>
        <v>0.60280656347004624</v>
      </c>
    </row>
    <row r="133" spans="2:9" x14ac:dyDescent="0.35">
      <c r="B133" s="16">
        <f t="shared" si="13"/>
        <v>10.333333333333337</v>
      </c>
      <c r="C133" s="17">
        <f t="shared" si="9"/>
        <v>10.333333333333337</v>
      </c>
      <c r="D133" s="1" cm="1">
        <f t="array" ref="D133">_xlfn.XLOOKUP(_xlfn.FLOOR.MATH(C133),'Mortality Tables'!$B$4:$B$124,_xlfn.XLOOKUP(mortality_table,'Mortality Tables'!$B$3:$G$3,'Mortality Tables'!$B$4:$G$124,0,0),0,0)</f>
        <v>1.6000000000000001E-4</v>
      </c>
      <c r="E133" s="1">
        <f t="shared" si="10"/>
        <v>1.3333333333333333E-5</v>
      </c>
      <c r="F133" s="1">
        <f t="shared" si="14"/>
        <v>0.99998666666666669</v>
      </c>
      <c r="G133" s="1">
        <f t="shared" si="15"/>
        <v>0.99394532917319234</v>
      </c>
      <c r="H133" s="34">
        <f t="shared" si="11"/>
        <v>0.6040096950609094</v>
      </c>
      <c r="I133" s="36">
        <f t="shared" si="12"/>
        <v>0.60035261518111516</v>
      </c>
    </row>
    <row r="134" spans="2:9" x14ac:dyDescent="0.35">
      <c r="B134" s="16">
        <f t="shared" si="13"/>
        <v>10.416666666666671</v>
      </c>
      <c r="C134" s="17">
        <f t="shared" si="9"/>
        <v>10.416666666666671</v>
      </c>
      <c r="D134" s="1" cm="1">
        <f t="array" ref="D134">_xlfn.XLOOKUP(_xlfn.FLOOR.MATH(C134),'Mortality Tables'!$B$4:$B$124,_xlfn.XLOOKUP(mortality_table,'Mortality Tables'!$B$3:$G$3,'Mortality Tables'!$B$4:$G$124,0,0),0,0)</f>
        <v>1.6000000000000001E-4</v>
      </c>
      <c r="E134" s="1">
        <f t="shared" si="10"/>
        <v>1.3333333333333333E-5</v>
      </c>
      <c r="F134" s="1">
        <f t="shared" si="14"/>
        <v>0.99998666666666669</v>
      </c>
      <c r="G134" s="1">
        <f t="shared" si="15"/>
        <v>0.99393207656880334</v>
      </c>
      <c r="H134" s="34">
        <f t="shared" si="11"/>
        <v>0.60155886976234607</v>
      </c>
      <c r="I134" s="36">
        <f t="shared" si="12"/>
        <v>0.5979086566012709</v>
      </c>
    </row>
    <row r="135" spans="2:9" x14ac:dyDescent="0.35">
      <c r="B135" s="16">
        <f t="shared" si="13"/>
        <v>10.500000000000005</v>
      </c>
      <c r="C135" s="17">
        <f t="shared" si="9"/>
        <v>10.500000000000005</v>
      </c>
      <c r="D135" s="1" cm="1">
        <f t="array" ref="D135">_xlfn.XLOOKUP(_xlfn.FLOOR.MATH(C135),'Mortality Tables'!$B$4:$B$124,_xlfn.XLOOKUP(mortality_table,'Mortality Tables'!$B$3:$G$3,'Mortality Tables'!$B$4:$G$124,0,0),0,0)</f>
        <v>1.6000000000000001E-4</v>
      </c>
      <c r="E135" s="1">
        <f t="shared" si="10"/>
        <v>1.3333333333333333E-5</v>
      </c>
      <c r="F135" s="1">
        <f t="shared" si="14"/>
        <v>0.99998666666666669</v>
      </c>
      <c r="G135" s="1">
        <f t="shared" si="15"/>
        <v>0.99391882414111576</v>
      </c>
      <c r="H135" s="34">
        <f t="shared" si="11"/>
        <v>0.59911798891449797</v>
      </c>
      <c r="I135" s="36">
        <f t="shared" si="12"/>
        <v>0.5954746470636878</v>
      </c>
    </row>
    <row r="136" spans="2:9" x14ac:dyDescent="0.35">
      <c r="B136" s="16">
        <f t="shared" si="13"/>
        <v>10.583333333333339</v>
      </c>
      <c r="C136" s="17">
        <f t="shared" si="9"/>
        <v>10.583333333333339</v>
      </c>
      <c r="D136" s="1" cm="1">
        <f t="array" ref="D136">_xlfn.XLOOKUP(_xlfn.FLOOR.MATH(C136),'Mortality Tables'!$B$4:$B$124,_xlfn.XLOOKUP(mortality_table,'Mortality Tables'!$B$3:$G$3,'Mortality Tables'!$B$4:$G$124,0,0),0,0)</f>
        <v>1.6000000000000001E-4</v>
      </c>
      <c r="E136" s="1">
        <f t="shared" si="10"/>
        <v>1.3333333333333333E-5</v>
      </c>
      <c r="F136" s="1">
        <f t="shared" si="14"/>
        <v>0.99998666666666669</v>
      </c>
      <c r="G136" s="1">
        <f t="shared" si="15"/>
        <v>0.99390557189012729</v>
      </c>
      <c r="H136" s="34">
        <f t="shared" si="11"/>
        <v>0.59668701216683506</v>
      </c>
      <c r="I136" s="36">
        <f t="shared" si="12"/>
        <v>0.59305054606708951</v>
      </c>
    </row>
    <row r="137" spans="2:9" x14ac:dyDescent="0.35">
      <c r="B137" s="16">
        <f t="shared" si="13"/>
        <v>10.666666666666673</v>
      </c>
      <c r="C137" s="17">
        <f t="shared" ref="C137:C200" si="16">current_age+B137</f>
        <v>10.666666666666673</v>
      </c>
      <c r="D137" s="1" cm="1">
        <f t="array" ref="D137">_xlfn.XLOOKUP(_xlfn.FLOOR.MATH(C137),'Mortality Tables'!$B$4:$B$124,_xlfn.XLOOKUP(mortality_table,'Mortality Tables'!$B$3:$G$3,'Mortality Tables'!$B$4:$G$124,0,0),0,0)</f>
        <v>1.6000000000000001E-4</v>
      </c>
      <c r="E137" s="1">
        <f t="shared" ref="E137:E200" si="17">$F$5*D137</f>
        <v>1.3333333333333333E-5</v>
      </c>
      <c r="F137" s="1">
        <f t="shared" si="14"/>
        <v>0.99998666666666669</v>
      </c>
      <c r="G137" s="1">
        <f t="shared" si="15"/>
        <v>0.99389231981583548</v>
      </c>
      <c r="H137" s="34">
        <f t="shared" ref="H137:H200" si="18">(1+interest_rate)^-(B137)</f>
        <v>0.59426589933255303</v>
      </c>
      <c r="I137" s="36">
        <f t="shared" ref="I137:I200" si="19">IF(current_age+B137&lt;=$C$5,G137*H137,0)</f>
        <v>0.59063631327507493</v>
      </c>
    </row>
    <row r="138" spans="2:9" x14ac:dyDescent="0.35">
      <c r="B138" s="16">
        <f t="shared" ref="B138:B201" si="20">B137+$F$5</f>
        <v>10.750000000000007</v>
      </c>
      <c r="C138" s="17">
        <f t="shared" si="16"/>
        <v>10.750000000000007</v>
      </c>
      <c r="D138" s="1" cm="1">
        <f t="array" ref="D138">_xlfn.XLOOKUP(_xlfn.FLOOR.MATH(C138),'Mortality Tables'!$B$4:$B$124,_xlfn.XLOOKUP(mortality_table,'Mortality Tables'!$B$3:$G$3,'Mortality Tables'!$B$4:$G$124,0,0),0,0)</f>
        <v>1.6000000000000001E-4</v>
      </c>
      <c r="E138" s="1">
        <f t="shared" si="17"/>
        <v>1.3333333333333333E-5</v>
      </c>
      <c r="F138" s="1">
        <f t="shared" si="14"/>
        <v>0.99998666666666669</v>
      </c>
      <c r="G138" s="1">
        <f t="shared" si="15"/>
        <v>0.99387906791823799</v>
      </c>
      <c r="H138" s="34">
        <f t="shared" si="18"/>
        <v>0.59185461038790987</v>
      </c>
      <c r="I138" s="36">
        <f t="shared" si="19"/>
        <v>0.58823190851544771</v>
      </c>
    </row>
    <row r="139" spans="2:9" x14ac:dyDescent="0.35">
      <c r="B139" s="16">
        <f t="shared" si="20"/>
        <v>10.833333333333341</v>
      </c>
      <c r="C139" s="17">
        <f t="shared" si="16"/>
        <v>10.833333333333341</v>
      </c>
      <c r="D139" s="1" cm="1">
        <f t="array" ref="D139">_xlfn.XLOOKUP(_xlfn.FLOOR.MATH(C139),'Mortality Tables'!$B$4:$B$124,_xlfn.XLOOKUP(mortality_table,'Mortality Tables'!$B$3:$G$3,'Mortality Tables'!$B$4:$G$124,0,0),0,0)</f>
        <v>1.6000000000000001E-4</v>
      </c>
      <c r="E139" s="1">
        <f t="shared" si="17"/>
        <v>1.3333333333333333E-5</v>
      </c>
      <c r="F139" s="1">
        <f t="shared" si="14"/>
        <v>0.99998666666666669</v>
      </c>
      <c r="G139" s="1">
        <f t="shared" si="15"/>
        <v>0.99386581619733239</v>
      </c>
      <c r="H139" s="34">
        <f t="shared" si="18"/>
        <v>0.58945310547156271</v>
      </c>
      <c r="I139" s="36">
        <f t="shared" si="19"/>
        <v>0.58583729177954691</v>
      </c>
    </row>
    <row r="140" spans="2:9" x14ac:dyDescent="0.35">
      <c r="B140" s="16">
        <f t="shared" si="20"/>
        <v>10.916666666666675</v>
      </c>
      <c r="C140" s="17">
        <f t="shared" si="16"/>
        <v>10.916666666666675</v>
      </c>
      <c r="D140" s="1" cm="1">
        <f t="array" ref="D140">_xlfn.XLOOKUP(_xlfn.FLOOR.MATH(C140),'Mortality Tables'!$B$4:$B$124,_xlfn.XLOOKUP(mortality_table,'Mortality Tables'!$B$3:$G$3,'Mortality Tables'!$B$4:$G$124,0,0),0,0)</f>
        <v>1.6000000000000001E-4</v>
      </c>
      <c r="E140" s="1">
        <f t="shared" si="17"/>
        <v>1.3333333333333333E-5</v>
      </c>
      <c r="F140" s="1">
        <f t="shared" si="14"/>
        <v>0.99998666666666669</v>
      </c>
      <c r="G140" s="1">
        <f t="shared" si="15"/>
        <v>0.99385256465311644</v>
      </c>
      <c r="H140" s="34">
        <f t="shared" si="18"/>
        <v>0.5870613448839106</v>
      </c>
      <c r="I140" s="36">
        <f t="shared" si="19"/>
        <v>0.58345242322158219</v>
      </c>
    </row>
    <row r="141" spans="2:9" x14ac:dyDescent="0.35">
      <c r="B141" s="16">
        <f t="shared" si="20"/>
        <v>11.000000000000009</v>
      </c>
      <c r="C141" s="17">
        <f t="shared" si="16"/>
        <v>11.000000000000009</v>
      </c>
      <c r="D141" s="1" cm="1">
        <f t="array" ref="D141">_xlfn.XLOOKUP(_xlfn.FLOOR.MATH(C141),'Mortality Tables'!$B$4:$B$124,_xlfn.XLOOKUP(mortality_table,'Mortality Tables'!$B$3:$G$3,'Mortality Tables'!$B$4:$G$124,0,0),0,0)</f>
        <v>1.5799999999999999E-4</v>
      </c>
      <c r="E141" s="1">
        <f t="shared" si="17"/>
        <v>1.3166666666666665E-5</v>
      </c>
      <c r="F141" s="1">
        <f t="shared" si="14"/>
        <v>0.99998683333333338</v>
      </c>
      <c r="G141" s="1">
        <f t="shared" si="15"/>
        <v>0.99383931328558772</v>
      </c>
      <c r="H141" s="34">
        <f t="shared" si="18"/>
        <v>0.58467928908643696</v>
      </c>
      <c r="I141" s="36">
        <f t="shared" si="19"/>
        <v>0.58107726315797015</v>
      </c>
    </row>
    <row r="142" spans="2:9" x14ac:dyDescent="0.35">
      <c r="B142" s="16">
        <f t="shared" si="20"/>
        <v>11.083333333333343</v>
      </c>
      <c r="C142" s="17">
        <f t="shared" si="16"/>
        <v>11.083333333333343</v>
      </c>
      <c r="D142" s="1" cm="1">
        <f t="array" ref="D142">_xlfn.XLOOKUP(_xlfn.FLOOR.MATH(C142),'Mortality Tables'!$B$4:$B$124,_xlfn.XLOOKUP(mortality_table,'Mortality Tables'!$B$3:$G$3,'Mortality Tables'!$B$4:$G$124,0,0),0,0)</f>
        <v>1.5799999999999999E-4</v>
      </c>
      <c r="E142" s="1">
        <f t="shared" si="17"/>
        <v>1.3166666666666665E-5</v>
      </c>
      <c r="F142" s="1">
        <f t="shared" si="14"/>
        <v>0.99998683333333338</v>
      </c>
      <c r="G142" s="1">
        <f t="shared" si="15"/>
        <v>0.99382622773462947</v>
      </c>
      <c r="H142" s="34">
        <f t="shared" si="18"/>
        <v>0.58230689870105645</v>
      </c>
      <c r="I142" s="36">
        <f t="shared" si="19"/>
        <v>0.57871186851992196</v>
      </c>
    </row>
    <row r="143" spans="2:9" x14ac:dyDescent="0.35">
      <c r="B143" s="16">
        <f t="shared" si="20"/>
        <v>11.166666666666677</v>
      </c>
      <c r="C143" s="17">
        <f t="shared" si="16"/>
        <v>11.166666666666677</v>
      </c>
      <c r="D143" s="1" cm="1">
        <f t="array" ref="D143">_xlfn.XLOOKUP(_xlfn.FLOOR.MATH(C143),'Mortality Tables'!$B$4:$B$124,_xlfn.XLOOKUP(mortality_table,'Mortality Tables'!$B$3:$G$3,'Mortality Tables'!$B$4:$G$124,0,0),0,0)</f>
        <v>1.5799999999999999E-4</v>
      </c>
      <c r="E143" s="1">
        <f t="shared" si="17"/>
        <v>1.3166666666666665E-5</v>
      </c>
      <c r="F143" s="1">
        <f t="shared" si="14"/>
        <v>0.99998683333333338</v>
      </c>
      <c r="G143" s="1">
        <f t="shared" si="15"/>
        <v>0.9938131423559643</v>
      </c>
      <c r="H143" s="34">
        <f t="shared" si="18"/>
        <v>0.57994413450946414</v>
      </c>
      <c r="I143" s="36">
        <f t="shared" si="19"/>
        <v>0.57635610270776061</v>
      </c>
    </row>
    <row r="144" spans="2:9" x14ac:dyDescent="0.35">
      <c r="B144" s="16">
        <f t="shared" si="20"/>
        <v>11.250000000000011</v>
      </c>
      <c r="C144" s="17">
        <f t="shared" si="16"/>
        <v>11.250000000000011</v>
      </c>
      <c r="D144" s="1" cm="1">
        <f t="array" ref="D144">_xlfn.XLOOKUP(_xlfn.FLOOR.MATH(C144),'Mortality Tables'!$B$4:$B$124,_xlfn.XLOOKUP(mortality_table,'Mortality Tables'!$B$3:$G$3,'Mortality Tables'!$B$4:$G$124,0,0),0,0)</f>
        <v>1.5799999999999999E-4</v>
      </c>
      <c r="E144" s="1">
        <f t="shared" si="17"/>
        <v>1.3166666666666665E-5</v>
      </c>
      <c r="F144" s="1">
        <f t="shared" si="14"/>
        <v>0.99998683333333338</v>
      </c>
      <c r="G144" s="1">
        <f t="shared" si="15"/>
        <v>0.99380005714958997</v>
      </c>
      <c r="H144" s="34">
        <f t="shared" si="18"/>
        <v>0.57759095745248679</v>
      </c>
      <c r="I144" s="36">
        <f t="shared" si="19"/>
        <v>0.57400992652536775</v>
      </c>
    </row>
    <row r="145" spans="2:9" x14ac:dyDescent="0.35">
      <c r="B145" s="16">
        <f t="shared" si="20"/>
        <v>11.333333333333345</v>
      </c>
      <c r="C145" s="17">
        <f t="shared" si="16"/>
        <v>11.333333333333345</v>
      </c>
      <c r="D145" s="1" cm="1">
        <f t="array" ref="D145">_xlfn.XLOOKUP(_xlfn.FLOOR.MATH(C145),'Mortality Tables'!$B$4:$B$124,_xlfn.XLOOKUP(mortality_table,'Mortality Tables'!$B$3:$G$3,'Mortality Tables'!$B$4:$G$124,0,0),0,0)</f>
        <v>1.5799999999999999E-4</v>
      </c>
      <c r="E145" s="1">
        <f t="shared" si="17"/>
        <v>1.3166666666666665E-5</v>
      </c>
      <c r="F145" s="1">
        <f t="shared" si="14"/>
        <v>0.99998683333333338</v>
      </c>
      <c r="G145" s="1">
        <f t="shared" si="15"/>
        <v>0.99378697211550426</v>
      </c>
      <c r="H145" s="34">
        <f t="shared" si="18"/>
        <v>0.57524732862943739</v>
      </c>
      <c r="I145" s="36">
        <f t="shared" si="19"/>
        <v>0.57167330093618096</v>
      </c>
    </row>
    <row r="146" spans="2:9" x14ac:dyDescent="0.35">
      <c r="B146" s="16">
        <f t="shared" si="20"/>
        <v>11.416666666666679</v>
      </c>
      <c r="C146" s="17">
        <f t="shared" si="16"/>
        <v>11.416666666666679</v>
      </c>
      <c r="D146" s="1" cm="1">
        <f t="array" ref="D146">_xlfn.XLOOKUP(_xlfn.FLOOR.MATH(C146),'Mortality Tables'!$B$4:$B$124,_xlfn.XLOOKUP(mortality_table,'Mortality Tables'!$B$3:$G$3,'Mortality Tables'!$B$4:$G$124,0,0),0,0)</f>
        <v>1.5799999999999999E-4</v>
      </c>
      <c r="E146" s="1">
        <f t="shared" si="17"/>
        <v>1.3166666666666665E-5</v>
      </c>
      <c r="F146" s="1">
        <f t="shared" si="14"/>
        <v>0.99998683333333338</v>
      </c>
      <c r="G146" s="1">
        <f t="shared" si="15"/>
        <v>0.99377388725370475</v>
      </c>
      <c r="H146" s="34">
        <f t="shared" si="18"/>
        <v>0.57291320929747225</v>
      </c>
      <c r="I146" s="36">
        <f t="shared" si="19"/>
        <v>0.56934618706254436</v>
      </c>
    </row>
    <row r="147" spans="2:9" x14ac:dyDescent="0.35">
      <c r="B147" s="16">
        <f t="shared" si="20"/>
        <v>11.500000000000012</v>
      </c>
      <c r="C147" s="17">
        <f t="shared" si="16"/>
        <v>11.500000000000012</v>
      </c>
      <c r="D147" s="1" cm="1">
        <f t="array" ref="D147">_xlfn.XLOOKUP(_xlfn.FLOOR.MATH(C147),'Mortality Tables'!$B$4:$B$124,_xlfn.XLOOKUP(mortality_table,'Mortality Tables'!$B$3:$G$3,'Mortality Tables'!$B$4:$G$124,0,0),0,0)</f>
        <v>1.5799999999999999E-4</v>
      </c>
      <c r="E147" s="1">
        <f t="shared" si="17"/>
        <v>1.3166666666666665E-5</v>
      </c>
      <c r="F147" s="1">
        <f t="shared" si="14"/>
        <v>0.99998683333333338</v>
      </c>
      <c r="G147" s="1">
        <f t="shared" si="15"/>
        <v>0.99376080256418931</v>
      </c>
      <c r="H147" s="34">
        <f t="shared" si="18"/>
        <v>0.57058856087095022</v>
      </c>
      <c r="I147" s="36">
        <f t="shared" si="19"/>
        <v>0.56702854618506127</v>
      </c>
    </row>
    <row r="148" spans="2:9" x14ac:dyDescent="0.35">
      <c r="B148" s="16">
        <f t="shared" si="20"/>
        <v>11.583333333333346</v>
      </c>
      <c r="C148" s="17">
        <f t="shared" si="16"/>
        <v>11.583333333333346</v>
      </c>
      <c r="D148" s="1" cm="1">
        <f t="array" ref="D148">_xlfn.XLOOKUP(_xlfn.FLOOR.MATH(C148),'Mortality Tables'!$B$4:$B$124,_xlfn.XLOOKUP(mortality_table,'Mortality Tables'!$B$3:$G$3,'Mortality Tables'!$B$4:$G$124,0,0),0,0)</f>
        <v>1.5799999999999999E-4</v>
      </c>
      <c r="E148" s="1">
        <f t="shared" si="17"/>
        <v>1.3166666666666665E-5</v>
      </c>
      <c r="F148" s="1">
        <f t="shared" si="14"/>
        <v>0.99998683333333338</v>
      </c>
      <c r="G148" s="1">
        <f t="shared" si="15"/>
        <v>0.99374771804695561</v>
      </c>
      <c r="H148" s="34">
        <f t="shared" si="18"/>
        <v>0.56827334492079495</v>
      </c>
      <c r="I148" s="36">
        <f t="shared" si="19"/>
        <v>0.56472033974195046</v>
      </c>
    </row>
    <row r="149" spans="2:9" x14ac:dyDescent="0.35">
      <c r="B149" s="16">
        <f t="shared" si="20"/>
        <v>11.66666666666668</v>
      </c>
      <c r="C149" s="17">
        <f t="shared" si="16"/>
        <v>11.66666666666668</v>
      </c>
      <c r="D149" s="1" cm="1">
        <f t="array" ref="D149">_xlfn.XLOOKUP(_xlfn.FLOOR.MATH(C149),'Mortality Tables'!$B$4:$B$124,_xlfn.XLOOKUP(mortality_table,'Mortality Tables'!$B$3:$G$3,'Mortality Tables'!$B$4:$G$124,0,0),0,0)</f>
        <v>1.5799999999999999E-4</v>
      </c>
      <c r="E149" s="1">
        <f t="shared" si="17"/>
        <v>1.3166666666666665E-5</v>
      </c>
      <c r="F149" s="1">
        <f t="shared" si="14"/>
        <v>0.99998683333333338</v>
      </c>
      <c r="G149" s="1">
        <f t="shared" si="15"/>
        <v>0.99373463370200132</v>
      </c>
      <c r="H149" s="34">
        <f t="shared" si="18"/>
        <v>0.5659675231738599</v>
      </c>
      <c r="I149" s="36">
        <f t="shared" si="19"/>
        <v>0.56242152932840461</v>
      </c>
    </row>
    <row r="150" spans="2:9" x14ac:dyDescent="0.35">
      <c r="B150" s="16">
        <f t="shared" si="20"/>
        <v>11.750000000000014</v>
      </c>
      <c r="C150" s="17">
        <f t="shared" si="16"/>
        <v>11.750000000000014</v>
      </c>
      <c r="D150" s="1" cm="1">
        <f t="array" ref="D150">_xlfn.XLOOKUP(_xlfn.FLOOR.MATH(C150),'Mortality Tables'!$B$4:$B$124,_xlfn.XLOOKUP(mortality_table,'Mortality Tables'!$B$3:$G$3,'Mortality Tables'!$B$4:$G$124,0,0),0,0)</f>
        <v>1.5799999999999999E-4</v>
      </c>
      <c r="E150" s="1">
        <f t="shared" si="17"/>
        <v>1.3166666666666665E-5</v>
      </c>
      <c r="F150" s="1">
        <f t="shared" si="14"/>
        <v>0.99998683333333338</v>
      </c>
      <c r="G150" s="1">
        <f t="shared" si="15"/>
        <v>0.99372154952932434</v>
      </c>
      <c r="H150" s="34">
        <f t="shared" si="18"/>
        <v>0.56367105751229485</v>
      </c>
      <c r="I150" s="36">
        <f t="shared" si="19"/>
        <v>0.56013207669595055</v>
      </c>
    </row>
    <row r="151" spans="2:9" x14ac:dyDescent="0.35">
      <c r="B151" s="16">
        <f t="shared" si="20"/>
        <v>11.833333333333348</v>
      </c>
      <c r="C151" s="17">
        <f t="shared" si="16"/>
        <v>11.833333333333348</v>
      </c>
      <c r="D151" s="1" cm="1">
        <f t="array" ref="D151">_xlfn.XLOOKUP(_xlfn.FLOOR.MATH(C151),'Mortality Tables'!$B$4:$B$124,_xlfn.XLOOKUP(mortality_table,'Mortality Tables'!$B$3:$G$3,'Mortality Tables'!$B$4:$G$124,0,0),0,0)</f>
        <v>1.5799999999999999E-4</v>
      </c>
      <c r="E151" s="1">
        <f t="shared" si="17"/>
        <v>1.3166666666666665E-5</v>
      </c>
      <c r="F151" s="1">
        <f t="shared" si="14"/>
        <v>0.99998683333333338</v>
      </c>
      <c r="G151" s="1">
        <f t="shared" si="15"/>
        <v>0.99370846552892222</v>
      </c>
      <c r="H151" s="34">
        <f t="shared" si="18"/>
        <v>0.56138390997291665</v>
      </c>
      <c r="I151" s="36">
        <f t="shared" si="19"/>
        <v>0.55785194375181357</v>
      </c>
    </row>
    <row r="152" spans="2:9" x14ac:dyDescent="0.35">
      <c r="B152" s="16">
        <f t="shared" si="20"/>
        <v>11.916666666666682</v>
      </c>
      <c r="C152" s="17">
        <f t="shared" si="16"/>
        <v>11.916666666666682</v>
      </c>
      <c r="D152" s="1" cm="1">
        <f t="array" ref="D152">_xlfn.XLOOKUP(_xlfn.FLOOR.MATH(C152),'Mortality Tables'!$B$4:$B$124,_xlfn.XLOOKUP(mortality_table,'Mortality Tables'!$B$3:$G$3,'Mortality Tables'!$B$4:$G$124,0,0),0,0)</f>
        <v>1.5799999999999999E-4</v>
      </c>
      <c r="E152" s="1">
        <f t="shared" si="17"/>
        <v>1.3166666666666665E-5</v>
      </c>
      <c r="F152" s="1">
        <f t="shared" si="14"/>
        <v>0.99998683333333338</v>
      </c>
      <c r="G152" s="1">
        <f t="shared" si="15"/>
        <v>0.99369538170079286</v>
      </c>
      <c r="H152" s="34">
        <f t="shared" si="18"/>
        <v>0.55910604274658127</v>
      </c>
      <c r="I152" s="36">
        <f t="shared" si="19"/>
        <v>0.55558109255828392</v>
      </c>
    </row>
    <row r="153" spans="2:9" x14ac:dyDescent="0.35">
      <c r="B153" s="16">
        <f t="shared" si="20"/>
        <v>12.000000000000016</v>
      </c>
      <c r="C153" s="17">
        <f t="shared" si="16"/>
        <v>12.000000000000016</v>
      </c>
      <c r="D153" s="1" cm="1">
        <f t="array" ref="D153">_xlfn.XLOOKUP(_xlfn.FLOOR.MATH(C153),'Mortality Tables'!$B$4:$B$124,_xlfn.XLOOKUP(mortality_table,'Mortality Tables'!$B$3:$G$3,'Mortality Tables'!$B$4:$G$124,0,0),0,0)</f>
        <v>1.64E-4</v>
      </c>
      <c r="E153" s="1">
        <f t="shared" si="17"/>
        <v>1.3666666666666666E-5</v>
      </c>
      <c r="F153" s="1">
        <f t="shared" si="14"/>
        <v>0.99998633333333331</v>
      </c>
      <c r="G153" s="1">
        <f t="shared" si="15"/>
        <v>0.9936822980449338</v>
      </c>
      <c r="H153" s="34">
        <f t="shared" si="18"/>
        <v>0.55683741817755872</v>
      </c>
      <c r="I153" s="36">
        <f t="shared" si="19"/>
        <v>0.5533194853320843</v>
      </c>
    </row>
    <row r="154" spans="2:9" x14ac:dyDescent="0.35">
      <c r="B154" s="16">
        <f t="shared" si="20"/>
        <v>12.08333333333335</v>
      </c>
      <c r="C154" s="17">
        <f t="shared" si="16"/>
        <v>12.08333333333335</v>
      </c>
      <c r="D154" s="1" cm="1">
        <f t="array" ref="D154">_xlfn.XLOOKUP(_xlfn.FLOOR.MATH(C154),'Mortality Tables'!$B$4:$B$124,_xlfn.XLOOKUP(mortality_table,'Mortality Tables'!$B$3:$G$3,'Mortality Tables'!$B$4:$G$124,0,0),0,0)</f>
        <v>1.64E-4</v>
      </c>
      <c r="E154" s="1">
        <f t="shared" si="17"/>
        <v>1.3666666666666666E-5</v>
      </c>
      <c r="F154" s="1">
        <f t="shared" si="14"/>
        <v>0.99998633333333331</v>
      </c>
      <c r="G154" s="1">
        <f t="shared" si="15"/>
        <v>0.99366871772019383</v>
      </c>
      <c r="H154" s="34">
        <f t="shared" si="18"/>
        <v>0.5545779987629107</v>
      </c>
      <c r="I154" s="36">
        <f t="shared" si="19"/>
        <v>0.55106680890657267</v>
      </c>
    </row>
    <row r="155" spans="2:9" x14ac:dyDescent="0.35">
      <c r="B155" s="16">
        <f t="shared" si="20"/>
        <v>12.166666666666684</v>
      </c>
      <c r="C155" s="17">
        <f t="shared" si="16"/>
        <v>12.166666666666684</v>
      </c>
      <c r="D155" s="1" cm="1">
        <f t="array" ref="D155">_xlfn.XLOOKUP(_xlfn.FLOOR.MATH(C155),'Mortality Tables'!$B$4:$B$124,_xlfn.XLOOKUP(mortality_table,'Mortality Tables'!$B$3:$G$3,'Mortality Tables'!$B$4:$G$124,0,0),0,0)</f>
        <v>1.64E-4</v>
      </c>
      <c r="E155" s="1">
        <f t="shared" si="17"/>
        <v>1.3666666666666666E-5</v>
      </c>
      <c r="F155" s="1">
        <f t="shared" ref="F155:F218" si="21">1-E155</f>
        <v>0.99998633333333331</v>
      </c>
      <c r="G155" s="1">
        <f t="shared" ref="G155:G218" si="22">G154*F154</f>
        <v>0.99365513758105162</v>
      </c>
      <c r="H155" s="34">
        <f t="shared" si="18"/>
        <v>0.55232774715187039</v>
      </c>
      <c r="I155" s="36">
        <f t="shared" si="19"/>
        <v>0.54882330358602405</v>
      </c>
    </row>
    <row r="156" spans="2:9" x14ac:dyDescent="0.35">
      <c r="B156" s="16">
        <f t="shared" si="20"/>
        <v>12.250000000000018</v>
      </c>
      <c r="C156" s="17">
        <f t="shared" si="16"/>
        <v>12.250000000000018</v>
      </c>
      <c r="D156" s="1" cm="1">
        <f t="array" ref="D156">_xlfn.XLOOKUP(_xlfn.FLOOR.MATH(C156),'Mortality Tables'!$B$4:$B$124,_xlfn.XLOOKUP(mortality_table,'Mortality Tables'!$B$3:$G$3,'Mortality Tables'!$B$4:$G$124,0,0),0,0)</f>
        <v>1.64E-4</v>
      </c>
      <c r="E156" s="1">
        <f t="shared" si="17"/>
        <v>1.3666666666666666E-5</v>
      </c>
      <c r="F156" s="1">
        <f t="shared" si="21"/>
        <v>0.99998633333333331</v>
      </c>
      <c r="G156" s="1">
        <f t="shared" si="22"/>
        <v>0.99364155762750461</v>
      </c>
      <c r="H156" s="34">
        <f t="shared" si="18"/>
        <v>0.55008662614522519</v>
      </c>
      <c r="I156" s="36">
        <f t="shared" si="19"/>
        <v>0.54658893203300041</v>
      </c>
    </row>
    <row r="157" spans="2:9" x14ac:dyDescent="0.35">
      <c r="B157" s="16">
        <f t="shared" si="20"/>
        <v>12.333333333333352</v>
      </c>
      <c r="C157" s="17">
        <f t="shared" si="16"/>
        <v>12.333333333333352</v>
      </c>
      <c r="D157" s="1" cm="1">
        <f t="array" ref="D157">_xlfn.XLOOKUP(_xlfn.FLOOR.MATH(C157),'Mortality Tables'!$B$4:$B$124,_xlfn.XLOOKUP(mortality_table,'Mortality Tables'!$B$3:$G$3,'Mortality Tables'!$B$4:$G$124,0,0),0,0)</f>
        <v>1.64E-4</v>
      </c>
      <c r="E157" s="1">
        <f t="shared" si="17"/>
        <v>1.3666666666666666E-5</v>
      </c>
      <c r="F157" s="1">
        <f t="shared" si="21"/>
        <v>0.99998633333333331</v>
      </c>
      <c r="G157" s="1">
        <f t="shared" si="22"/>
        <v>0.99362797785955037</v>
      </c>
      <c r="H157" s="34">
        <f t="shared" si="18"/>
        <v>0.5478545986947021</v>
      </c>
      <c r="I157" s="36">
        <f t="shared" si="19"/>
        <v>0.54436365706207235</v>
      </c>
    </row>
    <row r="158" spans="2:9" x14ac:dyDescent="0.35">
      <c r="B158" s="16">
        <f t="shared" si="20"/>
        <v>12.416666666666686</v>
      </c>
      <c r="C158" s="17">
        <f t="shared" si="16"/>
        <v>12.416666666666686</v>
      </c>
      <c r="D158" s="1" cm="1">
        <f t="array" ref="D158">_xlfn.XLOOKUP(_xlfn.FLOOR.MATH(C158),'Mortality Tables'!$B$4:$B$124,_xlfn.XLOOKUP(mortality_table,'Mortality Tables'!$B$3:$G$3,'Mortality Tables'!$B$4:$G$124,0,0),0,0)</f>
        <v>1.64E-4</v>
      </c>
      <c r="E158" s="1">
        <f t="shared" si="17"/>
        <v>1.3666666666666666E-5</v>
      </c>
      <c r="F158" s="1">
        <f t="shared" si="21"/>
        <v>0.99998633333333331</v>
      </c>
      <c r="G158" s="1">
        <f t="shared" si="22"/>
        <v>0.99361439827718623</v>
      </c>
      <c r="H158" s="34">
        <f t="shared" si="18"/>
        <v>0.54563162790235431</v>
      </c>
      <c r="I158" s="36">
        <f t="shared" si="19"/>
        <v>0.54214744163919937</v>
      </c>
    </row>
    <row r="159" spans="2:9" x14ac:dyDescent="0.35">
      <c r="B159" s="16">
        <f t="shared" si="20"/>
        <v>12.50000000000002</v>
      </c>
      <c r="C159" s="17">
        <f t="shared" si="16"/>
        <v>12.50000000000002</v>
      </c>
      <c r="D159" s="1" cm="1">
        <f t="array" ref="D159">_xlfn.XLOOKUP(_xlfn.FLOOR.MATH(C159),'Mortality Tables'!$B$4:$B$124,_xlfn.XLOOKUP(mortality_table,'Mortality Tables'!$B$3:$G$3,'Mortality Tables'!$B$4:$G$124,0,0),0,0)</f>
        <v>1.64E-4</v>
      </c>
      <c r="E159" s="1">
        <f t="shared" si="17"/>
        <v>1.3666666666666666E-5</v>
      </c>
      <c r="F159" s="1">
        <f t="shared" si="21"/>
        <v>0.99998633333333331</v>
      </c>
      <c r="G159" s="1">
        <f t="shared" si="22"/>
        <v>0.99360081888040974</v>
      </c>
      <c r="H159" s="34">
        <f t="shared" si="18"/>
        <v>0.54341767701995247</v>
      </c>
      <c r="I159" s="36">
        <f t="shared" si="19"/>
        <v>0.5399402488811148</v>
      </c>
    </row>
    <row r="160" spans="2:9" x14ac:dyDescent="0.35">
      <c r="B160" s="16">
        <f t="shared" si="20"/>
        <v>12.583333333333353</v>
      </c>
      <c r="C160" s="17">
        <f t="shared" si="16"/>
        <v>12.583333333333353</v>
      </c>
      <c r="D160" s="1" cm="1">
        <f t="array" ref="D160">_xlfn.XLOOKUP(_xlfn.FLOOR.MATH(C160),'Mortality Tables'!$B$4:$B$124,_xlfn.XLOOKUP(mortality_table,'Mortality Tables'!$B$3:$G$3,'Mortality Tables'!$B$4:$G$124,0,0),0,0)</f>
        <v>1.64E-4</v>
      </c>
      <c r="E160" s="1">
        <f t="shared" si="17"/>
        <v>1.3666666666666666E-5</v>
      </c>
      <c r="F160" s="1">
        <f t="shared" si="21"/>
        <v>0.99998633333333331</v>
      </c>
      <c r="G160" s="1">
        <f t="shared" si="22"/>
        <v>0.99358723966921836</v>
      </c>
      <c r="H160" s="34">
        <f t="shared" si="18"/>
        <v>0.54121270944837596</v>
      </c>
      <c r="I160" s="36">
        <f t="shared" si="19"/>
        <v>0.53774204205471055</v>
      </c>
    </row>
    <row r="161" spans="2:9" x14ac:dyDescent="0.35">
      <c r="B161" s="16">
        <f t="shared" si="20"/>
        <v>12.666666666666687</v>
      </c>
      <c r="C161" s="17">
        <f t="shared" si="16"/>
        <v>12.666666666666687</v>
      </c>
      <c r="D161" s="1" cm="1">
        <f t="array" ref="D161">_xlfn.XLOOKUP(_xlfn.FLOOR.MATH(C161),'Mortality Tables'!$B$4:$B$124,_xlfn.XLOOKUP(mortality_table,'Mortality Tables'!$B$3:$G$3,'Mortality Tables'!$B$4:$G$124,0,0),0,0)</f>
        <v>1.64E-4</v>
      </c>
      <c r="E161" s="1">
        <f t="shared" si="17"/>
        <v>1.3666666666666666E-5</v>
      </c>
      <c r="F161" s="1">
        <f t="shared" si="21"/>
        <v>0.99998633333333331</v>
      </c>
      <c r="G161" s="1">
        <f t="shared" si="22"/>
        <v>0.99357366064360952</v>
      </c>
      <c r="H161" s="34">
        <f t="shared" si="18"/>
        <v>0.53901668873700914</v>
      </c>
      <c r="I161" s="36">
        <f t="shared" si="19"/>
        <v>0.53555278457642719</v>
      </c>
    </row>
    <row r="162" spans="2:9" x14ac:dyDescent="0.35">
      <c r="B162" s="16">
        <f t="shared" si="20"/>
        <v>12.750000000000021</v>
      </c>
      <c r="C162" s="17">
        <f t="shared" si="16"/>
        <v>12.750000000000021</v>
      </c>
      <c r="D162" s="1" cm="1">
        <f t="array" ref="D162">_xlfn.XLOOKUP(_xlfn.FLOOR.MATH(C162),'Mortality Tables'!$B$4:$B$124,_xlfn.XLOOKUP(mortality_table,'Mortality Tables'!$B$3:$G$3,'Mortality Tables'!$B$4:$G$124,0,0),0,0)</f>
        <v>1.64E-4</v>
      </c>
      <c r="E162" s="1">
        <f t="shared" si="17"/>
        <v>1.3666666666666666E-5</v>
      </c>
      <c r="F162" s="1">
        <f t="shared" si="21"/>
        <v>0.99998633333333331</v>
      </c>
      <c r="G162" s="1">
        <f t="shared" si="22"/>
        <v>0.99356008180358069</v>
      </c>
      <c r="H162" s="34">
        <f t="shared" si="18"/>
        <v>0.53682957858313773</v>
      </c>
      <c r="I162" s="36">
        <f t="shared" si="19"/>
        <v>0.53337244001164408</v>
      </c>
    </row>
    <row r="163" spans="2:9" x14ac:dyDescent="0.35">
      <c r="B163" s="16">
        <f t="shared" si="20"/>
        <v>12.833333333333355</v>
      </c>
      <c r="C163" s="17">
        <f t="shared" si="16"/>
        <v>12.833333333333355</v>
      </c>
      <c r="D163" s="1" cm="1">
        <f t="array" ref="D163">_xlfn.XLOOKUP(_xlfn.FLOOR.MATH(C163),'Mortality Tables'!$B$4:$B$124,_xlfn.XLOOKUP(mortality_table,'Mortality Tables'!$B$3:$G$3,'Mortality Tables'!$B$4:$G$124,0,0),0,0)</f>
        <v>1.64E-4</v>
      </c>
      <c r="E163" s="1">
        <f t="shared" si="17"/>
        <v>1.3666666666666666E-5</v>
      </c>
      <c r="F163" s="1">
        <f t="shared" si="21"/>
        <v>0.99998633333333331</v>
      </c>
      <c r="G163" s="1">
        <f t="shared" si="22"/>
        <v>0.9935465031491294</v>
      </c>
      <c r="H163" s="34">
        <f t="shared" si="18"/>
        <v>0.53465134283134907</v>
      </c>
      <c r="I163" s="36">
        <f t="shared" si="19"/>
        <v>0.53120097207407324</v>
      </c>
    </row>
    <row r="164" spans="2:9" x14ac:dyDescent="0.35">
      <c r="B164" s="16">
        <f t="shared" si="20"/>
        <v>12.916666666666689</v>
      </c>
      <c r="C164" s="17">
        <f t="shared" si="16"/>
        <v>12.916666666666689</v>
      </c>
      <c r="D164" s="1" cm="1">
        <f t="array" ref="D164">_xlfn.XLOOKUP(_xlfn.FLOOR.MATH(C164),'Mortality Tables'!$B$4:$B$124,_xlfn.XLOOKUP(mortality_table,'Mortality Tables'!$B$3:$G$3,'Mortality Tables'!$B$4:$G$124,0,0),0,0)</f>
        <v>1.64E-4</v>
      </c>
      <c r="E164" s="1">
        <f t="shared" si="17"/>
        <v>1.3666666666666666E-5</v>
      </c>
      <c r="F164" s="1">
        <f t="shared" si="21"/>
        <v>0.99998633333333331</v>
      </c>
      <c r="G164" s="1">
        <f t="shared" si="22"/>
        <v>0.993532924680253</v>
      </c>
      <c r="H164" s="34">
        <f t="shared" si="18"/>
        <v>0.53248194547293437</v>
      </c>
      <c r="I164" s="36">
        <f t="shared" si="19"/>
        <v>0.52903834462515553</v>
      </c>
    </row>
    <row r="165" spans="2:9" x14ac:dyDescent="0.35">
      <c r="B165" s="16">
        <f t="shared" si="20"/>
        <v>13.000000000000023</v>
      </c>
      <c r="C165" s="17">
        <f t="shared" si="16"/>
        <v>13.000000000000023</v>
      </c>
      <c r="D165" s="1" cm="1">
        <f t="array" ref="D165">_xlfn.XLOOKUP(_xlfn.FLOOR.MATH(C165),'Mortality Tables'!$B$4:$B$124,_xlfn.XLOOKUP(mortality_table,'Mortality Tables'!$B$3:$G$3,'Mortality Tables'!$B$4:$G$124,0,0),0,0)</f>
        <v>1.9599999999999999E-4</v>
      </c>
      <c r="E165" s="1">
        <f t="shared" si="17"/>
        <v>1.6333333333333332E-5</v>
      </c>
      <c r="F165" s="1">
        <f t="shared" si="21"/>
        <v>0.99998366666666672</v>
      </c>
      <c r="G165" s="1">
        <f t="shared" si="22"/>
        <v>0.99351934639694905</v>
      </c>
      <c r="H165" s="34">
        <f t="shared" si="18"/>
        <v>0.53032135064529384</v>
      </c>
      <c r="I165" s="36">
        <f t="shared" si="19"/>
        <v>0.52688452167345956</v>
      </c>
    </row>
    <row r="166" spans="2:9" x14ac:dyDescent="0.35">
      <c r="B166" s="16">
        <f t="shared" si="20"/>
        <v>13.083333333333357</v>
      </c>
      <c r="C166" s="17">
        <f t="shared" si="16"/>
        <v>13.083333333333357</v>
      </c>
      <c r="D166" s="1" cm="1">
        <f t="array" ref="D166">_xlfn.XLOOKUP(_xlfn.FLOOR.MATH(C166),'Mortality Tables'!$B$4:$B$124,_xlfn.XLOOKUP(mortality_table,'Mortality Tables'!$B$3:$G$3,'Mortality Tables'!$B$4:$G$124,0,0),0,0)</f>
        <v>1.9599999999999999E-4</v>
      </c>
      <c r="E166" s="1">
        <f t="shared" si="17"/>
        <v>1.6333333333333332E-5</v>
      </c>
      <c r="F166" s="1">
        <f t="shared" si="21"/>
        <v>0.99998366666666672</v>
      </c>
      <c r="G166" s="1">
        <f t="shared" si="22"/>
        <v>0.99350311891429133</v>
      </c>
      <c r="H166" s="34">
        <f t="shared" si="18"/>
        <v>0.52816952263134331</v>
      </c>
      <c r="I166" s="36">
        <f t="shared" si="19"/>
        <v>0.52473806804971201</v>
      </c>
    </row>
    <row r="167" spans="2:9" x14ac:dyDescent="0.35">
      <c r="B167" s="16">
        <f t="shared" si="20"/>
        <v>13.166666666666691</v>
      </c>
      <c r="C167" s="17">
        <f t="shared" si="16"/>
        <v>13.166666666666691</v>
      </c>
      <c r="D167" s="1" cm="1">
        <f t="array" ref="D167">_xlfn.XLOOKUP(_xlfn.FLOOR.MATH(C167),'Mortality Tables'!$B$4:$B$124,_xlfn.XLOOKUP(mortality_table,'Mortality Tables'!$B$3:$G$3,'Mortality Tables'!$B$4:$G$124,0,0),0,0)</f>
        <v>1.9599999999999999E-4</v>
      </c>
      <c r="E167" s="1">
        <f t="shared" si="17"/>
        <v>1.6333333333333332E-5</v>
      </c>
      <c r="F167" s="1">
        <f t="shared" si="21"/>
        <v>0.99998366666666672</v>
      </c>
      <c r="G167" s="1">
        <f t="shared" si="22"/>
        <v>0.99348689169668247</v>
      </c>
      <c r="H167" s="34">
        <f t="shared" si="18"/>
        <v>0.52602642585892401</v>
      </c>
      <c r="I167" s="36">
        <f t="shared" si="19"/>
        <v>0.52260035877689781</v>
      </c>
    </row>
    <row r="168" spans="2:9" x14ac:dyDescent="0.35">
      <c r="B168" s="16">
        <f t="shared" si="20"/>
        <v>13.250000000000025</v>
      </c>
      <c r="C168" s="17">
        <f t="shared" si="16"/>
        <v>13.250000000000025</v>
      </c>
      <c r="D168" s="1" cm="1">
        <f t="array" ref="D168">_xlfn.XLOOKUP(_xlfn.FLOOR.MATH(C168),'Mortality Tables'!$B$4:$B$124,_xlfn.XLOOKUP(mortality_table,'Mortality Tables'!$B$3:$G$3,'Mortality Tables'!$B$4:$G$124,0,0),0,0)</f>
        <v>1.9599999999999999E-4</v>
      </c>
      <c r="E168" s="1">
        <f t="shared" si="17"/>
        <v>1.6333333333333332E-5</v>
      </c>
      <c r="F168" s="1">
        <f t="shared" si="21"/>
        <v>0.99998366666666672</v>
      </c>
      <c r="G168" s="1">
        <f t="shared" si="22"/>
        <v>0.99347066474411816</v>
      </c>
      <c r="H168" s="34">
        <f t="shared" si="18"/>
        <v>0.52389202490021425</v>
      </c>
      <c r="I168" s="36">
        <f t="shared" si="19"/>
        <v>0.52047135823175794</v>
      </c>
    </row>
    <row r="169" spans="2:9" x14ac:dyDescent="0.35">
      <c r="B169" s="16">
        <f t="shared" si="20"/>
        <v>13.333333333333359</v>
      </c>
      <c r="C169" s="17">
        <f t="shared" si="16"/>
        <v>13.333333333333359</v>
      </c>
      <c r="D169" s="1" cm="1">
        <f t="array" ref="D169">_xlfn.XLOOKUP(_xlfn.FLOOR.MATH(C169),'Mortality Tables'!$B$4:$B$124,_xlfn.XLOOKUP(mortality_table,'Mortality Tables'!$B$3:$G$3,'Mortality Tables'!$B$4:$G$124,0,0),0,0)</f>
        <v>1.9599999999999999E-4</v>
      </c>
      <c r="E169" s="1">
        <f t="shared" si="17"/>
        <v>1.6333333333333332E-5</v>
      </c>
      <c r="F169" s="1">
        <f t="shared" si="21"/>
        <v>0.99998366666666672</v>
      </c>
      <c r="G169" s="1">
        <f t="shared" si="22"/>
        <v>0.99345443805659406</v>
      </c>
      <c r="H169" s="34">
        <f t="shared" si="18"/>
        <v>0.52176628447114459</v>
      </c>
      <c r="I169" s="36">
        <f t="shared" si="19"/>
        <v>0.51835103093615797</v>
      </c>
    </row>
    <row r="170" spans="2:9" x14ac:dyDescent="0.35">
      <c r="B170" s="16">
        <f t="shared" si="20"/>
        <v>13.416666666666693</v>
      </c>
      <c r="C170" s="17">
        <f t="shared" si="16"/>
        <v>13.416666666666693</v>
      </c>
      <c r="D170" s="1" cm="1">
        <f t="array" ref="D170">_xlfn.XLOOKUP(_xlfn.FLOOR.MATH(C170),'Mortality Tables'!$B$4:$B$124,_xlfn.XLOOKUP(mortality_table,'Mortality Tables'!$B$3:$G$3,'Mortality Tables'!$B$4:$G$124,0,0),0,0)</f>
        <v>1.9599999999999999E-4</v>
      </c>
      <c r="E170" s="1">
        <f t="shared" si="17"/>
        <v>1.6333333333333332E-5</v>
      </c>
      <c r="F170" s="1">
        <f t="shared" si="21"/>
        <v>0.99998366666666672</v>
      </c>
      <c r="G170" s="1">
        <f t="shared" si="22"/>
        <v>0.99343821163410584</v>
      </c>
      <c r="H170" s="34">
        <f t="shared" si="18"/>
        <v>0.51964916943081341</v>
      </c>
      <c r="I170" s="36">
        <f t="shared" si="19"/>
        <v>0.51623934155649576</v>
      </c>
    </row>
    <row r="171" spans="2:9" x14ac:dyDescent="0.35">
      <c r="B171" s="16">
        <f t="shared" si="20"/>
        <v>13.500000000000027</v>
      </c>
      <c r="C171" s="17">
        <f t="shared" si="16"/>
        <v>13.500000000000027</v>
      </c>
      <c r="D171" s="1" cm="1">
        <f t="array" ref="D171">_xlfn.XLOOKUP(_xlfn.FLOOR.MATH(C171),'Mortality Tables'!$B$4:$B$124,_xlfn.XLOOKUP(mortality_table,'Mortality Tables'!$B$3:$G$3,'Mortality Tables'!$B$4:$G$124,0,0),0,0)</f>
        <v>1.9599999999999999E-4</v>
      </c>
      <c r="E171" s="1">
        <f t="shared" si="17"/>
        <v>1.6333333333333332E-5</v>
      </c>
      <c r="F171" s="1">
        <f t="shared" si="21"/>
        <v>0.99998366666666672</v>
      </c>
      <c r="G171" s="1">
        <f t="shared" si="22"/>
        <v>0.99342198547664917</v>
      </c>
      <c r="H171" s="34">
        <f t="shared" si="18"/>
        <v>0.51754064478090689</v>
      </c>
      <c r="I171" s="36">
        <f t="shared" si="19"/>
        <v>0.51413625490311377</v>
      </c>
    </row>
    <row r="172" spans="2:9" x14ac:dyDescent="0.35">
      <c r="B172" s="16">
        <f t="shared" si="20"/>
        <v>13.583333333333361</v>
      </c>
      <c r="C172" s="17">
        <f t="shared" si="16"/>
        <v>13.583333333333361</v>
      </c>
      <c r="D172" s="1" cm="1">
        <f t="array" ref="D172">_xlfn.XLOOKUP(_xlfn.FLOOR.MATH(C172),'Mortality Tables'!$B$4:$B$124,_xlfn.XLOOKUP(mortality_table,'Mortality Tables'!$B$3:$G$3,'Mortality Tables'!$B$4:$G$124,0,0),0,0)</f>
        <v>1.9599999999999999E-4</v>
      </c>
      <c r="E172" s="1">
        <f t="shared" si="17"/>
        <v>1.6333333333333332E-5</v>
      </c>
      <c r="F172" s="1">
        <f t="shared" si="21"/>
        <v>0.99998366666666672</v>
      </c>
      <c r="G172" s="1">
        <f t="shared" si="22"/>
        <v>0.99340575958421973</v>
      </c>
      <c r="H172" s="34">
        <f t="shared" si="18"/>
        <v>0.51544067566511986</v>
      </c>
      <c r="I172" s="36">
        <f t="shared" si="19"/>
        <v>0.51204173592971181</v>
      </c>
    </row>
    <row r="173" spans="2:9" x14ac:dyDescent="0.35">
      <c r="B173" s="16">
        <f t="shared" si="20"/>
        <v>13.666666666666694</v>
      </c>
      <c r="C173" s="17">
        <f t="shared" si="16"/>
        <v>13.666666666666694</v>
      </c>
      <c r="D173" s="1" cm="1">
        <f t="array" ref="D173">_xlfn.XLOOKUP(_xlfn.FLOOR.MATH(C173),'Mortality Tables'!$B$4:$B$124,_xlfn.XLOOKUP(mortality_table,'Mortality Tables'!$B$3:$G$3,'Mortality Tables'!$B$4:$G$124,0,0),0,0)</f>
        <v>1.9599999999999999E-4</v>
      </c>
      <c r="E173" s="1">
        <f t="shared" si="17"/>
        <v>1.6333333333333332E-5</v>
      </c>
      <c r="F173" s="1">
        <f t="shared" si="21"/>
        <v>0.99998366666666672</v>
      </c>
      <c r="G173" s="1">
        <f t="shared" si="22"/>
        <v>0.99338953395681329</v>
      </c>
      <c r="H173" s="34">
        <f t="shared" si="18"/>
        <v>0.51334922736858002</v>
      </c>
      <c r="I173" s="36">
        <f t="shared" si="19"/>
        <v>0.50995574973276392</v>
      </c>
    </row>
    <row r="174" spans="2:9" x14ac:dyDescent="0.35">
      <c r="B174" s="16">
        <f t="shared" si="20"/>
        <v>13.750000000000028</v>
      </c>
      <c r="C174" s="17">
        <f t="shared" si="16"/>
        <v>13.750000000000028</v>
      </c>
      <c r="D174" s="1" cm="1">
        <f t="array" ref="D174">_xlfn.XLOOKUP(_xlfn.FLOOR.MATH(C174),'Mortality Tables'!$B$4:$B$124,_xlfn.XLOOKUP(mortality_table,'Mortality Tables'!$B$3:$G$3,'Mortality Tables'!$B$4:$G$124,0,0),0,0)</f>
        <v>1.9599999999999999E-4</v>
      </c>
      <c r="E174" s="1">
        <f t="shared" si="17"/>
        <v>1.6333333333333332E-5</v>
      </c>
      <c r="F174" s="1">
        <f t="shared" si="21"/>
        <v>0.99998366666666672</v>
      </c>
      <c r="G174" s="1">
        <f t="shared" si="22"/>
        <v>0.99337330859442541</v>
      </c>
      <c r="H174" s="34">
        <f t="shared" si="18"/>
        <v>0.51126626531727382</v>
      </c>
      <c r="I174" s="36">
        <f t="shared" si="19"/>
        <v>0.50787826155093563</v>
      </c>
    </row>
    <row r="175" spans="2:9" x14ac:dyDescent="0.35">
      <c r="B175" s="16">
        <f t="shared" si="20"/>
        <v>13.833333333333362</v>
      </c>
      <c r="C175" s="17">
        <f t="shared" si="16"/>
        <v>13.833333333333362</v>
      </c>
      <c r="D175" s="1" cm="1">
        <f t="array" ref="D175">_xlfn.XLOOKUP(_xlfn.FLOOR.MATH(C175),'Mortality Tables'!$B$4:$B$124,_xlfn.XLOOKUP(mortality_table,'Mortality Tables'!$B$3:$G$3,'Mortality Tables'!$B$4:$G$124,0,0),0,0)</f>
        <v>1.9599999999999999E-4</v>
      </c>
      <c r="E175" s="1">
        <f t="shared" si="17"/>
        <v>1.6333333333333332E-5</v>
      </c>
      <c r="F175" s="1">
        <f t="shared" si="21"/>
        <v>0.99998366666666672</v>
      </c>
      <c r="G175" s="1">
        <f t="shared" si="22"/>
        <v>0.99335708349705176</v>
      </c>
      <c r="H175" s="34">
        <f t="shared" si="18"/>
        <v>0.50919175507747505</v>
      </c>
      <c r="I175" s="36">
        <f t="shared" si="19"/>
        <v>0.50580923676450573</v>
      </c>
    </row>
    <row r="176" spans="2:9" x14ac:dyDescent="0.35">
      <c r="B176" s="16">
        <f t="shared" si="20"/>
        <v>13.916666666666696</v>
      </c>
      <c r="C176" s="17">
        <f t="shared" si="16"/>
        <v>13.916666666666696</v>
      </c>
      <c r="D176" s="1" cm="1">
        <f t="array" ref="D176">_xlfn.XLOOKUP(_xlfn.FLOOR.MATH(C176),'Mortality Tables'!$B$4:$B$124,_xlfn.XLOOKUP(mortality_table,'Mortality Tables'!$B$3:$G$3,'Mortality Tables'!$B$4:$G$124,0,0),0,0)</f>
        <v>1.9599999999999999E-4</v>
      </c>
      <c r="E176" s="1">
        <f t="shared" si="17"/>
        <v>1.6333333333333332E-5</v>
      </c>
      <c r="F176" s="1">
        <f t="shared" si="21"/>
        <v>0.99998366666666672</v>
      </c>
      <c r="G176" s="1">
        <f t="shared" si="22"/>
        <v>0.99334085866468802</v>
      </c>
      <c r="H176" s="34">
        <f t="shared" si="18"/>
        <v>0.50712566235517542</v>
      </c>
      <c r="I176" s="36">
        <f t="shared" si="19"/>
        <v>0.50374864089478866</v>
      </c>
    </row>
    <row r="177" spans="2:9" x14ac:dyDescent="0.35">
      <c r="B177" s="16">
        <f t="shared" si="20"/>
        <v>14.00000000000003</v>
      </c>
      <c r="C177" s="17">
        <f t="shared" si="16"/>
        <v>14.00000000000003</v>
      </c>
      <c r="D177" s="1" cm="1">
        <f t="array" ref="D177">_xlfn.XLOOKUP(_xlfn.FLOOR.MATH(C177),'Mortality Tables'!$B$4:$B$124,_xlfn.XLOOKUP(mortality_table,'Mortality Tables'!$B$3:$G$3,'Mortality Tables'!$B$4:$G$124,0,0),0,0)</f>
        <v>2.43E-4</v>
      </c>
      <c r="E177" s="1">
        <f t="shared" si="17"/>
        <v>2.0249999999999998E-5</v>
      </c>
      <c r="F177" s="1">
        <f t="shared" si="21"/>
        <v>0.99997974999999995</v>
      </c>
      <c r="G177" s="1">
        <f t="shared" si="22"/>
        <v>0.99332463409732985</v>
      </c>
      <c r="H177" s="34">
        <f t="shared" si="18"/>
        <v>0.50506795299551777</v>
      </c>
      <c r="I177" s="36">
        <f t="shared" si="19"/>
        <v>0.50169643960356003</v>
      </c>
    </row>
    <row r="178" spans="2:9" x14ac:dyDescent="0.35">
      <c r="B178" s="16">
        <f t="shared" si="20"/>
        <v>14.083333333333364</v>
      </c>
      <c r="C178" s="17">
        <f t="shared" si="16"/>
        <v>14.083333333333364</v>
      </c>
      <c r="D178" s="1" cm="1">
        <f t="array" ref="D178">_xlfn.XLOOKUP(_xlfn.FLOOR.MATH(C178),'Mortality Tables'!$B$4:$B$124,_xlfn.XLOOKUP(mortality_table,'Mortality Tables'!$B$3:$G$3,'Mortality Tables'!$B$4:$G$124,0,0),0,0)</f>
        <v>2.43E-4</v>
      </c>
      <c r="E178" s="1">
        <f t="shared" si="17"/>
        <v>2.0249999999999998E-5</v>
      </c>
      <c r="F178" s="1">
        <f t="shared" si="21"/>
        <v>0.99997974999999995</v>
      </c>
      <c r="G178" s="1">
        <f t="shared" si="22"/>
        <v>0.99330451927348928</v>
      </c>
      <c r="H178" s="34">
        <f t="shared" si="18"/>
        <v>0.5030185929822315</v>
      </c>
      <c r="I178" s="36">
        <f t="shared" si="19"/>
        <v>0.49965064168784246</v>
      </c>
    </row>
    <row r="179" spans="2:9" x14ac:dyDescent="0.35">
      <c r="B179" s="16">
        <f t="shared" si="20"/>
        <v>14.166666666666698</v>
      </c>
      <c r="C179" s="17">
        <f t="shared" si="16"/>
        <v>14.166666666666698</v>
      </c>
      <c r="D179" s="1" cm="1">
        <f t="array" ref="D179">_xlfn.XLOOKUP(_xlfn.FLOOR.MATH(C179),'Mortality Tables'!$B$4:$B$124,_xlfn.XLOOKUP(mortality_table,'Mortality Tables'!$B$3:$G$3,'Mortality Tables'!$B$4:$G$124,0,0),0,0)</f>
        <v>2.43E-4</v>
      </c>
      <c r="E179" s="1">
        <f t="shared" si="17"/>
        <v>2.0249999999999998E-5</v>
      </c>
      <c r="F179" s="1">
        <f t="shared" si="21"/>
        <v>0.99997974999999995</v>
      </c>
      <c r="G179" s="1">
        <f t="shared" si="22"/>
        <v>0.99328440485697389</v>
      </c>
      <c r="H179" s="34">
        <f t="shared" si="18"/>
        <v>0.50097754843707021</v>
      </c>
      <c r="I179" s="36">
        <f t="shared" si="19"/>
        <v>0.49761318604602112</v>
      </c>
    </row>
    <row r="180" spans="2:9" x14ac:dyDescent="0.35">
      <c r="B180" s="16">
        <f t="shared" si="20"/>
        <v>14.250000000000032</v>
      </c>
      <c r="C180" s="17">
        <f t="shared" si="16"/>
        <v>14.250000000000032</v>
      </c>
      <c r="D180" s="1" cm="1">
        <f t="array" ref="D180">_xlfn.XLOOKUP(_xlfn.FLOOR.MATH(C180),'Mortality Tables'!$B$4:$B$124,_xlfn.XLOOKUP(mortality_table,'Mortality Tables'!$B$3:$G$3,'Mortality Tables'!$B$4:$G$124,0,0),0,0)</f>
        <v>2.43E-4</v>
      </c>
      <c r="E180" s="1">
        <f t="shared" si="17"/>
        <v>2.0249999999999998E-5</v>
      </c>
      <c r="F180" s="1">
        <f t="shared" si="21"/>
        <v>0.99997974999999995</v>
      </c>
      <c r="G180" s="1">
        <f t="shared" si="22"/>
        <v>0.99326429084777546</v>
      </c>
      <c r="H180" s="34">
        <f t="shared" si="18"/>
        <v>0.49894478561925149</v>
      </c>
      <c r="I180" s="36">
        <f t="shared" si="19"/>
        <v>0.49558403866030121</v>
      </c>
    </row>
    <row r="181" spans="2:9" x14ac:dyDescent="0.35">
      <c r="B181" s="16">
        <f t="shared" si="20"/>
        <v>14.333333333333366</v>
      </c>
      <c r="C181" s="17">
        <f t="shared" si="16"/>
        <v>14.333333333333366</v>
      </c>
      <c r="D181" s="1" cm="1">
        <f t="array" ref="D181">_xlfn.XLOOKUP(_xlfn.FLOOR.MATH(C181),'Mortality Tables'!$B$4:$B$124,_xlfn.XLOOKUP(mortality_table,'Mortality Tables'!$B$3:$G$3,'Mortality Tables'!$B$4:$G$124,0,0),0,0)</f>
        <v>2.43E-4</v>
      </c>
      <c r="E181" s="1">
        <f t="shared" si="17"/>
        <v>2.0249999999999998E-5</v>
      </c>
      <c r="F181" s="1">
        <f t="shared" si="21"/>
        <v>0.99997974999999995</v>
      </c>
      <c r="G181" s="1">
        <f t="shared" si="22"/>
        <v>0.99324417724588576</v>
      </c>
      <c r="H181" s="34">
        <f t="shared" si="18"/>
        <v>0.49692027092489943</v>
      </c>
      <c r="I181" s="36">
        <f t="shared" si="19"/>
        <v>0.49356316565160441</v>
      </c>
    </row>
    <row r="182" spans="2:9" x14ac:dyDescent="0.35">
      <c r="B182" s="16">
        <f t="shared" si="20"/>
        <v>14.4166666666667</v>
      </c>
      <c r="C182" s="17">
        <f t="shared" si="16"/>
        <v>14.4166666666667</v>
      </c>
      <c r="D182" s="1" cm="1">
        <f t="array" ref="D182">_xlfn.XLOOKUP(_xlfn.FLOOR.MATH(C182),'Mortality Tables'!$B$4:$B$124,_xlfn.XLOOKUP(mortality_table,'Mortality Tables'!$B$3:$G$3,'Mortality Tables'!$B$4:$G$124,0,0),0,0)</f>
        <v>2.43E-4</v>
      </c>
      <c r="E182" s="1">
        <f t="shared" si="17"/>
        <v>2.0249999999999998E-5</v>
      </c>
      <c r="F182" s="1">
        <f t="shared" si="21"/>
        <v>0.99997974999999995</v>
      </c>
      <c r="G182" s="1">
        <f t="shared" si="22"/>
        <v>0.99322406405129648</v>
      </c>
      <c r="H182" s="34">
        <f t="shared" si="18"/>
        <v>0.4949039708864888</v>
      </c>
      <c r="I182" s="36">
        <f t="shared" si="19"/>
        <v>0.49155053327900294</v>
      </c>
    </row>
    <row r="183" spans="2:9" x14ac:dyDescent="0.35">
      <c r="B183" s="16">
        <f t="shared" si="20"/>
        <v>14.500000000000034</v>
      </c>
      <c r="C183" s="17">
        <f t="shared" si="16"/>
        <v>14.500000000000034</v>
      </c>
      <c r="D183" s="1" cm="1">
        <f t="array" ref="D183">_xlfn.XLOOKUP(_xlfn.FLOOR.MATH(C183),'Mortality Tables'!$B$4:$B$124,_xlfn.XLOOKUP(mortality_table,'Mortality Tables'!$B$3:$G$3,'Mortality Tables'!$B$4:$G$124,0,0),0,0)</f>
        <v>2.43E-4</v>
      </c>
      <c r="E183" s="1">
        <f t="shared" si="17"/>
        <v>2.0249999999999998E-5</v>
      </c>
      <c r="F183" s="1">
        <f t="shared" si="21"/>
        <v>0.99997974999999995</v>
      </c>
      <c r="G183" s="1">
        <f t="shared" si="22"/>
        <v>0.99320395126399941</v>
      </c>
      <c r="H183" s="34">
        <f t="shared" si="18"/>
        <v>0.49289585217229204</v>
      </c>
      <c r="I183" s="36">
        <f t="shared" si="19"/>
        <v>0.48954610793915659</v>
      </c>
    </row>
    <row r="184" spans="2:9" x14ac:dyDescent="0.35">
      <c r="B184" s="16">
        <f t="shared" si="20"/>
        <v>14.583333333333368</v>
      </c>
      <c r="C184" s="17">
        <f t="shared" si="16"/>
        <v>14.583333333333368</v>
      </c>
      <c r="D184" s="1" cm="1">
        <f t="array" ref="D184">_xlfn.XLOOKUP(_xlfn.FLOOR.MATH(C184),'Mortality Tables'!$B$4:$B$124,_xlfn.XLOOKUP(mortality_table,'Mortality Tables'!$B$3:$G$3,'Mortality Tables'!$B$4:$G$124,0,0),0,0)</f>
        <v>2.43E-4</v>
      </c>
      <c r="E184" s="1">
        <f t="shared" si="17"/>
        <v>2.0249999999999998E-5</v>
      </c>
      <c r="F184" s="1">
        <f t="shared" si="21"/>
        <v>0.99997974999999995</v>
      </c>
      <c r="G184" s="1">
        <f t="shared" si="22"/>
        <v>0.9931838388839862</v>
      </c>
      <c r="H184" s="34">
        <f t="shared" si="18"/>
        <v>0.49089588158582814</v>
      </c>
      <c r="I184" s="36">
        <f t="shared" si="19"/>
        <v>0.48754985616575153</v>
      </c>
    </row>
    <row r="185" spans="2:9" x14ac:dyDescent="0.35">
      <c r="B185" s="16">
        <f t="shared" si="20"/>
        <v>14.666666666666702</v>
      </c>
      <c r="C185" s="17">
        <f t="shared" si="16"/>
        <v>14.666666666666702</v>
      </c>
      <c r="D185" s="1" cm="1">
        <f t="array" ref="D185">_xlfn.XLOOKUP(_xlfn.FLOOR.MATH(C185),'Mortality Tables'!$B$4:$B$124,_xlfn.XLOOKUP(mortality_table,'Mortality Tables'!$B$3:$G$3,'Mortality Tables'!$B$4:$G$124,0,0),0,0)</f>
        <v>2.43E-4</v>
      </c>
      <c r="E185" s="1">
        <f t="shared" si="17"/>
        <v>2.0249999999999998E-5</v>
      </c>
      <c r="F185" s="1">
        <f t="shared" si="21"/>
        <v>0.99997974999999995</v>
      </c>
      <c r="G185" s="1">
        <f t="shared" si="22"/>
        <v>0.99316372691124877</v>
      </c>
      <c r="H185" s="34">
        <f t="shared" si="18"/>
        <v>0.48890402606531402</v>
      </c>
      <c r="I185" s="36">
        <f t="shared" si="19"/>
        <v>0.48556174462894158</v>
      </c>
    </row>
    <row r="186" spans="2:9" x14ac:dyDescent="0.35">
      <c r="B186" s="16">
        <f t="shared" si="20"/>
        <v>14.750000000000036</v>
      </c>
      <c r="C186" s="17">
        <f t="shared" si="16"/>
        <v>14.750000000000036</v>
      </c>
      <c r="D186" s="1" cm="1">
        <f t="array" ref="D186">_xlfn.XLOOKUP(_xlfn.FLOOR.MATH(C186),'Mortality Tables'!$B$4:$B$124,_xlfn.XLOOKUP(mortality_table,'Mortality Tables'!$B$3:$G$3,'Mortality Tables'!$B$4:$G$124,0,0),0,0)</f>
        <v>2.43E-4</v>
      </c>
      <c r="E186" s="1">
        <f t="shared" si="17"/>
        <v>2.0249999999999998E-5</v>
      </c>
      <c r="F186" s="1">
        <f t="shared" si="21"/>
        <v>0.99997974999999995</v>
      </c>
      <c r="G186" s="1">
        <f t="shared" si="22"/>
        <v>0.99314361534577877</v>
      </c>
      <c r="H186" s="34">
        <f t="shared" si="18"/>
        <v>0.48692025268311767</v>
      </c>
      <c r="I186" s="36">
        <f t="shared" si="19"/>
        <v>0.4835817401347916</v>
      </c>
    </row>
    <row r="187" spans="2:9" x14ac:dyDescent="0.35">
      <c r="B187" s="16">
        <f t="shared" si="20"/>
        <v>14.833333333333369</v>
      </c>
      <c r="C187" s="17">
        <f t="shared" si="16"/>
        <v>14.833333333333369</v>
      </c>
      <c r="D187" s="1" cm="1">
        <f t="array" ref="D187">_xlfn.XLOOKUP(_xlfn.FLOOR.MATH(C187),'Mortality Tables'!$B$4:$B$124,_xlfn.XLOOKUP(mortality_table,'Mortality Tables'!$B$3:$G$3,'Mortality Tables'!$B$4:$G$124,0,0),0,0)</f>
        <v>2.43E-4</v>
      </c>
      <c r="E187" s="1">
        <f t="shared" si="17"/>
        <v>2.0249999999999998E-5</v>
      </c>
      <c r="F187" s="1">
        <f t="shared" si="21"/>
        <v>0.99997974999999995</v>
      </c>
      <c r="G187" s="1">
        <f t="shared" si="22"/>
        <v>0.99312350418756801</v>
      </c>
      <c r="H187" s="34">
        <f t="shared" si="18"/>
        <v>0.48494452864521409</v>
      </c>
      <c r="I187" s="36">
        <f t="shared" si="19"/>
        <v>0.48160980962472349</v>
      </c>
    </row>
    <row r="188" spans="2:9" x14ac:dyDescent="0.35">
      <c r="B188" s="16">
        <f t="shared" si="20"/>
        <v>14.916666666666703</v>
      </c>
      <c r="C188" s="17">
        <f t="shared" si="16"/>
        <v>14.916666666666703</v>
      </c>
      <c r="D188" s="1" cm="1">
        <f t="array" ref="D188">_xlfn.XLOOKUP(_xlfn.FLOOR.MATH(C188),'Mortality Tables'!$B$4:$B$124,_xlfn.XLOOKUP(mortality_table,'Mortality Tables'!$B$3:$G$3,'Mortality Tables'!$B$4:$G$124,0,0),0,0)</f>
        <v>2.43E-4</v>
      </c>
      <c r="E188" s="1">
        <f t="shared" si="17"/>
        <v>2.0249999999999998E-5</v>
      </c>
      <c r="F188" s="1">
        <f t="shared" si="21"/>
        <v>0.99997974999999995</v>
      </c>
      <c r="G188" s="1">
        <f t="shared" si="22"/>
        <v>0.99310339343660814</v>
      </c>
      <c r="H188" s="34">
        <f t="shared" si="18"/>
        <v>0.48297682129064301</v>
      </c>
      <c r="I188" s="36">
        <f t="shared" si="19"/>
        <v>0.47964592017496382</v>
      </c>
    </row>
    <row r="189" spans="2:9" x14ac:dyDescent="0.35">
      <c r="B189" s="16">
        <f t="shared" si="20"/>
        <v>15.000000000000037</v>
      </c>
      <c r="C189" s="17">
        <f t="shared" si="16"/>
        <v>15.000000000000037</v>
      </c>
      <c r="D189" s="1" cm="1">
        <f t="array" ref="D189">_xlfn.XLOOKUP(_xlfn.FLOOR.MATH(C189),'Mortality Tables'!$B$4:$B$124,_xlfn.XLOOKUP(mortality_table,'Mortality Tables'!$B$3:$G$3,'Mortality Tables'!$B$4:$G$124,0,0),0,0)</f>
        <v>3.3E-4</v>
      </c>
      <c r="E189" s="1">
        <f t="shared" si="17"/>
        <v>2.7499999999999998E-5</v>
      </c>
      <c r="F189" s="1">
        <f t="shared" si="21"/>
        <v>0.99997250000000004</v>
      </c>
      <c r="G189" s="1">
        <f t="shared" si="22"/>
        <v>0.99308328309289096</v>
      </c>
      <c r="H189" s="34">
        <f t="shared" si="18"/>
        <v>0.48101709809096915</v>
      </c>
      <c r="I189" s="36">
        <f t="shared" si="19"/>
        <v>0.47769003899599483</v>
      </c>
    </row>
    <row r="190" spans="2:9" x14ac:dyDescent="0.35">
      <c r="B190" s="16">
        <f t="shared" si="20"/>
        <v>15.083333333333371</v>
      </c>
      <c r="C190" s="17">
        <f t="shared" si="16"/>
        <v>15.083333333333371</v>
      </c>
      <c r="D190" s="1" cm="1">
        <f t="array" ref="D190">_xlfn.XLOOKUP(_xlfn.FLOOR.MATH(C190),'Mortality Tables'!$B$4:$B$124,_xlfn.XLOOKUP(mortality_table,'Mortality Tables'!$B$3:$G$3,'Mortality Tables'!$B$4:$G$124,0,0),0,0)</f>
        <v>3.3E-4</v>
      </c>
      <c r="E190" s="1">
        <f t="shared" si="17"/>
        <v>2.7499999999999998E-5</v>
      </c>
      <c r="F190" s="1">
        <f t="shared" si="21"/>
        <v>0.99997250000000004</v>
      </c>
      <c r="G190" s="1">
        <f t="shared" si="22"/>
        <v>0.99305597330260598</v>
      </c>
      <c r="H190" s="34">
        <f t="shared" si="18"/>
        <v>0.47906532664974416</v>
      </c>
      <c r="I190" s="36">
        <f t="shared" si="19"/>
        <v>0.47573868423169252</v>
      </c>
    </row>
    <row r="191" spans="2:9" x14ac:dyDescent="0.35">
      <c r="B191" s="16">
        <f t="shared" si="20"/>
        <v>15.166666666666705</v>
      </c>
      <c r="C191" s="17">
        <f t="shared" si="16"/>
        <v>15.166666666666705</v>
      </c>
      <c r="D191" s="1" cm="1">
        <f t="array" ref="D191">_xlfn.XLOOKUP(_xlfn.FLOOR.MATH(C191),'Mortality Tables'!$B$4:$B$124,_xlfn.XLOOKUP(mortality_table,'Mortality Tables'!$B$3:$G$3,'Mortality Tables'!$B$4:$G$124,0,0),0,0)</f>
        <v>3.3E-4</v>
      </c>
      <c r="E191" s="1">
        <f t="shared" si="17"/>
        <v>2.7499999999999998E-5</v>
      </c>
      <c r="F191" s="1">
        <f t="shared" si="21"/>
        <v>0.99997250000000004</v>
      </c>
      <c r="G191" s="1">
        <f t="shared" si="22"/>
        <v>0.99302866426334024</v>
      </c>
      <c r="H191" s="34">
        <f t="shared" si="18"/>
        <v>0.47712147470197147</v>
      </c>
      <c r="I191" s="36">
        <f t="shared" si="19"/>
        <v>0.47379530071465381</v>
      </c>
    </row>
    <row r="192" spans="2:9" x14ac:dyDescent="0.35">
      <c r="B192" s="16">
        <f t="shared" si="20"/>
        <v>15.250000000000039</v>
      </c>
      <c r="C192" s="17">
        <f t="shared" si="16"/>
        <v>15.250000000000039</v>
      </c>
      <c r="D192" s="1" cm="1">
        <f t="array" ref="D192">_xlfn.XLOOKUP(_xlfn.FLOOR.MATH(C192),'Mortality Tables'!$B$4:$B$124,_xlfn.XLOOKUP(mortality_table,'Mortality Tables'!$B$3:$G$3,'Mortality Tables'!$B$4:$G$124,0,0),0,0)</f>
        <v>3.3E-4</v>
      </c>
      <c r="E192" s="1">
        <f t="shared" si="17"/>
        <v>2.7499999999999998E-5</v>
      </c>
      <c r="F192" s="1">
        <f t="shared" si="21"/>
        <v>0.99997250000000004</v>
      </c>
      <c r="G192" s="1">
        <f t="shared" si="22"/>
        <v>0.993001355975073</v>
      </c>
      <c r="H192" s="34">
        <f t="shared" si="18"/>
        <v>0.47518551011357274</v>
      </c>
      <c r="I192" s="36">
        <f t="shared" si="19"/>
        <v>0.47185985588248447</v>
      </c>
    </row>
    <row r="193" spans="2:9" x14ac:dyDescent="0.35">
      <c r="B193" s="16">
        <f t="shared" si="20"/>
        <v>15.333333333333373</v>
      </c>
      <c r="C193" s="17">
        <f t="shared" si="16"/>
        <v>15.333333333333373</v>
      </c>
      <c r="D193" s="1" cm="1">
        <f t="array" ref="D193">_xlfn.XLOOKUP(_xlfn.FLOOR.MATH(C193),'Mortality Tables'!$B$4:$B$124,_xlfn.XLOOKUP(mortality_table,'Mortality Tables'!$B$3:$G$3,'Mortality Tables'!$B$4:$G$124,0,0),0,0)</f>
        <v>3.3E-4</v>
      </c>
      <c r="E193" s="1">
        <f t="shared" si="17"/>
        <v>2.7499999999999998E-5</v>
      </c>
      <c r="F193" s="1">
        <f t="shared" si="21"/>
        <v>0.99997250000000004</v>
      </c>
      <c r="G193" s="1">
        <f t="shared" si="22"/>
        <v>0.9929740484377837</v>
      </c>
      <c r="H193" s="34">
        <f t="shared" si="18"/>
        <v>0.47325740088085638</v>
      </c>
      <c r="I193" s="36">
        <f t="shared" si="19"/>
        <v>0.46993231730580709</v>
      </c>
    </row>
    <row r="194" spans="2:9" x14ac:dyDescent="0.35">
      <c r="B194" s="16">
        <f t="shared" si="20"/>
        <v>15.416666666666707</v>
      </c>
      <c r="C194" s="17">
        <f t="shared" si="16"/>
        <v>15.416666666666707</v>
      </c>
      <c r="D194" s="1" cm="1">
        <f t="array" ref="D194">_xlfn.XLOOKUP(_xlfn.FLOOR.MATH(C194),'Mortality Tables'!$B$4:$B$124,_xlfn.XLOOKUP(mortality_table,'Mortality Tables'!$B$3:$G$3,'Mortality Tables'!$B$4:$G$124,0,0),0,0)</f>
        <v>3.3E-4</v>
      </c>
      <c r="E194" s="1">
        <f t="shared" si="17"/>
        <v>2.7499999999999998E-5</v>
      </c>
      <c r="F194" s="1">
        <f t="shared" si="21"/>
        <v>0.99997250000000004</v>
      </c>
      <c r="G194" s="1">
        <f t="shared" si="22"/>
        <v>0.99294674165145169</v>
      </c>
      <c r="H194" s="34">
        <f t="shared" si="18"/>
        <v>0.4713371151299891</v>
      </c>
      <c r="I194" s="36">
        <f t="shared" si="19"/>
        <v>0.46801265268771786</v>
      </c>
    </row>
    <row r="195" spans="2:9" x14ac:dyDescent="0.35">
      <c r="B195" s="16">
        <f t="shared" si="20"/>
        <v>15.500000000000041</v>
      </c>
      <c r="C195" s="17">
        <f t="shared" si="16"/>
        <v>15.500000000000041</v>
      </c>
      <c r="D195" s="1" cm="1">
        <f t="array" ref="D195">_xlfn.XLOOKUP(_xlfn.FLOOR.MATH(C195),'Mortality Tables'!$B$4:$B$124,_xlfn.XLOOKUP(mortality_table,'Mortality Tables'!$B$3:$G$3,'Mortality Tables'!$B$4:$G$124,0,0),0,0)</f>
        <v>3.3E-4</v>
      </c>
      <c r="E195" s="1">
        <f t="shared" si="17"/>
        <v>2.7499999999999998E-5</v>
      </c>
      <c r="F195" s="1">
        <f t="shared" si="21"/>
        <v>0.99997250000000004</v>
      </c>
      <c r="G195" s="1">
        <f t="shared" si="22"/>
        <v>0.99291943561605633</v>
      </c>
      <c r="H195" s="34">
        <f t="shared" si="18"/>
        <v>0.46942462111646838</v>
      </c>
      <c r="I195" s="36">
        <f t="shared" si="19"/>
        <v>0.46610082986324486</v>
      </c>
    </row>
    <row r="196" spans="2:9" x14ac:dyDescent="0.35">
      <c r="B196" s="16">
        <f t="shared" si="20"/>
        <v>15.583333333333375</v>
      </c>
      <c r="C196" s="17">
        <f t="shared" si="16"/>
        <v>15.583333333333375</v>
      </c>
      <c r="D196" s="1" cm="1">
        <f t="array" ref="D196">_xlfn.XLOOKUP(_xlfn.FLOOR.MATH(C196),'Mortality Tables'!$B$4:$B$124,_xlfn.XLOOKUP(mortality_table,'Mortality Tables'!$B$3:$G$3,'Mortality Tables'!$B$4:$G$124,0,0),0,0)</f>
        <v>3.3E-4</v>
      </c>
      <c r="E196" s="1">
        <f t="shared" si="17"/>
        <v>2.7499999999999998E-5</v>
      </c>
      <c r="F196" s="1">
        <f t="shared" si="21"/>
        <v>0.99997250000000004</v>
      </c>
      <c r="G196" s="1">
        <f t="shared" si="22"/>
        <v>0.99289213033157697</v>
      </c>
      <c r="H196" s="34">
        <f t="shared" si="18"/>
        <v>0.46751988722459814</v>
      </c>
      <c r="I196" s="36">
        <f t="shared" si="19"/>
        <v>0.46419681679880986</v>
      </c>
    </row>
    <row r="197" spans="2:9" x14ac:dyDescent="0.35">
      <c r="B197" s="16">
        <f t="shared" si="20"/>
        <v>15.666666666666709</v>
      </c>
      <c r="C197" s="17">
        <f t="shared" si="16"/>
        <v>15.666666666666709</v>
      </c>
      <c r="D197" s="1" cm="1">
        <f t="array" ref="D197">_xlfn.XLOOKUP(_xlfn.FLOOR.MATH(C197),'Mortality Tables'!$B$4:$B$124,_xlfn.XLOOKUP(mortality_table,'Mortality Tables'!$B$3:$G$3,'Mortality Tables'!$B$4:$G$124,0,0),0,0)</f>
        <v>3.3E-4</v>
      </c>
      <c r="E197" s="1">
        <f t="shared" si="17"/>
        <v>2.7499999999999998E-5</v>
      </c>
      <c r="F197" s="1">
        <f t="shared" si="21"/>
        <v>0.99997250000000004</v>
      </c>
      <c r="G197" s="1">
        <f t="shared" si="22"/>
        <v>0.99286482579799284</v>
      </c>
      <c r="H197" s="34">
        <f t="shared" si="18"/>
        <v>0.46562288196696566</v>
      </c>
      <c r="I197" s="36">
        <f t="shared" si="19"/>
        <v>0.46230058159169074</v>
      </c>
    </row>
    <row r="198" spans="2:9" x14ac:dyDescent="0.35">
      <c r="B198" s="16">
        <f t="shared" si="20"/>
        <v>15.750000000000043</v>
      </c>
      <c r="C198" s="17">
        <f t="shared" si="16"/>
        <v>15.750000000000043</v>
      </c>
      <c r="D198" s="1" cm="1">
        <f t="array" ref="D198">_xlfn.XLOOKUP(_xlfn.FLOOR.MATH(C198),'Mortality Tables'!$B$4:$B$124,_xlfn.XLOOKUP(mortality_table,'Mortality Tables'!$B$3:$G$3,'Mortality Tables'!$B$4:$G$124,0,0),0,0)</f>
        <v>3.3E-4</v>
      </c>
      <c r="E198" s="1">
        <f t="shared" si="17"/>
        <v>2.7499999999999998E-5</v>
      </c>
      <c r="F198" s="1">
        <f t="shared" si="21"/>
        <v>0.99997250000000004</v>
      </c>
      <c r="G198" s="1">
        <f t="shared" si="22"/>
        <v>0.99283752201528341</v>
      </c>
      <c r="H198" s="34">
        <f t="shared" si="18"/>
        <v>0.46373357398392145</v>
      </c>
      <c r="I198" s="36">
        <f t="shared" si="19"/>
        <v>0.46041209246948767</v>
      </c>
    </row>
    <row r="199" spans="2:9" x14ac:dyDescent="0.35">
      <c r="B199" s="16">
        <f t="shared" si="20"/>
        <v>15.833333333333377</v>
      </c>
      <c r="C199" s="17">
        <f t="shared" si="16"/>
        <v>15.833333333333377</v>
      </c>
      <c r="D199" s="1" cm="1">
        <f t="array" ref="D199">_xlfn.XLOOKUP(_xlfn.FLOOR.MATH(C199),'Mortality Tables'!$B$4:$B$124,_xlfn.XLOOKUP(mortality_table,'Mortality Tables'!$B$3:$G$3,'Mortality Tables'!$B$4:$G$124,0,0),0,0)</f>
        <v>3.3E-4</v>
      </c>
      <c r="E199" s="1">
        <f t="shared" si="17"/>
        <v>2.7499999999999998E-5</v>
      </c>
      <c r="F199" s="1">
        <f t="shared" si="21"/>
        <v>0.99997250000000004</v>
      </c>
      <c r="G199" s="1">
        <f t="shared" si="22"/>
        <v>0.99281021898342803</v>
      </c>
      <c r="H199" s="34">
        <f t="shared" si="18"/>
        <v>0.46185193204306085</v>
      </c>
      <c r="I199" s="36">
        <f t="shared" si="19"/>
        <v>0.45853131778959055</v>
      </c>
    </row>
    <row r="200" spans="2:9" x14ac:dyDescent="0.35">
      <c r="B200" s="16">
        <f t="shared" si="20"/>
        <v>15.91666666666671</v>
      </c>
      <c r="C200" s="17">
        <f t="shared" si="16"/>
        <v>15.91666666666671</v>
      </c>
      <c r="D200" s="1" cm="1">
        <f t="array" ref="D200">_xlfn.XLOOKUP(_xlfn.FLOOR.MATH(C200),'Mortality Tables'!$B$4:$B$124,_xlfn.XLOOKUP(mortality_table,'Mortality Tables'!$B$3:$G$3,'Mortality Tables'!$B$4:$G$124,0,0),0,0)</f>
        <v>3.3E-4</v>
      </c>
      <c r="E200" s="1">
        <f t="shared" si="17"/>
        <v>2.7499999999999998E-5</v>
      </c>
      <c r="F200" s="1">
        <f t="shared" si="21"/>
        <v>0.99997250000000004</v>
      </c>
      <c r="G200" s="1">
        <f t="shared" si="22"/>
        <v>0.99278291670240604</v>
      </c>
      <c r="H200" s="34">
        <f t="shared" si="18"/>
        <v>0.45997792503870744</v>
      </c>
      <c r="I200" s="36">
        <f t="shared" si="19"/>
        <v>0.45665822603864864</v>
      </c>
    </row>
    <row r="201" spans="2:9" x14ac:dyDescent="0.35">
      <c r="B201" s="16">
        <f t="shared" si="20"/>
        <v>16.000000000000043</v>
      </c>
      <c r="C201" s="17">
        <f t="shared" ref="C201:C264" si="23">current_age+B201</f>
        <v>16.000000000000043</v>
      </c>
      <c r="D201" s="1" cm="1">
        <f t="array" ref="D201">_xlfn.XLOOKUP(_xlfn.FLOOR.MATH(C201),'Mortality Tables'!$B$4:$B$124,_xlfn.XLOOKUP(mortality_table,'Mortality Tables'!$B$3:$G$3,'Mortality Tables'!$B$4:$G$124,0,0),0,0)</f>
        <v>4.2299999999999998E-4</v>
      </c>
      <c r="E201" s="1">
        <f t="shared" ref="E201:E264" si="24">$F$5*D201</f>
        <v>3.5249999999999996E-5</v>
      </c>
      <c r="F201" s="1">
        <f t="shared" si="21"/>
        <v>0.99996474999999996</v>
      </c>
      <c r="G201" s="1">
        <f t="shared" si="22"/>
        <v>0.99275561517219679</v>
      </c>
      <c r="H201" s="34">
        <f t="shared" ref="H201:H264" si="25">(1+interest_rate)^-(B201)</f>
        <v>0.45811152199139898</v>
      </c>
      <c r="I201" s="36">
        <f t="shared" ref="I201:I264" si="26">IF(current_age+B201&lt;=$C$5,G201*H201,0)</f>
        <v>0.45479278583204263</v>
      </c>
    </row>
    <row r="202" spans="2:9" x14ac:dyDescent="0.35">
      <c r="B202" s="16">
        <f t="shared" ref="B202:B265" si="27">B201+$F$5</f>
        <v>16.083333333333375</v>
      </c>
      <c r="C202" s="17">
        <f t="shared" si="23"/>
        <v>16.083333333333375</v>
      </c>
      <c r="D202" s="1" cm="1">
        <f t="array" ref="D202">_xlfn.XLOOKUP(_xlfn.FLOOR.MATH(C202),'Mortality Tables'!$B$4:$B$124,_xlfn.XLOOKUP(mortality_table,'Mortality Tables'!$B$3:$G$3,'Mortality Tables'!$B$4:$G$124,0,0),0,0)</f>
        <v>4.2299999999999998E-4</v>
      </c>
      <c r="E202" s="1">
        <f t="shared" si="24"/>
        <v>3.5249999999999996E-5</v>
      </c>
      <c r="F202" s="1">
        <f t="shared" si="21"/>
        <v>0.99996474999999996</v>
      </c>
      <c r="G202" s="1">
        <f t="shared" si="22"/>
        <v>0.99272062053676191</v>
      </c>
      <c r="H202" s="34">
        <f t="shared" si="25"/>
        <v>0.45625269204737529</v>
      </c>
      <c r="I202" s="36">
        <f t="shared" si="26"/>
        <v>0.45293145557083853</v>
      </c>
    </row>
    <row r="203" spans="2:9" x14ac:dyDescent="0.35">
      <c r="B203" s="16">
        <f t="shared" si="27"/>
        <v>16.166666666666707</v>
      </c>
      <c r="C203" s="17">
        <f t="shared" si="23"/>
        <v>16.166666666666707</v>
      </c>
      <c r="D203" s="1" cm="1">
        <f t="array" ref="D203">_xlfn.XLOOKUP(_xlfn.FLOOR.MATH(C203),'Mortality Tables'!$B$4:$B$124,_xlfn.XLOOKUP(mortality_table,'Mortality Tables'!$B$3:$G$3,'Mortality Tables'!$B$4:$G$124,0,0),0,0)</f>
        <v>4.2299999999999998E-4</v>
      </c>
      <c r="E203" s="1">
        <f t="shared" si="24"/>
        <v>3.5249999999999996E-5</v>
      </c>
      <c r="F203" s="1">
        <f t="shared" si="21"/>
        <v>0.99996474999999996</v>
      </c>
      <c r="G203" s="1">
        <f t="shared" si="22"/>
        <v>0.99268562713488795</v>
      </c>
      <c r="H203" s="34">
        <f t="shared" si="25"/>
        <v>0.45440140447806804</v>
      </c>
      <c r="I203" s="36">
        <f t="shared" si="26"/>
        <v>0.45107774317528487</v>
      </c>
    </row>
    <row r="204" spans="2:9" x14ac:dyDescent="0.35">
      <c r="B204" s="16">
        <f t="shared" si="27"/>
        <v>16.250000000000039</v>
      </c>
      <c r="C204" s="17">
        <f t="shared" si="23"/>
        <v>16.250000000000039</v>
      </c>
      <c r="D204" s="1" cm="1">
        <f t="array" ref="D204">_xlfn.XLOOKUP(_xlfn.FLOOR.MATH(C204),'Mortality Tables'!$B$4:$B$124,_xlfn.XLOOKUP(mortality_table,'Mortality Tables'!$B$3:$G$3,'Mortality Tables'!$B$4:$G$124,0,0),0,0)</f>
        <v>4.2299999999999998E-4</v>
      </c>
      <c r="E204" s="1">
        <f t="shared" si="24"/>
        <v>3.5249999999999996E-5</v>
      </c>
      <c r="F204" s="1">
        <f t="shared" si="21"/>
        <v>0.99996474999999996</v>
      </c>
      <c r="G204" s="1">
        <f t="shared" si="22"/>
        <v>0.99265063496653139</v>
      </c>
      <c r="H204" s="34">
        <f t="shared" si="25"/>
        <v>0.45255762867959298</v>
      </c>
      <c r="I204" s="36">
        <f t="shared" si="26"/>
        <v>0.4492316174677457</v>
      </c>
    </row>
    <row r="205" spans="2:9" x14ac:dyDescent="0.35">
      <c r="B205" s="16">
        <f t="shared" si="27"/>
        <v>16.333333333333371</v>
      </c>
      <c r="C205" s="17">
        <f t="shared" si="23"/>
        <v>16.333333333333371</v>
      </c>
      <c r="D205" s="1" cm="1">
        <f t="array" ref="D205">_xlfn.XLOOKUP(_xlfn.FLOOR.MATH(C205),'Mortality Tables'!$B$4:$B$124,_xlfn.XLOOKUP(mortality_table,'Mortality Tables'!$B$3:$G$3,'Mortality Tables'!$B$4:$G$124,0,0),0,0)</f>
        <v>4.2299999999999998E-4</v>
      </c>
      <c r="E205" s="1">
        <f t="shared" si="24"/>
        <v>3.5249999999999996E-5</v>
      </c>
      <c r="F205" s="1">
        <f t="shared" si="21"/>
        <v>0.99996474999999996</v>
      </c>
      <c r="G205" s="1">
        <f t="shared" si="22"/>
        <v>0.99261564403164881</v>
      </c>
      <c r="H205" s="34">
        <f t="shared" si="25"/>
        <v>0.45072133417224419</v>
      </c>
      <c r="I205" s="36">
        <f t="shared" si="26"/>
        <v>0.44739304739818619</v>
      </c>
    </row>
    <row r="206" spans="2:9" x14ac:dyDescent="0.35">
      <c r="B206" s="16">
        <f t="shared" si="27"/>
        <v>16.416666666666703</v>
      </c>
      <c r="C206" s="17">
        <f t="shared" si="23"/>
        <v>16.416666666666703</v>
      </c>
      <c r="D206" s="1" cm="1">
        <f t="array" ref="D206">_xlfn.XLOOKUP(_xlfn.FLOOR.MATH(C206),'Mortality Tables'!$B$4:$B$124,_xlfn.XLOOKUP(mortality_table,'Mortality Tables'!$B$3:$G$3,'Mortality Tables'!$B$4:$G$124,0,0),0,0)</f>
        <v>4.2299999999999998E-4</v>
      </c>
      <c r="E206" s="1">
        <f t="shared" si="24"/>
        <v>3.5249999999999996E-5</v>
      </c>
      <c r="F206" s="1">
        <f t="shared" si="21"/>
        <v>0.99996474999999996</v>
      </c>
      <c r="G206" s="1">
        <f t="shared" si="22"/>
        <v>0.99258065433019671</v>
      </c>
      <c r="H206" s="34">
        <f t="shared" si="25"/>
        <v>0.4488924905999897</v>
      </c>
      <c r="I206" s="36">
        <f t="shared" si="26"/>
        <v>0.44556200204364943</v>
      </c>
    </row>
    <row r="207" spans="2:9" x14ac:dyDescent="0.35">
      <c r="B207" s="16">
        <f t="shared" si="27"/>
        <v>16.500000000000036</v>
      </c>
      <c r="C207" s="17">
        <f t="shared" si="23"/>
        <v>16.500000000000036</v>
      </c>
      <c r="D207" s="1" cm="1">
        <f t="array" ref="D207">_xlfn.XLOOKUP(_xlfn.FLOOR.MATH(C207),'Mortality Tables'!$B$4:$B$124,_xlfn.XLOOKUP(mortality_table,'Mortality Tables'!$B$3:$G$3,'Mortality Tables'!$B$4:$G$124,0,0),0,0)</f>
        <v>4.2299999999999998E-4</v>
      </c>
      <c r="E207" s="1">
        <f t="shared" si="24"/>
        <v>3.5249999999999996E-5</v>
      </c>
      <c r="F207" s="1">
        <f t="shared" si="21"/>
        <v>0.99996474999999996</v>
      </c>
      <c r="G207" s="1">
        <f t="shared" si="22"/>
        <v>0.99254566586213155</v>
      </c>
      <c r="H207" s="34">
        <f t="shared" si="25"/>
        <v>0.44707106772997002</v>
      </c>
      <c r="I207" s="36">
        <f t="shared" si="26"/>
        <v>0.4437384506077372</v>
      </c>
    </row>
    <row r="208" spans="2:9" x14ac:dyDescent="0.35">
      <c r="B208" s="16">
        <f t="shared" si="27"/>
        <v>16.583333333333368</v>
      </c>
      <c r="C208" s="17">
        <f t="shared" si="23"/>
        <v>16.583333333333368</v>
      </c>
      <c r="D208" s="1" cm="1">
        <f t="array" ref="D208">_xlfn.XLOOKUP(_xlfn.FLOOR.MATH(C208),'Mortality Tables'!$B$4:$B$124,_xlfn.XLOOKUP(mortality_table,'Mortality Tables'!$B$3:$G$3,'Mortality Tables'!$B$4:$G$124,0,0),0,0)</f>
        <v>4.2299999999999998E-4</v>
      </c>
      <c r="E208" s="1">
        <f t="shared" si="24"/>
        <v>3.5249999999999996E-5</v>
      </c>
      <c r="F208" s="1">
        <f t="shared" si="21"/>
        <v>0.99996474999999996</v>
      </c>
      <c r="G208" s="1">
        <f t="shared" si="22"/>
        <v>0.99251067862740983</v>
      </c>
      <c r="H208" s="34">
        <f t="shared" si="25"/>
        <v>0.44525703545199835</v>
      </c>
      <c r="I208" s="36">
        <f t="shared" si="26"/>
        <v>0.44192236242009159</v>
      </c>
    </row>
    <row r="209" spans="2:9" x14ac:dyDescent="0.35">
      <c r="B209" s="16">
        <f t="shared" si="27"/>
        <v>16.6666666666667</v>
      </c>
      <c r="C209" s="17">
        <f t="shared" si="23"/>
        <v>16.6666666666667</v>
      </c>
      <c r="D209" s="1" cm="1">
        <f t="array" ref="D209">_xlfn.XLOOKUP(_xlfn.FLOOR.MATH(C209),'Mortality Tables'!$B$4:$B$124,_xlfn.XLOOKUP(mortality_table,'Mortality Tables'!$B$3:$G$3,'Mortality Tables'!$B$4:$G$124,0,0),0,0)</f>
        <v>4.2299999999999998E-4</v>
      </c>
      <c r="E209" s="1">
        <f t="shared" si="24"/>
        <v>3.5249999999999996E-5</v>
      </c>
      <c r="F209" s="1">
        <f t="shared" si="21"/>
        <v>0.99996474999999996</v>
      </c>
      <c r="G209" s="1">
        <f t="shared" si="22"/>
        <v>0.99247569262598812</v>
      </c>
      <c r="H209" s="34">
        <f t="shared" si="25"/>
        <v>0.44345036377806263</v>
      </c>
      <c r="I209" s="36">
        <f t="shared" si="26"/>
        <v>0.44011370693587909</v>
      </c>
    </row>
    <row r="210" spans="2:9" x14ac:dyDescent="0.35">
      <c r="B210" s="16">
        <f t="shared" si="27"/>
        <v>16.750000000000032</v>
      </c>
      <c r="C210" s="17">
        <f t="shared" si="23"/>
        <v>16.750000000000032</v>
      </c>
      <c r="D210" s="1" cm="1">
        <f t="array" ref="D210">_xlfn.XLOOKUP(_xlfn.FLOOR.MATH(C210),'Mortality Tables'!$B$4:$B$124,_xlfn.XLOOKUP(mortality_table,'Mortality Tables'!$B$3:$G$3,'Mortality Tables'!$B$4:$G$124,0,0),0,0)</f>
        <v>4.2299999999999998E-4</v>
      </c>
      <c r="E210" s="1">
        <f t="shared" si="24"/>
        <v>3.5249999999999996E-5</v>
      </c>
      <c r="F210" s="1">
        <f t="shared" si="21"/>
        <v>0.99996474999999996</v>
      </c>
      <c r="G210" s="1">
        <f t="shared" si="22"/>
        <v>0.99244070785782301</v>
      </c>
      <c r="H210" s="34">
        <f t="shared" si="25"/>
        <v>0.44165102284183022</v>
      </c>
      <c r="I210" s="36">
        <f t="shared" si="26"/>
        <v>0.43831245373527755</v>
      </c>
    </row>
    <row r="211" spans="2:9" x14ac:dyDescent="0.35">
      <c r="B211" s="16">
        <f t="shared" si="27"/>
        <v>16.833333333333364</v>
      </c>
      <c r="C211" s="17">
        <f t="shared" si="23"/>
        <v>16.833333333333364</v>
      </c>
      <c r="D211" s="1" cm="1">
        <f t="array" ref="D211">_xlfn.XLOOKUP(_xlfn.FLOOR.MATH(C211),'Mortality Tables'!$B$4:$B$124,_xlfn.XLOOKUP(mortality_table,'Mortality Tables'!$B$3:$G$3,'Mortality Tables'!$B$4:$G$124,0,0),0,0)</f>
        <v>4.2299999999999998E-4</v>
      </c>
      <c r="E211" s="1">
        <f t="shared" si="24"/>
        <v>3.5249999999999996E-5</v>
      </c>
      <c r="F211" s="1">
        <f t="shared" si="21"/>
        <v>0.99996474999999996</v>
      </c>
      <c r="G211" s="1">
        <f t="shared" si="22"/>
        <v>0.992405724322871</v>
      </c>
      <c r="H211" s="34">
        <f t="shared" si="25"/>
        <v>0.43985898289815345</v>
      </c>
      <c r="I211" s="36">
        <f t="shared" si="26"/>
        <v>0.43651857252296328</v>
      </c>
    </row>
    <row r="212" spans="2:9" x14ac:dyDescent="0.35">
      <c r="B212" s="16">
        <f t="shared" si="27"/>
        <v>16.916666666666696</v>
      </c>
      <c r="C212" s="17">
        <f t="shared" si="23"/>
        <v>16.916666666666696</v>
      </c>
      <c r="D212" s="1" cm="1">
        <f t="array" ref="D212">_xlfn.XLOOKUP(_xlfn.FLOOR.MATH(C212),'Mortality Tables'!$B$4:$B$124,_xlfn.XLOOKUP(mortality_table,'Mortality Tables'!$B$3:$G$3,'Mortality Tables'!$B$4:$G$124,0,0),0,0)</f>
        <v>4.2299999999999998E-4</v>
      </c>
      <c r="E212" s="1">
        <f t="shared" si="24"/>
        <v>3.5249999999999996E-5</v>
      </c>
      <c r="F212" s="1">
        <f t="shared" si="21"/>
        <v>0.99996474999999996</v>
      </c>
      <c r="G212" s="1">
        <f t="shared" si="22"/>
        <v>0.99237074202108855</v>
      </c>
      <c r="H212" s="34">
        <f t="shared" si="25"/>
        <v>0.43807421432257887</v>
      </c>
      <c r="I212" s="36">
        <f t="shared" si="26"/>
        <v>0.43473203312760295</v>
      </c>
    </row>
    <row r="213" spans="2:9" x14ac:dyDescent="0.35">
      <c r="B213" s="16">
        <f t="shared" si="27"/>
        <v>17.000000000000028</v>
      </c>
      <c r="C213" s="17">
        <f t="shared" si="23"/>
        <v>17.000000000000028</v>
      </c>
      <c r="D213" s="1" cm="1">
        <f t="array" ref="D213">_xlfn.XLOOKUP(_xlfn.FLOOR.MATH(C213),'Mortality Tables'!$B$4:$B$124,_xlfn.XLOOKUP(mortality_table,'Mortality Tables'!$B$3:$G$3,'Mortality Tables'!$B$4:$G$124,0,0),0,0)</f>
        <v>5.9999999999999995E-4</v>
      </c>
      <c r="E213" s="1">
        <f t="shared" si="24"/>
        <v>4.9999999999999996E-5</v>
      </c>
      <c r="F213" s="1">
        <f t="shared" si="21"/>
        <v>0.99995000000000001</v>
      </c>
      <c r="G213" s="1">
        <f t="shared" si="22"/>
        <v>0.99233576095243226</v>
      </c>
      <c r="H213" s="34">
        <f t="shared" si="25"/>
        <v>0.43629668761085655</v>
      </c>
      <c r="I213" s="36">
        <f t="shared" si="26"/>
        <v>0.43295280550134496</v>
      </c>
    </row>
    <row r="214" spans="2:9" x14ac:dyDescent="0.35">
      <c r="B214" s="16">
        <f t="shared" si="27"/>
        <v>17.083333333333361</v>
      </c>
      <c r="C214" s="17">
        <f t="shared" si="23"/>
        <v>17.083333333333361</v>
      </c>
      <c r="D214" s="1" cm="1">
        <f t="array" ref="D214">_xlfn.XLOOKUP(_xlfn.FLOOR.MATH(C214),'Mortality Tables'!$B$4:$B$124,_xlfn.XLOOKUP(mortality_table,'Mortality Tables'!$B$3:$G$3,'Mortality Tables'!$B$4:$G$124,0,0),0,0)</f>
        <v>5.9999999999999995E-4</v>
      </c>
      <c r="E214" s="1">
        <f t="shared" si="24"/>
        <v>4.9999999999999996E-5</v>
      </c>
      <c r="F214" s="1">
        <f t="shared" si="21"/>
        <v>0.99995000000000001</v>
      </c>
      <c r="G214" s="1">
        <f t="shared" si="22"/>
        <v>0.99228614416438465</v>
      </c>
      <c r="H214" s="34">
        <f t="shared" si="25"/>
        <v>0.4345263733784529</v>
      </c>
      <c r="I214" s="36">
        <f t="shared" si="26"/>
        <v>0.43117449957743875</v>
      </c>
    </row>
    <row r="215" spans="2:9" x14ac:dyDescent="0.35">
      <c r="B215" s="16">
        <f t="shared" si="27"/>
        <v>17.166666666666693</v>
      </c>
      <c r="C215" s="17">
        <f t="shared" si="23"/>
        <v>17.166666666666693</v>
      </c>
      <c r="D215" s="1" cm="1">
        <f t="array" ref="D215">_xlfn.XLOOKUP(_xlfn.FLOOR.MATH(C215),'Mortality Tables'!$B$4:$B$124,_xlfn.XLOOKUP(mortality_table,'Mortality Tables'!$B$3:$G$3,'Mortality Tables'!$B$4:$G$124,0,0),0,0)</f>
        <v>5.9999999999999995E-4</v>
      </c>
      <c r="E215" s="1">
        <f t="shared" si="24"/>
        <v>4.9999999999999996E-5</v>
      </c>
      <c r="F215" s="1">
        <f t="shared" si="21"/>
        <v>0.99995000000000001</v>
      </c>
      <c r="G215" s="1">
        <f t="shared" si="22"/>
        <v>0.99223652985717647</v>
      </c>
      <c r="H215" s="34">
        <f t="shared" si="25"/>
        <v>0.43276324236006503</v>
      </c>
      <c r="I215" s="36">
        <f t="shared" si="26"/>
        <v>0.42940349784909115</v>
      </c>
    </row>
    <row r="216" spans="2:9" x14ac:dyDescent="0.35">
      <c r="B216" s="16">
        <f t="shared" si="27"/>
        <v>17.250000000000025</v>
      </c>
      <c r="C216" s="17">
        <f t="shared" si="23"/>
        <v>17.250000000000025</v>
      </c>
      <c r="D216" s="1" cm="1">
        <f t="array" ref="D216">_xlfn.XLOOKUP(_xlfn.FLOOR.MATH(C216),'Mortality Tables'!$B$4:$B$124,_xlfn.XLOOKUP(mortality_table,'Mortality Tables'!$B$3:$G$3,'Mortality Tables'!$B$4:$G$124,0,0),0,0)</f>
        <v>5.9999999999999995E-4</v>
      </c>
      <c r="E216" s="1">
        <f t="shared" si="24"/>
        <v>4.9999999999999996E-5</v>
      </c>
      <c r="F216" s="1">
        <f t="shared" si="21"/>
        <v>0.99995000000000001</v>
      </c>
      <c r="G216" s="1">
        <f t="shared" si="22"/>
        <v>0.9921869180306836</v>
      </c>
      <c r="H216" s="34">
        <f t="shared" si="25"/>
        <v>0.43100726540913642</v>
      </c>
      <c r="I216" s="36">
        <f t="shared" si="26"/>
        <v>0.4276397703151239</v>
      </c>
    </row>
    <row r="217" spans="2:9" x14ac:dyDescent="0.35">
      <c r="B217" s="16">
        <f t="shared" si="27"/>
        <v>17.333333333333357</v>
      </c>
      <c r="C217" s="17">
        <f t="shared" si="23"/>
        <v>17.333333333333357</v>
      </c>
      <c r="D217" s="1" cm="1">
        <f t="array" ref="D217">_xlfn.XLOOKUP(_xlfn.FLOOR.MATH(C217),'Mortality Tables'!$B$4:$B$124,_xlfn.XLOOKUP(mortality_table,'Mortality Tables'!$B$3:$G$3,'Mortality Tables'!$B$4:$G$124,0,0),0,0)</f>
        <v>5.9999999999999995E-4</v>
      </c>
      <c r="E217" s="1">
        <f t="shared" si="24"/>
        <v>4.9999999999999996E-5</v>
      </c>
      <c r="F217" s="1">
        <f t="shared" si="21"/>
        <v>0.99995000000000001</v>
      </c>
      <c r="G217" s="1">
        <f t="shared" si="22"/>
        <v>0.99213730868478212</v>
      </c>
      <c r="H217" s="34">
        <f t="shared" si="25"/>
        <v>0.42925841349737576</v>
      </c>
      <c r="I217" s="36">
        <f t="shared" si="26"/>
        <v>0.42588328709758572</v>
      </c>
    </row>
    <row r="218" spans="2:9" x14ac:dyDescent="0.35">
      <c r="B218" s="16">
        <f t="shared" si="27"/>
        <v>17.416666666666689</v>
      </c>
      <c r="C218" s="17">
        <f t="shared" si="23"/>
        <v>17.416666666666689</v>
      </c>
      <c r="D218" s="1" cm="1">
        <f t="array" ref="D218">_xlfn.XLOOKUP(_xlfn.FLOOR.MATH(C218),'Mortality Tables'!$B$4:$B$124,_xlfn.XLOOKUP(mortality_table,'Mortality Tables'!$B$3:$G$3,'Mortality Tables'!$B$4:$G$124,0,0),0,0)</f>
        <v>5.9999999999999995E-4</v>
      </c>
      <c r="E218" s="1">
        <f t="shared" si="24"/>
        <v>4.9999999999999996E-5</v>
      </c>
      <c r="F218" s="1">
        <f t="shared" si="21"/>
        <v>0.99995000000000001</v>
      </c>
      <c r="G218" s="1">
        <f t="shared" si="22"/>
        <v>0.99208770181934791</v>
      </c>
      <c r="H218" s="34">
        <f t="shared" si="25"/>
        <v>0.42751665771427616</v>
      </c>
      <c r="I218" s="36">
        <f t="shared" si="26"/>
        <v>0.42413401844124504</v>
      </c>
    </row>
    <row r="219" spans="2:9" x14ac:dyDescent="0.35">
      <c r="B219" s="16">
        <f t="shared" si="27"/>
        <v>17.500000000000021</v>
      </c>
      <c r="C219" s="17">
        <f t="shared" si="23"/>
        <v>17.500000000000021</v>
      </c>
      <c r="D219" s="1" cm="1">
        <f t="array" ref="D219">_xlfn.XLOOKUP(_xlfn.FLOOR.MATH(C219),'Mortality Tables'!$B$4:$B$124,_xlfn.XLOOKUP(mortality_table,'Mortality Tables'!$B$3:$G$3,'Mortality Tables'!$B$4:$G$124,0,0),0,0)</f>
        <v>5.9999999999999995E-4</v>
      </c>
      <c r="E219" s="1">
        <f t="shared" si="24"/>
        <v>4.9999999999999996E-5</v>
      </c>
      <c r="F219" s="1">
        <f t="shared" ref="F219:F282" si="28">1-E219</f>
        <v>0.99995000000000001</v>
      </c>
      <c r="G219" s="1">
        <f t="shared" ref="G219:G282" si="29">G218*F218</f>
        <v>0.99203809743425697</v>
      </c>
      <c r="H219" s="34">
        <f t="shared" si="25"/>
        <v>0.42578196926663842</v>
      </c>
      <c r="I219" s="36">
        <f t="shared" si="26"/>
        <v>0.42239193471308722</v>
      </c>
    </row>
    <row r="220" spans="2:9" x14ac:dyDescent="0.35">
      <c r="B220" s="16">
        <f t="shared" si="27"/>
        <v>17.583333333333353</v>
      </c>
      <c r="C220" s="17">
        <f t="shared" si="23"/>
        <v>17.583333333333353</v>
      </c>
      <c r="D220" s="1" cm="1">
        <f t="array" ref="D220">_xlfn.XLOOKUP(_xlfn.FLOOR.MATH(C220),'Mortality Tables'!$B$4:$B$124,_xlfn.XLOOKUP(mortality_table,'Mortality Tables'!$B$3:$G$3,'Mortality Tables'!$B$4:$G$124,0,0),0,0)</f>
        <v>5.9999999999999995E-4</v>
      </c>
      <c r="E220" s="1">
        <f t="shared" si="24"/>
        <v>4.9999999999999996E-5</v>
      </c>
      <c r="F220" s="1">
        <f t="shared" si="28"/>
        <v>0.99995000000000001</v>
      </c>
      <c r="G220" s="1">
        <f t="shared" si="29"/>
        <v>0.99198849552938528</v>
      </c>
      <c r="H220" s="34">
        <f t="shared" si="25"/>
        <v>0.42405431947809386</v>
      </c>
      <c r="I220" s="36">
        <f t="shared" si="26"/>
        <v>0.42065700640181164</v>
      </c>
    </row>
    <row r="221" spans="2:9" x14ac:dyDescent="0.35">
      <c r="B221" s="16">
        <f t="shared" si="27"/>
        <v>17.666666666666686</v>
      </c>
      <c r="C221" s="17">
        <f t="shared" si="23"/>
        <v>17.666666666666686</v>
      </c>
      <c r="D221" s="1" cm="1">
        <f t="array" ref="D221">_xlfn.XLOOKUP(_xlfn.FLOOR.MATH(C221),'Mortality Tables'!$B$4:$B$124,_xlfn.XLOOKUP(mortality_table,'Mortality Tables'!$B$3:$G$3,'Mortality Tables'!$B$4:$G$124,0,0),0,0)</f>
        <v>5.9999999999999995E-4</v>
      </c>
      <c r="E221" s="1">
        <f t="shared" si="24"/>
        <v>4.9999999999999996E-5</v>
      </c>
      <c r="F221" s="1">
        <f t="shared" si="28"/>
        <v>0.99995000000000001</v>
      </c>
      <c r="G221" s="1">
        <f t="shared" si="29"/>
        <v>0.99193889610460884</v>
      </c>
      <c r="H221" s="34">
        <f t="shared" si="25"/>
        <v>0.42233367978863134</v>
      </c>
      <c r="I221" s="36">
        <f t="shared" si="26"/>
        <v>0.41892920411733231</v>
      </c>
    </row>
    <row r="222" spans="2:9" x14ac:dyDescent="0.35">
      <c r="B222" s="16">
        <f t="shared" si="27"/>
        <v>17.750000000000018</v>
      </c>
      <c r="C222" s="17">
        <f t="shared" si="23"/>
        <v>17.750000000000018</v>
      </c>
      <c r="D222" s="1" cm="1">
        <f t="array" ref="D222">_xlfn.XLOOKUP(_xlfn.FLOOR.MATH(C222),'Mortality Tables'!$B$4:$B$124,_xlfn.XLOOKUP(mortality_table,'Mortality Tables'!$B$3:$G$3,'Mortality Tables'!$B$4:$G$124,0,0),0,0)</f>
        <v>5.9999999999999995E-4</v>
      </c>
      <c r="E222" s="1">
        <f t="shared" si="24"/>
        <v>4.9999999999999996E-5</v>
      </c>
      <c r="F222" s="1">
        <f t="shared" si="28"/>
        <v>0.99995000000000001</v>
      </c>
      <c r="G222" s="1">
        <f t="shared" si="29"/>
        <v>0.99188929915980362</v>
      </c>
      <c r="H222" s="34">
        <f t="shared" si="25"/>
        <v>0.42062002175412427</v>
      </c>
      <c r="I222" s="36">
        <f t="shared" si="26"/>
        <v>0.4172084985902797</v>
      </c>
    </row>
    <row r="223" spans="2:9" x14ac:dyDescent="0.35">
      <c r="B223" s="16">
        <f t="shared" si="27"/>
        <v>17.83333333333335</v>
      </c>
      <c r="C223" s="17">
        <f t="shared" si="23"/>
        <v>17.83333333333335</v>
      </c>
      <c r="D223" s="1" cm="1">
        <f t="array" ref="D223">_xlfn.XLOOKUP(_xlfn.FLOOR.MATH(C223),'Mortality Tables'!$B$4:$B$124,_xlfn.XLOOKUP(mortality_table,'Mortality Tables'!$B$3:$G$3,'Mortality Tables'!$B$4:$G$124,0,0),0,0)</f>
        <v>5.9999999999999995E-4</v>
      </c>
      <c r="E223" s="1">
        <f t="shared" si="24"/>
        <v>4.9999999999999996E-5</v>
      </c>
      <c r="F223" s="1">
        <f t="shared" si="28"/>
        <v>0.99995000000000001</v>
      </c>
      <c r="G223" s="1">
        <f t="shared" si="29"/>
        <v>0.99183970469484561</v>
      </c>
      <c r="H223" s="34">
        <f t="shared" si="25"/>
        <v>0.41891331704586077</v>
      </c>
      <c r="I223" s="36">
        <f t="shared" si="26"/>
        <v>0.41549486067150476</v>
      </c>
    </row>
    <row r="224" spans="2:9" x14ac:dyDescent="0.35">
      <c r="B224" s="16">
        <f t="shared" si="27"/>
        <v>17.916666666666682</v>
      </c>
      <c r="C224" s="17">
        <f t="shared" si="23"/>
        <v>17.916666666666682</v>
      </c>
      <c r="D224" s="1" cm="1">
        <f t="array" ref="D224">_xlfn.XLOOKUP(_xlfn.FLOOR.MATH(C224),'Mortality Tables'!$B$4:$B$124,_xlfn.XLOOKUP(mortality_table,'Mortality Tables'!$B$3:$G$3,'Mortality Tables'!$B$4:$G$124,0,0),0,0)</f>
        <v>5.9999999999999995E-4</v>
      </c>
      <c r="E224" s="1">
        <f t="shared" si="24"/>
        <v>4.9999999999999996E-5</v>
      </c>
      <c r="F224" s="1">
        <f t="shared" si="28"/>
        <v>0.99995000000000001</v>
      </c>
      <c r="G224" s="1">
        <f t="shared" si="29"/>
        <v>0.99179011270961093</v>
      </c>
      <c r="H224" s="34">
        <f t="shared" si="25"/>
        <v>0.41721353745007539</v>
      </c>
      <c r="I224" s="36">
        <f t="shared" si="26"/>
        <v>0.41378826133158575</v>
      </c>
    </row>
    <row r="225" spans="2:9" x14ac:dyDescent="0.35">
      <c r="B225" s="16">
        <f t="shared" si="27"/>
        <v>18.000000000000014</v>
      </c>
      <c r="C225" s="17">
        <f t="shared" si="23"/>
        <v>18.000000000000014</v>
      </c>
      <c r="D225" s="1" cm="1">
        <f t="array" ref="D225">_xlfn.XLOOKUP(_xlfn.FLOOR.MATH(C225),'Mortality Tables'!$B$4:$B$124,_xlfn.XLOOKUP(mortality_table,'Mortality Tables'!$B$3:$G$3,'Mortality Tables'!$B$4:$G$124,0,0),0,0)</f>
        <v>5.9400000000000002E-4</v>
      </c>
      <c r="E225" s="1">
        <f t="shared" si="24"/>
        <v>4.9499999999999997E-5</v>
      </c>
      <c r="F225" s="1">
        <f t="shared" si="28"/>
        <v>0.99995049999999996</v>
      </c>
      <c r="G225" s="1">
        <f t="shared" si="29"/>
        <v>0.99174052320397543</v>
      </c>
      <c r="H225" s="34">
        <f t="shared" si="25"/>
        <v>0.41552065486748269</v>
      </c>
      <c r="I225" s="36">
        <f t="shared" si="26"/>
        <v>0.4120886716603358</v>
      </c>
    </row>
    <row r="226" spans="2:9" x14ac:dyDescent="0.35">
      <c r="B226" s="16">
        <f t="shared" si="27"/>
        <v>18.083333333333346</v>
      </c>
      <c r="C226" s="17">
        <f t="shared" si="23"/>
        <v>18.083333333333346</v>
      </c>
      <c r="D226" s="1" cm="1">
        <f t="array" ref="D226">_xlfn.XLOOKUP(_xlfn.FLOOR.MATH(C226),'Mortality Tables'!$B$4:$B$124,_xlfn.XLOOKUP(mortality_table,'Mortality Tables'!$B$3:$G$3,'Mortality Tables'!$B$4:$G$124,0,0),0,0)</f>
        <v>5.9400000000000002E-4</v>
      </c>
      <c r="E226" s="1">
        <f t="shared" si="24"/>
        <v>4.9499999999999997E-5</v>
      </c>
      <c r="F226" s="1">
        <f t="shared" si="28"/>
        <v>0.99995049999999996</v>
      </c>
      <c r="G226" s="1">
        <f t="shared" si="29"/>
        <v>0.99169143204807675</v>
      </c>
      <c r="H226" s="34">
        <f t="shared" si="25"/>
        <v>0.41383464131281261</v>
      </c>
      <c r="I226" s="36">
        <f t="shared" si="26"/>
        <v>0.41039626807460533</v>
      </c>
    </row>
    <row r="227" spans="2:9" x14ac:dyDescent="0.35">
      <c r="B227" s="16">
        <f t="shared" si="27"/>
        <v>18.166666666666679</v>
      </c>
      <c r="C227" s="17">
        <f t="shared" si="23"/>
        <v>18.166666666666679</v>
      </c>
      <c r="D227" s="1" cm="1">
        <f t="array" ref="D227">_xlfn.XLOOKUP(_xlfn.FLOOR.MATH(C227),'Mortality Tables'!$B$4:$B$124,_xlfn.XLOOKUP(mortality_table,'Mortality Tables'!$B$3:$G$3,'Mortality Tables'!$B$4:$G$124,0,0),0,0)</f>
        <v>5.9400000000000002E-4</v>
      </c>
      <c r="E227" s="1">
        <f t="shared" si="24"/>
        <v>4.9499999999999997E-5</v>
      </c>
      <c r="F227" s="1">
        <f t="shared" si="28"/>
        <v>0.99995049999999996</v>
      </c>
      <c r="G227" s="1">
        <f t="shared" si="29"/>
        <v>0.99164234332219037</v>
      </c>
      <c r="H227" s="34">
        <f t="shared" si="25"/>
        <v>0.4121554689143479</v>
      </c>
      <c r="I227" s="36">
        <f t="shared" si="26"/>
        <v>0.40871081500728013</v>
      </c>
    </row>
    <row r="228" spans="2:9" x14ac:dyDescent="0.35">
      <c r="B228" s="16">
        <f t="shared" si="27"/>
        <v>18.250000000000011</v>
      </c>
      <c r="C228" s="17">
        <f t="shared" si="23"/>
        <v>18.250000000000011</v>
      </c>
      <c r="D228" s="1" cm="1">
        <f t="array" ref="D228">_xlfn.XLOOKUP(_xlfn.FLOOR.MATH(C228),'Mortality Tables'!$B$4:$B$124,_xlfn.XLOOKUP(mortality_table,'Mortality Tables'!$B$3:$G$3,'Mortality Tables'!$B$4:$G$124,0,0),0,0)</f>
        <v>5.9400000000000002E-4</v>
      </c>
      <c r="E228" s="1">
        <f t="shared" si="24"/>
        <v>4.9499999999999997E-5</v>
      </c>
      <c r="F228" s="1">
        <f t="shared" si="28"/>
        <v>0.99995049999999996</v>
      </c>
      <c r="G228" s="1">
        <f t="shared" si="29"/>
        <v>0.99159325702619583</v>
      </c>
      <c r="H228" s="34">
        <f t="shared" si="25"/>
        <v>0.41048310991346365</v>
      </c>
      <c r="I228" s="36">
        <f t="shared" si="26"/>
        <v>0.40703228391333335</v>
      </c>
    </row>
    <row r="229" spans="2:9" x14ac:dyDescent="0.35">
      <c r="B229" s="16">
        <f t="shared" si="27"/>
        <v>18.333333333333343</v>
      </c>
      <c r="C229" s="17">
        <f t="shared" si="23"/>
        <v>18.333333333333343</v>
      </c>
      <c r="D229" s="1" cm="1">
        <f t="array" ref="D229">_xlfn.XLOOKUP(_xlfn.FLOOR.MATH(C229),'Mortality Tables'!$B$4:$B$124,_xlfn.XLOOKUP(mortality_table,'Mortality Tables'!$B$3:$G$3,'Mortality Tables'!$B$4:$G$124,0,0),0,0)</f>
        <v>5.9400000000000002E-4</v>
      </c>
      <c r="E229" s="1">
        <f t="shared" si="24"/>
        <v>4.9499999999999997E-5</v>
      </c>
      <c r="F229" s="1">
        <f t="shared" si="28"/>
        <v>0.99995049999999996</v>
      </c>
      <c r="G229" s="1">
        <f t="shared" si="29"/>
        <v>0.99154417315997301</v>
      </c>
      <c r="H229" s="34">
        <f t="shared" si="25"/>
        <v>0.4088175366641677</v>
      </c>
      <c r="I229" s="36">
        <f t="shared" si="26"/>
        <v>0.4053606463649691</v>
      </c>
    </row>
    <row r="230" spans="2:9" x14ac:dyDescent="0.35">
      <c r="B230" s="16">
        <f t="shared" si="27"/>
        <v>18.416666666666675</v>
      </c>
      <c r="C230" s="17">
        <f t="shared" si="23"/>
        <v>18.416666666666675</v>
      </c>
      <c r="D230" s="1" cm="1">
        <f t="array" ref="D230">_xlfn.XLOOKUP(_xlfn.FLOOR.MATH(C230),'Mortality Tables'!$B$4:$B$124,_xlfn.XLOOKUP(mortality_table,'Mortality Tables'!$B$3:$G$3,'Mortality Tables'!$B$4:$G$124,0,0),0,0)</f>
        <v>5.9400000000000002E-4</v>
      </c>
      <c r="E230" s="1">
        <f t="shared" si="24"/>
        <v>4.9499999999999997E-5</v>
      </c>
      <c r="F230" s="1">
        <f t="shared" si="28"/>
        <v>0.99995049999999996</v>
      </c>
      <c r="G230" s="1">
        <f t="shared" si="29"/>
        <v>0.99149509172340156</v>
      </c>
      <c r="H230" s="34">
        <f t="shared" si="25"/>
        <v>0.40715872163264427</v>
      </c>
      <c r="I230" s="36">
        <f t="shared" si="26"/>
        <v>0.40369587405114155</v>
      </c>
    </row>
    <row r="231" spans="2:9" x14ac:dyDescent="0.35">
      <c r="B231" s="16">
        <f t="shared" si="27"/>
        <v>18.500000000000007</v>
      </c>
      <c r="C231" s="17">
        <f t="shared" si="23"/>
        <v>18.500000000000007</v>
      </c>
      <c r="D231" s="1" cm="1">
        <f t="array" ref="D231">_xlfn.XLOOKUP(_xlfn.FLOOR.MATH(C231),'Mortality Tables'!$B$4:$B$124,_xlfn.XLOOKUP(mortality_table,'Mortality Tables'!$B$3:$G$3,'Mortality Tables'!$B$4:$G$124,0,0),0,0)</f>
        <v>5.9400000000000002E-4</v>
      </c>
      <c r="E231" s="1">
        <f t="shared" si="24"/>
        <v>4.9499999999999997E-5</v>
      </c>
      <c r="F231" s="1">
        <f t="shared" si="28"/>
        <v>0.99995049999999996</v>
      </c>
      <c r="G231" s="1">
        <f t="shared" si="29"/>
        <v>0.99144601271636124</v>
      </c>
      <c r="H231" s="34">
        <f t="shared" si="25"/>
        <v>0.40550663739679865</v>
      </c>
      <c r="I231" s="36">
        <f t="shared" si="26"/>
        <v>0.40203793877707533</v>
      </c>
    </row>
    <row r="232" spans="2:9" x14ac:dyDescent="0.35">
      <c r="B232" s="16">
        <f t="shared" si="27"/>
        <v>18.583333333333339</v>
      </c>
      <c r="C232" s="17">
        <f t="shared" si="23"/>
        <v>18.583333333333339</v>
      </c>
      <c r="D232" s="1" cm="1">
        <f t="array" ref="D232">_xlfn.XLOOKUP(_xlfn.FLOOR.MATH(C232),'Mortality Tables'!$B$4:$B$124,_xlfn.XLOOKUP(mortality_table,'Mortality Tables'!$B$3:$G$3,'Mortality Tables'!$B$4:$G$124,0,0),0,0)</f>
        <v>5.9400000000000002E-4</v>
      </c>
      <c r="E232" s="1">
        <f t="shared" si="24"/>
        <v>4.9499999999999997E-5</v>
      </c>
      <c r="F232" s="1">
        <f t="shared" si="28"/>
        <v>0.99995049999999996</v>
      </c>
      <c r="G232" s="1">
        <f t="shared" si="29"/>
        <v>0.9913969361387317</v>
      </c>
      <c r="H232" s="34">
        <f t="shared" si="25"/>
        <v>0.40386125664580397</v>
      </c>
      <c r="I232" s="36">
        <f t="shared" si="26"/>
        <v>0.40038681246378804</v>
      </c>
    </row>
    <row r="233" spans="2:9" x14ac:dyDescent="0.35">
      <c r="B233" s="16">
        <f t="shared" si="27"/>
        <v>18.666666666666671</v>
      </c>
      <c r="C233" s="17">
        <f t="shared" si="23"/>
        <v>18.666666666666671</v>
      </c>
      <c r="D233" s="1" cm="1">
        <f t="array" ref="D233">_xlfn.XLOOKUP(_xlfn.FLOOR.MATH(C233),'Mortality Tables'!$B$4:$B$124,_xlfn.XLOOKUP(mortality_table,'Mortality Tables'!$B$3:$G$3,'Mortality Tables'!$B$4:$G$124,0,0),0,0)</f>
        <v>5.9400000000000002E-4</v>
      </c>
      <c r="E233" s="1">
        <f t="shared" si="24"/>
        <v>4.9499999999999997E-5</v>
      </c>
      <c r="F233" s="1">
        <f t="shared" si="28"/>
        <v>0.99995049999999996</v>
      </c>
      <c r="G233" s="1">
        <f t="shared" si="29"/>
        <v>0.99134786199039282</v>
      </c>
      <c r="H233" s="34">
        <f t="shared" si="25"/>
        <v>0.40222255217964914</v>
      </c>
      <c r="I233" s="36">
        <f t="shared" si="26"/>
        <v>0.39874246714761441</v>
      </c>
    </row>
    <row r="234" spans="2:9" x14ac:dyDescent="0.35">
      <c r="B234" s="16">
        <f t="shared" si="27"/>
        <v>18.750000000000004</v>
      </c>
      <c r="C234" s="17">
        <f t="shared" si="23"/>
        <v>18.750000000000004</v>
      </c>
      <c r="D234" s="1" cm="1">
        <f t="array" ref="D234">_xlfn.XLOOKUP(_xlfn.FLOOR.MATH(C234),'Mortality Tables'!$B$4:$B$124,_xlfn.XLOOKUP(mortality_table,'Mortality Tables'!$B$3:$G$3,'Mortality Tables'!$B$4:$G$124,0,0),0,0)</f>
        <v>5.9400000000000002E-4</v>
      </c>
      <c r="E234" s="1">
        <f t="shared" si="24"/>
        <v>4.9499999999999997E-5</v>
      </c>
      <c r="F234" s="1">
        <f t="shared" si="28"/>
        <v>0.99995049999999996</v>
      </c>
      <c r="G234" s="1">
        <f t="shared" si="29"/>
        <v>0.99129879027122425</v>
      </c>
      <c r="H234" s="34">
        <f t="shared" si="25"/>
        <v>0.40059049690868997</v>
      </c>
      <c r="I234" s="36">
        <f t="shared" si="26"/>
        <v>0.39710487497973296</v>
      </c>
    </row>
    <row r="235" spans="2:9" x14ac:dyDescent="0.35">
      <c r="B235" s="16">
        <f t="shared" si="27"/>
        <v>18.833333333333336</v>
      </c>
      <c r="C235" s="17">
        <f t="shared" si="23"/>
        <v>18.833333333333336</v>
      </c>
      <c r="D235" s="1" cm="1">
        <f t="array" ref="D235">_xlfn.XLOOKUP(_xlfn.FLOOR.MATH(C235),'Mortality Tables'!$B$4:$B$124,_xlfn.XLOOKUP(mortality_table,'Mortality Tables'!$B$3:$G$3,'Mortality Tables'!$B$4:$G$124,0,0),0,0)</f>
        <v>5.9400000000000002E-4</v>
      </c>
      <c r="E235" s="1">
        <f t="shared" si="24"/>
        <v>4.9499999999999997E-5</v>
      </c>
      <c r="F235" s="1">
        <f t="shared" si="28"/>
        <v>0.99995049999999996</v>
      </c>
      <c r="G235" s="1">
        <f t="shared" si="29"/>
        <v>0.99124972098110575</v>
      </c>
      <c r="H235" s="34">
        <f t="shared" si="25"/>
        <v>0.39896506385320096</v>
      </c>
      <c r="I235" s="36">
        <f t="shared" si="26"/>
        <v>0.39547400822569451</v>
      </c>
    </row>
    <row r="236" spans="2:9" x14ac:dyDescent="0.35">
      <c r="B236" s="16">
        <f t="shared" si="27"/>
        <v>18.916666666666668</v>
      </c>
      <c r="C236" s="17">
        <f t="shared" si="23"/>
        <v>18.916666666666668</v>
      </c>
      <c r="D236" s="1" cm="1">
        <f t="array" ref="D236">_xlfn.XLOOKUP(_xlfn.FLOOR.MATH(C236),'Mortality Tables'!$B$4:$B$124,_xlfn.XLOOKUP(mortality_table,'Mortality Tables'!$B$3:$G$3,'Mortality Tables'!$B$4:$G$124,0,0),0,0)</f>
        <v>5.9400000000000002E-4</v>
      </c>
      <c r="E236" s="1">
        <f t="shared" si="24"/>
        <v>4.9499999999999997E-5</v>
      </c>
      <c r="F236" s="1">
        <f t="shared" si="28"/>
        <v>0.99995049999999996</v>
      </c>
      <c r="G236" s="1">
        <f t="shared" si="29"/>
        <v>0.9912006541199172</v>
      </c>
      <c r="H236" s="34">
        <f t="shared" si="25"/>
        <v>0.39734622614292914</v>
      </c>
      <c r="I236" s="36">
        <f t="shared" si="26"/>
        <v>0.39384983926495193</v>
      </c>
    </row>
    <row r="237" spans="2:9" x14ac:dyDescent="0.35">
      <c r="B237" s="16">
        <f t="shared" si="27"/>
        <v>19</v>
      </c>
      <c r="C237" s="17">
        <f t="shared" si="23"/>
        <v>19</v>
      </c>
      <c r="D237" s="1" cm="1">
        <f t="array" ref="D237">_xlfn.XLOOKUP(_xlfn.FLOOR.MATH(C237),'Mortality Tables'!$B$4:$B$124,_xlfn.XLOOKUP(mortality_table,'Mortality Tables'!$B$3:$G$3,'Mortality Tables'!$B$4:$G$124,0,0),0,0)</f>
        <v>5.8699999999999996E-4</v>
      </c>
      <c r="E237" s="1">
        <f t="shared" si="24"/>
        <v>4.8916666666666659E-5</v>
      </c>
      <c r="F237" s="1">
        <f t="shared" si="28"/>
        <v>0.99995108333333338</v>
      </c>
      <c r="G237" s="1">
        <f t="shared" si="29"/>
        <v>0.99115158968753825</v>
      </c>
      <c r="H237" s="34">
        <f t="shared" si="25"/>
        <v>0.39573395701665059</v>
      </c>
      <c r="I237" s="36">
        <f t="shared" si="26"/>
        <v>0.39223234059039319</v>
      </c>
    </row>
    <row r="238" spans="2:9" x14ac:dyDescent="0.35">
      <c r="B238" s="16">
        <f t="shared" si="27"/>
        <v>19.083333333333332</v>
      </c>
      <c r="C238" s="17">
        <f t="shared" si="23"/>
        <v>19.083333333333332</v>
      </c>
      <c r="D238" s="1" cm="1">
        <f t="array" ref="D238">_xlfn.XLOOKUP(_xlfn.FLOOR.MATH(C238),'Mortality Tables'!$B$4:$B$124,_xlfn.XLOOKUP(mortality_table,'Mortality Tables'!$B$3:$G$3,'Mortality Tables'!$B$4:$G$124,0,0),0,0)</f>
        <v>5.8699999999999996E-4</v>
      </c>
      <c r="E238" s="1">
        <f t="shared" si="24"/>
        <v>4.8916666666666659E-5</v>
      </c>
      <c r="F238" s="1">
        <f t="shared" si="28"/>
        <v>0.99995108333333338</v>
      </c>
      <c r="G238" s="1">
        <f t="shared" si="29"/>
        <v>0.99110310585560946</v>
      </c>
      <c r="H238" s="34">
        <f t="shared" si="25"/>
        <v>0.39412822982172652</v>
      </c>
      <c r="I238" s="36">
        <f t="shared" si="26"/>
        <v>0.39062171268168661</v>
      </c>
    </row>
    <row r="239" spans="2:9" x14ac:dyDescent="0.35">
      <c r="B239" s="16">
        <f t="shared" si="27"/>
        <v>19.166666666666664</v>
      </c>
      <c r="C239" s="17">
        <f t="shared" si="23"/>
        <v>19.166666666666664</v>
      </c>
      <c r="D239" s="1" cm="1">
        <f t="array" ref="D239">_xlfn.XLOOKUP(_xlfn.FLOOR.MATH(C239),'Mortality Tables'!$B$4:$B$124,_xlfn.XLOOKUP(mortality_table,'Mortality Tables'!$B$3:$G$3,'Mortality Tables'!$B$4:$G$124,0,0),0,0)</f>
        <v>5.8699999999999996E-4</v>
      </c>
      <c r="E239" s="1">
        <f t="shared" si="24"/>
        <v>4.8916666666666659E-5</v>
      </c>
      <c r="F239" s="1">
        <f t="shared" si="28"/>
        <v>0.99995108333333338</v>
      </c>
      <c r="G239" s="1">
        <f t="shared" si="29"/>
        <v>0.99105462439534808</v>
      </c>
      <c r="H239" s="34">
        <f t="shared" si="25"/>
        <v>0.39252901801366491</v>
      </c>
      <c r="I239" s="36">
        <f t="shared" si="26"/>
        <v>0.38901769851180751</v>
      </c>
    </row>
    <row r="240" spans="2:9" x14ac:dyDescent="0.35">
      <c r="B240" s="16">
        <f t="shared" si="27"/>
        <v>19.249999999999996</v>
      </c>
      <c r="C240" s="17">
        <f t="shared" si="23"/>
        <v>19.249999999999996</v>
      </c>
      <c r="D240" s="1" cm="1">
        <f t="array" ref="D240">_xlfn.XLOOKUP(_xlfn.FLOOR.MATH(C240),'Mortality Tables'!$B$4:$B$124,_xlfn.XLOOKUP(mortality_table,'Mortality Tables'!$B$3:$G$3,'Mortality Tables'!$B$4:$G$124,0,0),0,0)</f>
        <v>5.8699999999999996E-4</v>
      </c>
      <c r="E240" s="1">
        <f t="shared" si="24"/>
        <v>4.8916666666666659E-5</v>
      </c>
      <c r="F240" s="1">
        <f t="shared" si="28"/>
        <v>0.99995108333333338</v>
      </c>
      <c r="G240" s="1">
        <f t="shared" si="29"/>
        <v>0.99100614530663811</v>
      </c>
      <c r="H240" s="34">
        <f t="shared" si="25"/>
        <v>0.3909362951556799</v>
      </c>
      <c r="I240" s="36">
        <f t="shared" si="26"/>
        <v>0.38742027092268849</v>
      </c>
    </row>
    <row r="241" spans="2:9" x14ac:dyDescent="0.35">
      <c r="B241" s="16">
        <f t="shared" si="27"/>
        <v>19.333333333333329</v>
      </c>
      <c r="C241" s="17">
        <f t="shared" si="23"/>
        <v>19.333333333333329</v>
      </c>
      <c r="D241" s="1" cm="1">
        <f t="array" ref="D241">_xlfn.XLOOKUP(_xlfn.FLOOR.MATH(C241),'Mortality Tables'!$B$4:$B$124,_xlfn.XLOOKUP(mortality_table,'Mortality Tables'!$B$3:$G$3,'Mortality Tables'!$B$4:$G$124,0,0),0,0)</f>
        <v>5.8699999999999996E-4</v>
      </c>
      <c r="E241" s="1">
        <f t="shared" si="24"/>
        <v>4.8916666666666659E-5</v>
      </c>
      <c r="F241" s="1">
        <f t="shared" si="28"/>
        <v>0.99995108333333338</v>
      </c>
      <c r="G241" s="1">
        <f t="shared" si="29"/>
        <v>0.99095766858936352</v>
      </c>
      <c r="H241" s="34">
        <f t="shared" si="25"/>
        <v>0.38935003491825515</v>
      </c>
      <c r="I241" s="36">
        <f t="shared" si="26"/>
        <v>0.38582940286778139</v>
      </c>
    </row>
    <row r="242" spans="2:9" x14ac:dyDescent="0.35">
      <c r="B242" s="16">
        <f t="shared" si="27"/>
        <v>19.416666666666661</v>
      </c>
      <c r="C242" s="17">
        <f t="shared" si="23"/>
        <v>19.416666666666661</v>
      </c>
      <c r="D242" s="1" cm="1">
        <f t="array" ref="D242">_xlfn.XLOOKUP(_xlfn.FLOOR.MATH(C242),'Mortality Tables'!$B$4:$B$124,_xlfn.XLOOKUP(mortality_table,'Mortality Tables'!$B$3:$G$3,'Mortality Tables'!$B$4:$G$124,0,0),0,0)</f>
        <v>5.8699999999999996E-4</v>
      </c>
      <c r="E242" s="1">
        <f t="shared" si="24"/>
        <v>4.8916666666666659E-5</v>
      </c>
      <c r="F242" s="1">
        <f t="shared" si="28"/>
        <v>0.99995108333333338</v>
      </c>
      <c r="G242" s="1">
        <f t="shared" si="29"/>
        <v>0.9909091942434084</v>
      </c>
      <c r="H242" s="34">
        <f t="shared" si="25"/>
        <v>0.38777021107870907</v>
      </c>
      <c r="I242" s="36">
        <f t="shared" si="26"/>
        <v>0.38424506741160003</v>
      </c>
    </row>
    <row r="243" spans="2:9" x14ac:dyDescent="0.35">
      <c r="B243" s="16">
        <f t="shared" si="27"/>
        <v>19.499999999999993</v>
      </c>
      <c r="C243" s="17">
        <f t="shared" si="23"/>
        <v>19.499999999999993</v>
      </c>
      <c r="D243" s="1" cm="1">
        <f t="array" ref="D243">_xlfn.XLOOKUP(_xlfn.FLOOR.MATH(C243),'Mortality Tables'!$B$4:$B$124,_xlfn.XLOOKUP(mortality_table,'Mortality Tables'!$B$3:$G$3,'Mortality Tables'!$B$4:$G$124,0,0),0,0)</f>
        <v>5.8699999999999996E-4</v>
      </c>
      <c r="E243" s="1">
        <f t="shared" si="24"/>
        <v>4.8916666666666659E-5</v>
      </c>
      <c r="F243" s="1">
        <f t="shared" si="28"/>
        <v>0.99995108333333338</v>
      </c>
      <c r="G243" s="1">
        <f t="shared" si="29"/>
        <v>0.99086072226865674</v>
      </c>
      <c r="H243" s="34">
        <f t="shared" si="25"/>
        <v>0.38619679752076091</v>
      </c>
      <c r="I243" s="36">
        <f t="shared" si="26"/>
        <v>0.38266723772926337</v>
      </c>
    </row>
    <row r="244" spans="2:9" x14ac:dyDescent="0.35">
      <c r="B244" s="16">
        <f t="shared" si="27"/>
        <v>19.583333333333325</v>
      </c>
      <c r="C244" s="17">
        <f t="shared" si="23"/>
        <v>19.583333333333325</v>
      </c>
      <c r="D244" s="1" cm="1">
        <f t="array" ref="D244">_xlfn.XLOOKUP(_xlfn.FLOOR.MATH(C244),'Mortality Tables'!$B$4:$B$124,_xlfn.XLOOKUP(mortality_table,'Mortality Tables'!$B$3:$G$3,'Mortality Tables'!$B$4:$G$124,0,0),0,0)</f>
        <v>5.8699999999999996E-4</v>
      </c>
      <c r="E244" s="1">
        <f t="shared" si="24"/>
        <v>4.8916666666666659E-5</v>
      </c>
      <c r="F244" s="1">
        <f t="shared" si="28"/>
        <v>0.99995108333333338</v>
      </c>
      <c r="G244" s="1">
        <f t="shared" si="29"/>
        <v>0.99081225266499251</v>
      </c>
      <c r="H244" s="34">
        <f t="shared" si="25"/>
        <v>0.38462976823409933</v>
      </c>
      <c r="I244" s="36">
        <f t="shared" si="26"/>
        <v>0.38109588710604192</v>
      </c>
    </row>
    <row r="245" spans="2:9" x14ac:dyDescent="0.35">
      <c r="B245" s="16">
        <f t="shared" si="27"/>
        <v>19.666666666666657</v>
      </c>
      <c r="C245" s="17">
        <f t="shared" si="23"/>
        <v>19.666666666666657</v>
      </c>
      <c r="D245" s="1" cm="1">
        <f t="array" ref="D245">_xlfn.XLOOKUP(_xlfn.FLOOR.MATH(C245),'Mortality Tables'!$B$4:$B$124,_xlfn.XLOOKUP(mortality_table,'Mortality Tables'!$B$3:$G$3,'Mortality Tables'!$B$4:$G$124,0,0),0,0)</f>
        <v>5.8699999999999996E-4</v>
      </c>
      <c r="E245" s="1">
        <f t="shared" si="24"/>
        <v>4.8916666666666659E-5</v>
      </c>
      <c r="F245" s="1">
        <f t="shared" si="28"/>
        <v>0.99995108333333338</v>
      </c>
      <c r="G245" s="1">
        <f t="shared" si="29"/>
        <v>0.9907637854322997</v>
      </c>
      <c r="H245" s="34">
        <f t="shared" si="25"/>
        <v>0.38306909731395183</v>
      </c>
      <c r="I245" s="36">
        <f t="shared" si="26"/>
        <v>0.3795309889369049</v>
      </c>
    </row>
    <row r="246" spans="2:9" x14ac:dyDescent="0.35">
      <c r="B246" s="16">
        <f t="shared" si="27"/>
        <v>19.749999999999989</v>
      </c>
      <c r="C246" s="17">
        <f t="shared" si="23"/>
        <v>19.749999999999989</v>
      </c>
      <c r="D246" s="1" cm="1">
        <f t="array" ref="D246">_xlfn.XLOOKUP(_xlfn.FLOOR.MATH(C246),'Mortality Tables'!$B$4:$B$124,_xlfn.XLOOKUP(mortality_table,'Mortality Tables'!$B$3:$G$3,'Mortality Tables'!$B$4:$G$124,0,0),0,0)</f>
        <v>5.8699999999999996E-4</v>
      </c>
      <c r="E246" s="1">
        <f t="shared" si="24"/>
        <v>4.8916666666666659E-5</v>
      </c>
      <c r="F246" s="1">
        <f t="shared" si="28"/>
        <v>0.99995108333333338</v>
      </c>
      <c r="G246" s="1">
        <f t="shared" si="29"/>
        <v>0.9907153205704623</v>
      </c>
      <c r="H246" s="34">
        <f t="shared" si="25"/>
        <v>0.38151475896065734</v>
      </c>
      <c r="I246" s="36">
        <f t="shared" si="26"/>
        <v>0.3779725167260703</v>
      </c>
    </row>
    <row r="247" spans="2:9" x14ac:dyDescent="0.35">
      <c r="B247" s="16">
        <f t="shared" si="27"/>
        <v>19.833333333333321</v>
      </c>
      <c r="C247" s="17">
        <f t="shared" si="23"/>
        <v>19.833333333333321</v>
      </c>
      <c r="D247" s="1" cm="1">
        <f t="array" ref="D247">_xlfn.XLOOKUP(_xlfn.FLOOR.MATH(C247),'Mortality Tables'!$B$4:$B$124,_xlfn.XLOOKUP(mortality_table,'Mortality Tables'!$B$3:$G$3,'Mortality Tables'!$B$4:$G$124,0,0),0,0)</f>
        <v>5.8699999999999996E-4</v>
      </c>
      <c r="E247" s="1">
        <f t="shared" si="24"/>
        <v>4.8916666666666659E-5</v>
      </c>
      <c r="F247" s="1">
        <f t="shared" si="28"/>
        <v>0.99995108333333338</v>
      </c>
      <c r="G247" s="1">
        <f t="shared" si="29"/>
        <v>0.99066685807936439</v>
      </c>
      <c r="H247" s="34">
        <f t="shared" si="25"/>
        <v>0.37996672747923921</v>
      </c>
      <c r="I247" s="36">
        <f t="shared" si="26"/>
        <v>0.37642044408655601</v>
      </c>
    </row>
    <row r="248" spans="2:9" x14ac:dyDescent="0.35">
      <c r="B248" s="16">
        <f t="shared" si="27"/>
        <v>19.916666666666654</v>
      </c>
      <c r="C248" s="17">
        <f t="shared" si="23"/>
        <v>19.916666666666654</v>
      </c>
      <c r="D248" s="1" cm="1">
        <f t="array" ref="D248">_xlfn.XLOOKUP(_xlfn.FLOOR.MATH(C248),'Mortality Tables'!$B$4:$B$124,_xlfn.XLOOKUP(mortality_table,'Mortality Tables'!$B$3:$G$3,'Mortality Tables'!$B$4:$G$124,0,0),0,0)</f>
        <v>5.8699999999999996E-4</v>
      </c>
      <c r="E248" s="1">
        <f t="shared" si="24"/>
        <v>4.8916666666666659E-5</v>
      </c>
      <c r="F248" s="1">
        <f t="shared" si="28"/>
        <v>0.99995108333333338</v>
      </c>
      <c r="G248" s="1">
        <f t="shared" si="29"/>
        <v>0.99061839795889006</v>
      </c>
      <c r="H248" s="34">
        <f t="shared" si="25"/>
        <v>0.37842497727898039</v>
      </c>
      <c r="I248" s="36">
        <f t="shared" si="26"/>
        <v>0.37487474473973292</v>
      </c>
    </row>
    <row r="249" spans="2:9" x14ac:dyDescent="0.35">
      <c r="B249" s="16">
        <f t="shared" si="27"/>
        <v>19.999999999999986</v>
      </c>
      <c r="C249" s="17">
        <f t="shared" si="23"/>
        <v>19.999999999999986</v>
      </c>
      <c r="D249" s="1" cm="1">
        <f t="array" ref="D249">_xlfn.XLOOKUP(_xlfn.FLOOR.MATH(C249),'Mortality Tables'!$B$4:$B$124,_xlfn.XLOOKUP(mortality_table,'Mortality Tables'!$B$3:$G$3,'Mortality Tables'!$B$4:$G$124,0,0),0,0)</f>
        <v>5.8200000000000005E-4</v>
      </c>
      <c r="E249" s="1">
        <f t="shared" si="24"/>
        <v>4.85E-5</v>
      </c>
      <c r="F249" s="1">
        <f t="shared" si="28"/>
        <v>0.99995149999999999</v>
      </c>
      <c r="G249" s="1">
        <f t="shared" si="29"/>
        <v>0.99056994020892331</v>
      </c>
      <c r="H249" s="34">
        <f t="shared" si="25"/>
        <v>0.37688948287300061</v>
      </c>
      <c r="I249" s="36">
        <f t="shared" si="26"/>
        <v>0.37333539251488024</v>
      </c>
    </row>
    <row r="250" spans="2:9" x14ac:dyDescent="0.35">
      <c r="B250" s="16">
        <f t="shared" si="27"/>
        <v>20.083333333333318</v>
      </c>
      <c r="C250" s="17">
        <f t="shared" si="23"/>
        <v>20.083333333333318</v>
      </c>
      <c r="D250" s="1" cm="1">
        <f t="array" ref="D250">_xlfn.XLOOKUP(_xlfn.FLOOR.MATH(C250),'Mortality Tables'!$B$4:$B$124,_xlfn.XLOOKUP(mortality_table,'Mortality Tables'!$B$3:$G$3,'Mortality Tables'!$B$4:$G$124,0,0),0,0)</f>
        <v>5.8200000000000005E-4</v>
      </c>
      <c r="E250" s="1">
        <f t="shared" si="24"/>
        <v>4.85E-5</v>
      </c>
      <c r="F250" s="1">
        <f t="shared" si="28"/>
        <v>0.99995149999999999</v>
      </c>
      <c r="G250" s="1">
        <f t="shared" si="29"/>
        <v>0.99052189756682318</v>
      </c>
      <c r="H250" s="34">
        <f t="shared" si="25"/>
        <v>0.37536021887783505</v>
      </c>
      <c r="I250" s="36">
        <f t="shared" si="26"/>
        <v>0.37180251627397126</v>
      </c>
    </row>
    <row r="251" spans="2:9" x14ac:dyDescent="0.35">
      <c r="B251" s="16">
        <f t="shared" si="27"/>
        <v>20.16666666666665</v>
      </c>
      <c r="C251" s="17">
        <f t="shared" si="23"/>
        <v>20.16666666666665</v>
      </c>
      <c r="D251" s="1" cm="1">
        <f t="array" ref="D251">_xlfn.XLOOKUP(_xlfn.FLOOR.MATH(C251),'Mortality Tables'!$B$4:$B$124,_xlfn.XLOOKUP(mortality_table,'Mortality Tables'!$B$3:$G$3,'Mortality Tables'!$B$4:$G$124,0,0),0,0)</f>
        <v>5.8200000000000005E-4</v>
      </c>
      <c r="E251" s="1">
        <f t="shared" si="24"/>
        <v>4.85E-5</v>
      </c>
      <c r="F251" s="1">
        <f t="shared" si="28"/>
        <v>0.99995149999999999</v>
      </c>
      <c r="G251" s="1">
        <f t="shared" si="29"/>
        <v>0.9904738572547912</v>
      </c>
      <c r="H251" s="34">
        <f t="shared" si="25"/>
        <v>0.37383716001301448</v>
      </c>
      <c r="I251" s="36">
        <f t="shared" si="26"/>
        <v>0.37027593386326701</v>
      </c>
    </row>
    <row r="252" spans="2:9" x14ac:dyDescent="0.35">
      <c r="B252" s="16">
        <f t="shared" si="27"/>
        <v>20.249999999999982</v>
      </c>
      <c r="C252" s="17">
        <f t="shared" si="23"/>
        <v>20.249999999999982</v>
      </c>
      <c r="D252" s="1" cm="1">
        <f t="array" ref="D252">_xlfn.XLOOKUP(_xlfn.FLOOR.MATH(C252),'Mortality Tables'!$B$4:$B$124,_xlfn.XLOOKUP(mortality_table,'Mortality Tables'!$B$3:$G$3,'Mortality Tables'!$B$4:$G$124,0,0),0,0)</f>
        <v>5.8200000000000005E-4</v>
      </c>
      <c r="E252" s="1">
        <f t="shared" si="24"/>
        <v>4.85E-5</v>
      </c>
      <c r="F252" s="1">
        <f t="shared" si="28"/>
        <v>0.99995149999999999</v>
      </c>
      <c r="G252" s="1">
        <f t="shared" si="29"/>
        <v>0.99042581927271434</v>
      </c>
      <c r="H252" s="34">
        <f t="shared" si="25"/>
        <v>0.37232028110064774</v>
      </c>
      <c r="I252" s="36">
        <f t="shared" si="26"/>
        <v>0.36875561944095636</v>
      </c>
    </row>
    <row r="253" spans="2:9" x14ac:dyDescent="0.35">
      <c r="B253" s="16">
        <f t="shared" si="27"/>
        <v>20.333333333333314</v>
      </c>
      <c r="C253" s="17">
        <f t="shared" si="23"/>
        <v>20.333333333333314</v>
      </c>
      <c r="D253" s="1" cm="1">
        <f t="array" ref="D253">_xlfn.XLOOKUP(_xlfn.FLOOR.MATH(C253),'Mortality Tables'!$B$4:$B$124,_xlfn.XLOOKUP(mortality_table,'Mortality Tables'!$B$3:$G$3,'Mortality Tables'!$B$4:$G$124,0,0),0,0)</f>
        <v>5.8200000000000005E-4</v>
      </c>
      <c r="E253" s="1">
        <f t="shared" si="24"/>
        <v>4.85E-5</v>
      </c>
      <c r="F253" s="1">
        <f t="shared" si="28"/>
        <v>0.99995149999999999</v>
      </c>
      <c r="G253" s="1">
        <f t="shared" si="29"/>
        <v>0.99037778362047957</v>
      </c>
      <c r="H253" s="34">
        <f t="shared" si="25"/>
        <v>0.37080955706500512</v>
      </c>
      <c r="I253" s="36">
        <f t="shared" si="26"/>
        <v>0.36724154727133151</v>
      </c>
    </row>
    <row r="254" spans="2:9" x14ac:dyDescent="0.35">
      <c r="B254" s="16">
        <f t="shared" si="27"/>
        <v>20.416666666666647</v>
      </c>
      <c r="C254" s="17">
        <f t="shared" si="23"/>
        <v>20.416666666666647</v>
      </c>
      <c r="D254" s="1" cm="1">
        <f t="array" ref="D254">_xlfn.XLOOKUP(_xlfn.FLOOR.MATH(C254),'Mortality Tables'!$B$4:$B$124,_xlfn.XLOOKUP(mortality_table,'Mortality Tables'!$B$3:$G$3,'Mortality Tables'!$B$4:$G$124,0,0),0,0)</f>
        <v>5.8200000000000005E-4</v>
      </c>
      <c r="E254" s="1">
        <f t="shared" si="24"/>
        <v>4.85E-5</v>
      </c>
      <c r="F254" s="1">
        <f t="shared" si="28"/>
        <v>0.99995149999999999</v>
      </c>
      <c r="G254" s="1">
        <f t="shared" si="29"/>
        <v>0.99032975029797399</v>
      </c>
      <c r="H254" s="34">
        <f t="shared" si="25"/>
        <v>0.36930496293210407</v>
      </c>
      <c r="I254" s="36">
        <f t="shared" si="26"/>
        <v>0.36573369172435316</v>
      </c>
    </row>
    <row r="255" spans="2:9" x14ac:dyDescent="0.35">
      <c r="B255" s="16">
        <f t="shared" si="27"/>
        <v>20.499999999999979</v>
      </c>
      <c r="C255" s="17">
        <f t="shared" si="23"/>
        <v>20.499999999999979</v>
      </c>
      <c r="D255" s="1" cm="1">
        <f t="array" ref="D255">_xlfn.XLOOKUP(_xlfn.FLOOR.MATH(C255),'Mortality Tables'!$B$4:$B$124,_xlfn.XLOOKUP(mortality_table,'Mortality Tables'!$B$3:$G$3,'Mortality Tables'!$B$4:$G$124,0,0),0,0)</f>
        <v>5.8200000000000005E-4</v>
      </c>
      <c r="E255" s="1">
        <f t="shared" si="24"/>
        <v>4.85E-5</v>
      </c>
      <c r="F255" s="1">
        <f t="shared" si="28"/>
        <v>0.99995149999999999</v>
      </c>
      <c r="G255" s="1">
        <f t="shared" si="29"/>
        <v>0.99028171930508457</v>
      </c>
      <c r="H255" s="34">
        <f t="shared" si="25"/>
        <v>0.36780647382929632</v>
      </c>
      <c r="I255" s="36">
        <f t="shared" si="26"/>
        <v>0.36423202727521614</v>
      </c>
    </row>
    <row r="256" spans="2:9" x14ac:dyDescent="0.35">
      <c r="B256" s="16">
        <f t="shared" si="27"/>
        <v>20.583333333333311</v>
      </c>
      <c r="C256" s="17">
        <f t="shared" si="23"/>
        <v>20.583333333333311</v>
      </c>
      <c r="D256" s="1" cm="1">
        <f t="array" ref="D256">_xlfn.XLOOKUP(_xlfn.FLOOR.MATH(C256),'Mortality Tables'!$B$4:$B$124,_xlfn.XLOOKUP(mortality_table,'Mortality Tables'!$B$3:$G$3,'Mortality Tables'!$B$4:$G$124,0,0),0,0)</f>
        <v>5.8200000000000005E-4</v>
      </c>
      <c r="E256" s="1">
        <f t="shared" si="24"/>
        <v>4.85E-5</v>
      </c>
      <c r="F256" s="1">
        <f t="shared" si="28"/>
        <v>0.99995149999999999</v>
      </c>
      <c r="G256" s="1">
        <f t="shared" si="29"/>
        <v>0.99023369064169831</v>
      </c>
      <c r="H256" s="34">
        <f t="shared" si="25"/>
        <v>0.36631406498485669</v>
      </c>
      <c r="I256" s="36">
        <f t="shared" si="26"/>
        <v>0.36273652850391758</v>
      </c>
    </row>
    <row r="257" spans="2:9" x14ac:dyDescent="0.35">
      <c r="B257" s="16">
        <f t="shared" si="27"/>
        <v>20.666666666666643</v>
      </c>
      <c r="C257" s="17">
        <f t="shared" si="23"/>
        <v>20.666666666666643</v>
      </c>
      <c r="D257" s="1" cm="1">
        <f t="array" ref="D257">_xlfn.XLOOKUP(_xlfn.FLOOR.MATH(C257),'Mortality Tables'!$B$4:$B$124,_xlfn.XLOOKUP(mortality_table,'Mortality Tables'!$B$3:$G$3,'Mortality Tables'!$B$4:$G$124,0,0),0,0)</f>
        <v>5.8200000000000005E-4</v>
      </c>
      <c r="E257" s="1">
        <f t="shared" si="24"/>
        <v>4.85E-5</v>
      </c>
      <c r="F257" s="1">
        <f t="shared" si="28"/>
        <v>0.99995149999999999</v>
      </c>
      <c r="G257" s="1">
        <f t="shared" si="29"/>
        <v>0.99018566430770216</v>
      </c>
      <c r="H257" s="34">
        <f t="shared" si="25"/>
        <v>0.36482771172757339</v>
      </c>
      <c r="I257" s="36">
        <f t="shared" si="26"/>
        <v>0.3612471700948261</v>
      </c>
    </row>
    <row r="258" spans="2:9" x14ac:dyDescent="0.35">
      <c r="B258" s="16">
        <f t="shared" si="27"/>
        <v>20.749999999999975</v>
      </c>
      <c r="C258" s="17">
        <f t="shared" si="23"/>
        <v>20.749999999999975</v>
      </c>
      <c r="D258" s="1" cm="1">
        <f t="array" ref="D258">_xlfn.XLOOKUP(_xlfn.FLOOR.MATH(C258),'Mortality Tables'!$B$4:$B$124,_xlfn.XLOOKUP(mortality_table,'Mortality Tables'!$B$3:$G$3,'Mortality Tables'!$B$4:$G$124,0,0),0,0)</f>
        <v>5.8200000000000005E-4</v>
      </c>
      <c r="E258" s="1">
        <f t="shared" si="24"/>
        <v>4.85E-5</v>
      </c>
      <c r="F258" s="1">
        <f t="shared" si="28"/>
        <v>0.99995149999999999</v>
      </c>
      <c r="G258" s="1">
        <f t="shared" si="29"/>
        <v>0.99013764030298324</v>
      </c>
      <c r="H258" s="34">
        <f t="shared" si="25"/>
        <v>0.36334738948634066</v>
      </c>
      <c r="I258" s="36">
        <f t="shared" si="26"/>
        <v>0.3597639268362543</v>
      </c>
    </row>
    <row r="259" spans="2:9" x14ac:dyDescent="0.35">
      <c r="B259" s="16">
        <f t="shared" si="27"/>
        <v>20.833333333333307</v>
      </c>
      <c r="C259" s="17">
        <f t="shared" si="23"/>
        <v>20.833333333333307</v>
      </c>
      <c r="D259" s="1" cm="1">
        <f t="array" ref="D259">_xlfn.XLOOKUP(_xlfn.FLOOR.MATH(C259),'Mortality Tables'!$B$4:$B$124,_xlfn.XLOOKUP(mortality_table,'Mortality Tables'!$B$3:$G$3,'Mortality Tables'!$B$4:$G$124,0,0),0,0)</f>
        <v>5.8200000000000005E-4</v>
      </c>
      <c r="E259" s="1">
        <f t="shared" si="24"/>
        <v>4.85E-5</v>
      </c>
      <c r="F259" s="1">
        <f t="shared" si="28"/>
        <v>0.99995149999999999</v>
      </c>
      <c r="G259" s="1">
        <f t="shared" si="29"/>
        <v>0.9900896186274285</v>
      </c>
      <c r="H259" s="34">
        <f t="shared" si="25"/>
        <v>0.36187307378975192</v>
      </c>
      <c r="I259" s="36">
        <f t="shared" si="26"/>
        <v>0.35828677362003075</v>
      </c>
    </row>
    <row r="260" spans="2:9" x14ac:dyDescent="0.35">
      <c r="B260" s="16">
        <f t="shared" si="27"/>
        <v>20.916666666666639</v>
      </c>
      <c r="C260" s="17">
        <f t="shared" si="23"/>
        <v>20.916666666666639</v>
      </c>
      <c r="D260" s="1" cm="1">
        <f t="array" ref="D260">_xlfn.XLOOKUP(_xlfn.FLOOR.MATH(C260),'Mortality Tables'!$B$4:$B$124,_xlfn.XLOOKUP(mortality_table,'Mortality Tables'!$B$3:$G$3,'Mortality Tables'!$B$4:$G$124,0,0),0,0)</f>
        <v>5.8200000000000005E-4</v>
      </c>
      <c r="E260" s="1">
        <f t="shared" si="24"/>
        <v>4.85E-5</v>
      </c>
      <c r="F260" s="1">
        <f t="shared" si="28"/>
        <v>0.99995149999999999</v>
      </c>
      <c r="G260" s="1">
        <f t="shared" si="29"/>
        <v>0.99004159928092506</v>
      </c>
      <c r="H260" s="34">
        <f t="shared" si="25"/>
        <v>0.36040474026569586</v>
      </c>
      <c r="I260" s="36">
        <f t="shared" si="26"/>
        <v>0.35681568544107595</v>
      </c>
    </row>
    <row r="261" spans="2:9" x14ac:dyDescent="0.35">
      <c r="B261" s="16">
        <f t="shared" si="27"/>
        <v>20.999999999999972</v>
      </c>
      <c r="C261" s="17">
        <f t="shared" si="23"/>
        <v>20.999999999999972</v>
      </c>
      <c r="D261" s="1" cm="1">
        <f t="array" ref="D261">_xlfn.XLOOKUP(_xlfn.FLOOR.MATH(C261),'Mortality Tables'!$B$4:$B$124,_xlfn.XLOOKUP(mortality_table,'Mortality Tables'!$B$3:$G$3,'Mortality Tables'!$B$4:$G$124,0,0),0,0)</f>
        <v>5.7700000000000004E-4</v>
      </c>
      <c r="E261" s="1">
        <f t="shared" si="24"/>
        <v>4.8083333333333334E-5</v>
      </c>
      <c r="F261" s="1">
        <f t="shared" si="28"/>
        <v>0.99995191666666672</v>
      </c>
      <c r="G261" s="1">
        <f t="shared" si="29"/>
        <v>0.98999358226335987</v>
      </c>
      <c r="H261" s="34">
        <f t="shared" si="25"/>
        <v>0.35894236464095325</v>
      </c>
      <c r="I261" s="36">
        <f t="shared" si="26"/>
        <v>0.35535063739697847</v>
      </c>
    </row>
    <row r="262" spans="2:9" x14ac:dyDescent="0.35">
      <c r="B262" s="16">
        <f t="shared" si="27"/>
        <v>21.083333333333304</v>
      </c>
      <c r="C262" s="17">
        <f t="shared" si="23"/>
        <v>21.083333333333304</v>
      </c>
      <c r="D262" s="1" cm="1">
        <f t="array" ref="D262">_xlfn.XLOOKUP(_xlfn.FLOOR.MATH(C262),'Mortality Tables'!$B$4:$B$124,_xlfn.XLOOKUP(mortality_table,'Mortality Tables'!$B$3:$G$3,'Mortality Tables'!$B$4:$G$124,0,0),0,0)</f>
        <v>5.7700000000000004E-4</v>
      </c>
      <c r="E262" s="1">
        <f t="shared" si="24"/>
        <v>4.8083333333333334E-5</v>
      </c>
      <c r="F262" s="1">
        <f t="shared" si="28"/>
        <v>0.99995191666666672</v>
      </c>
      <c r="G262" s="1">
        <f t="shared" si="29"/>
        <v>0.98994598007194612</v>
      </c>
      <c r="H262" s="34">
        <f t="shared" si="25"/>
        <v>0.35748592274079549</v>
      </c>
      <c r="I262" s="36">
        <f t="shared" si="26"/>
        <v>0.35389175214956081</v>
      </c>
    </row>
    <row r="263" spans="2:9" x14ac:dyDescent="0.35">
      <c r="B263" s="16">
        <f t="shared" si="27"/>
        <v>21.166666666666636</v>
      </c>
      <c r="C263" s="17">
        <f t="shared" si="23"/>
        <v>21.166666666666636</v>
      </c>
      <c r="D263" s="1" cm="1">
        <f t="array" ref="D263">_xlfn.XLOOKUP(_xlfn.FLOOR.MATH(C263),'Mortality Tables'!$B$4:$B$124,_xlfn.XLOOKUP(mortality_table,'Mortality Tables'!$B$3:$G$3,'Mortality Tables'!$B$4:$G$124,0,0),0,0)</f>
        <v>5.7700000000000004E-4</v>
      </c>
      <c r="E263" s="1">
        <f t="shared" si="24"/>
        <v>4.8083333333333334E-5</v>
      </c>
      <c r="F263" s="1">
        <f t="shared" si="28"/>
        <v>0.99995191666666672</v>
      </c>
      <c r="G263" s="1">
        <f t="shared" si="29"/>
        <v>0.98989838016940435</v>
      </c>
      <c r="H263" s="34">
        <f t="shared" si="25"/>
        <v>0.35603539048858546</v>
      </c>
      <c r="I263" s="36">
        <f t="shared" si="26"/>
        <v>0.35243885632763211</v>
      </c>
    </row>
    <row r="264" spans="2:9" x14ac:dyDescent="0.35">
      <c r="B264" s="16">
        <f t="shared" si="27"/>
        <v>21.249999999999968</v>
      </c>
      <c r="C264" s="17">
        <f t="shared" si="23"/>
        <v>21.249999999999968</v>
      </c>
      <c r="D264" s="1" cm="1">
        <f t="array" ref="D264">_xlfn.XLOOKUP(_xlfn.FLOOR.MATH(C264),'Mortality Tables'!$B$4:$B$124,_xlfn.XLOOKUP(mortality_table,'Mortality Tables'!$B$3:$G$3,'Mortality Tables'!$B$4:$G$124,0,0),0,0)</f>
        <v>5.7700000000000004E-4</v>
      </c>
      <c r="E264" s="1">
        <f t="shared" si="24"/>
        <v>4.8083333333333334E-5</v>
      </c>
      <c r="F264" s="1">
        <f t="shared" si="28"/>
        <v>0.99995191666666672</v>
      </c>
      <c r="G264" s="1">
        <f t="shared" si="29"/>
        <v>0.98985078255562453</v>
      </c>
      <c r="H264" s="34">
        <f t="shared" si="25"/>
        <v>0.35459074390537904</v>
      </c>
      <c r="I264" s="36">
        <f t="shared" si="26"/>
        <v>0.35099192534172047</v>
      </c>
    </row>
    <row r="265" spans="2:9" x14ac:dyDescent="0.35">
      <c r="B265" s="16">
        <f t="shared" si="27"/>
        <v>21.3333333333333</v>
      </c>
      <c r="C265" s="17">
        <f t="shared" ref="C265:C328" si="30">current_age+B265</f>
        <v>21.3333333333333</v>
      </c>
      <c r="D265" s="1" cm="1">
        <f t="array" ref="D265">_xlfn.XLOOKUP(_xlfn.FLOOR.MATH(C265),'Mortality Tables'!$B$4:$B$124,_xlfn.XLOOKUP(mortality_table,'Mortality Tables'!$B$3:$G$3,'Mortality Tables'!$B$4:$G$124,0,0),0,0)</f>
        <v>5.7700000000000004E-4</v>
      </c>
      <c r="E265" s="1">
        <f t="shared" ref="E265:E328" si="31">$F$5*D265</f>
        <v>4.8083333333333334E-5</v>
      </c>
      <c r="F265" s="1">
        <f t="shared" si="28"/>
        <v>0.99995191666666672</v>
      </c>
      <c r="G265" s="1">
        <f t="shared" si="29"/>
        <v>0.98980318723049665</v>
      </c>
      <c r="H265" s="34">
        <f t="shared" ref="H265:H328" si="32">(1+interest_rate)^-(B265)</f>
        <v>0.3531519591095289</v>
      </c>
      <c r="I265" s="36">
        <f t="shared" ref="I265:I328" si="33">IF(current_age+B265&lt;=$C$5,G265*H265,0)</f>
        <v>0.34955093470330573</v>
      </c>
    </row>
    <row r="266" spans="2:9" x14ac:dyDescent="0.35">
      <c r="B266" s="16">
        <f t="shared" ref="B266:B329" si="34">B265+$F$5</f>
        <v>21.416666666666632</v>
      </c>
      <c r="C266" s="17">
        <f t="shared" si="30"/>
        <v>21.416666666666632</v>
      </c>
      <c r="D266" s="1" cm="1">
        <f t="array" ref="D266">_xlfn.XLOOKUP(_xlfn.FLOOR.MATH(C266),'Mortality Tables'!$B$4:$B$124,_xlfn.XLOOKUP(mortality_table,'Mortality Tables'!$B$3:$G$3,'Mortality Tables'!$B$4:$G$124,0,0),0,0)</f>
        <v>5.7700000000000004E-4</v>
      </c>
      <c r="E266" s="1">
        <f t="shared" si="31"/>
        <v>4.8083333333333334E-5</v>
      </c>
      <c r="F266" s="1">
        <f t="shared" si="28"/>
        <v>0.99995191666666672</v>
      </c>
      <c r="G266" s="1">
        <f t="shared" si="29"/>
        <v>0.98975559419391068</v>
      </c>
      <c r="H266" s="34">
        <f t="shared" si="32"/>
        <v>0.35171901231628988</v>
      </c>
      <c r="I266" s="36">
        <f t="shared" si="33"/>
        <v>0.34811586002440487</v>
      </c>
    </row>
    <row r="267" spans="2:9" x14ac:dyDescent="0.35">
      <c r="B267" s="16">
        <f t="shared" si="34"/>
        <v>21.499999999999964</v>
      </c>
      <c r="C267" s="17">
        <f t="shared" si="30"/>
        <v>21.499999999999964</v>
      </c>
      <c r="D267" s="1" cm="1">
        <f t="array" ref="D267">_xlfn.XLOOKUP(_xlfn.FLOOR.MATH(C267),'Mortality Tables'!$B$4:$B$124,_xlfn.XLOOKUP(mortality_table,'Mortality Tables'!$B$3:$G$3,'Mortality Tables'!$B$4:$G$124,0,0),0,0)</f>
        <v>5.7700000000000004E-4</v>
      </c>
      <c r="E267" s="1">
        <f t="shared" si="31"/>
        <v>4.8083333333333334E-5</v>
      </c>
      <c r="F267" s="1">
        <f t="shared" si="28"/>
        <v>0.99995191666666672</v>
      </c>
      <c r="G267" s="1">
        <f t="shared" si="29"/>
        <v>0.9897080034457566</v>
      </c>
      <c r="H267" s="34">
        <f t="shared" si="32"/>
        <v>0.35029187983742538</v>
      </c>
      <c r="I267" s="36">
        <f t="shared" si="33"/>
        <v>0.34668667701715916</v>
      </c>
    </row>
    <row r="268" spans="2:9" x14ac:dyDescent="0.35">
      <c r="B268" s="16">
        <f t="shared" si="34"/>
        <v>21.583333333333297</v>
      </c>
      <c r="C268" s="17">
        <f t="shared" si="30"/>
        <v>21.583333333333297</v>
      </c>
      <c r="D268" s="1" cm="1">
        <f t="array" ref="D268">_xlfn.XLOOKUP(_xlfn.FLOOR.MATH(C268),'Mortality Tables'!$B$4:$B$124,_xlfn.XLOOKUP(mortality_table,'Mortality Tables'!$B$3:$G$3,'Mortality Tables'!$B$4:$G$124,0,0),0,0)</f>
        <v>5.7700000000000004E-4</v>
      </c>
      <c r="E268" s="1">
        <f t="shared" si="31"/>
        <v>4.8083333333333334E-5</v>
      </c>
      <c r="F268" s="1">
        <f t="shared" si="28"/>
        <v>0.99995191666666672</v>
      </c>
      <c r="G268" s="1">
        <f t="shared" si="29"/>
        <v>0.98966041498592427</v>
      </c>
      <c r="H268" s="34">
        <f t="shared" si="32"/>
        <v>0.34887053808081619</v>
      </c>
      <c r="I268" s="36">
        <f t="shared" si="33"/>
        <v>0.34526336149342324</v>
      </c>
    </row>
    <row r="269" spans="2:9" x14ac:dyDescent="0.35">
      <c r="B269" s="16">
        <f t="shared" si="34"/>
        <v>21.666666666666629</v>
      </c>
      <c r="C269" s="17">
        <f t="shared" si="30"/>
        <v>21.666666666666629</v>
      </c>
      <c r="D269" s="1" cm="1">
        <f t="array" ref="D269">_xlfn.XLOOKUP(_xlfn.FLOOR.MATH(C269),'Mortality Tables'!$B$4:$B$124,_xlfn.XLOOKUP(mortality_table,'Mortality Tables'!$B$3:$G$3,'Mortality Tables'!$B$4:$G$124,0,0),0,0)</f>
        <v>5.7700000000000004E-4</v>
      </c>
      <c r="E269" s="1">
        <f t="shared" si="31"/>
        <v>4.8083333333333334E-5</v>
      </c>
      <c r="F269" s="1">
        <f t="shared" si="28"/>
        <v>0.99995191666666672</v>
      </c>
      <c r="G269" s="1">
        <f t="shared" si="29"/>
        <v>0.98961282881430379</v>
      </c>
      <c r="H269" s="34">
        <f t="shared" si="32"/>
        <v>0.34745496355007011</v>
      </c>
      <c r="I269" s="36">
        <f t="shared" si="33"/>
        <v>0.34384588936435567</v>
      </c>
    </row>
    <row r="270" spans="2:9" x14ac:dyDescent="0.35">
      <c r="B270" s="16">
        <f t="shared" si="34"/>
        <v>21.749999999999961</v>
      </c>
      <c r="C270" s="17">
        <f t="shared" si="30"/>
        <v>21.749999999999961</v>
      </c>
      <c r="D270" s="1" cm="1">
        <f t="array" ref="D270">_xlfn.XLOOKUP(_xlfn.FLOOR.MATH(C270),'Mortality Tables'!$B$4:$B$124,_xlfn.XLOOKUP(mortality_table,'Mortality Tables'!$B$3:$G$3,'Mortality Tables'!$B$4:$G$124,0,0),0,0)</f>
        <v>5.7700000000000004E-4</v>
      </c>
      <c r="E270" s="1">
        <f t="shared" si="31"/>
        <v>4.8083333333333334E-5</v>
      </c>
      <c r="F270" s="1">
        <f t="shared" si="28"/>
        <v>0.99995191666666672</v>
      </c>
      <c r="G270" s="1">
        <f t="shared" si="29"/>
        <v>0.98956524493078502</v>
      </c>
      <c r="H270" s="34">
        <f t="shared" si="32"/>
        <v>0.34604513284413407</v>
      </c>
      <c r="I270" s="36">
        <f t="shared" si="33"/>
        <v>0.34243423664001155</v>
      </c>
    </row>
    <row r="271" spans="2:9" x14ac:dyDescent="0.35">
      <c r="B271" s="16">
        <f t="shared" si="34"/>
        <v>21.833333333333293</v>
      </c>
      <c r="C271" s="17">
        <f t="shared" si="30"/>
        <v>21.833333333333293</v>
      </c>
      <c r="D271" s="1" cm="1">
        <f t="array" ref="D271">_xlfn.XLOOKUP(_xlfn.FLOOR.MATH(C271),'Mortality Tables'!$B$4:$B$124,_xlfn.XLOOKUP(mortality_table,'Mortality Tables'!$B$3:$G$3,'Mortality Tables'!$B$4:$G$124,0,0),0,0)</f>
        <v>5.7700000000000004E-4</v>
      </c>
      <c r="E271" s="1">
        <f t="shared" si="31"/>
        <v>4.8083333333333334E-5</v>
      </c>
      <c r="F271" s="1">
        <f t="shared" si="28"/>
        <v>0.99995191666666672</v>
      </c>
      <c r="G271" s="1">
        <f t="shared" si="29"/>
        <v>0.98951766333525792</v>
      </c>
      <c r="H271" s="34">
        <f t="shared" si="32"/>
        <v>0.34464102265690671</v>
      </c>
      <c r="I271" s="36">
        <f t="shared" si="33"/>
        <v>0.34102837942893599</v>
      </c>
    </row>
    <row r="272" spans="2:9" x14ac:dyDescent="0.35">
      <c r="B272" s="16">
        <f t="shared" si="34"/>
        <v>21.916666666666625</v>
      </c>
      <c r="C272" s="17">
        <f t="shared" si="30"/>
        <v>21.916666666666625</v>
      </c>
      <c r="D272" s="1" cm="1">
        <f t="array" ref="D272">_xlfn.XLOOKUP(_xlfn.FLOOR.MATH(C272),'Mortality Tables'!$B$4:$B$124,_xlfn.XLOOKUP(mortality_table,'Mortality Tables'!$B$3:$G$3,'Mortality Tables'!$B$4:$G$124,0,0),0,0)</f>
        <v>5.7700000000000004E-4</v>
      </c>
      <c r="E272" s="1">
        <f t="shared" si="31"/>
        <v>4.8083333333333334E-5</v>
      </c>
      <c r="F272" s="1">
        <f t="shared" si="28"/>
        <v>0.99995191666666672</v>
      </c>
      <c r="G272" s="1">
        <f t="shared" si="29"/>
        <v>0.98947008402761261</v>
      </c>
      <c r="H272" s="34">
        <f t="shared" si="32"/>
        <v>0.34324260977685339</v>
      </c>
      <c r="I272" s="36">
        <f t="shared" si="33"/>
        <v>0.33962829393776017</v>
      </c>
    </row>
    <row r="273" spans="2:9" x14ac:dyDescent="0.35">
      <c r="B273" s="16">
        <f t="shared" si="34"/>
        <v>21.999999999999957</v>
      </c>
      <c r="C273" s="17">
        <f t="shared" si="30"/>
        <v>21.999999999999957</v>
      </c>
      <c r="D273" s="1" cm="1">
        <f t="array" ref="D273">_xlfn.XLOOKUP(_xlfn.FLOOR.MATH(C273),'Mortality Tables'!$B$4:$B$124,_xlfn.XLOOKUP(mortality_table,'Mortality Tables'!$B$3:$G$3,'Mortality Tables'!$B$4:$G$124,0,0),0,0)</f>
        <v>5.7200000000000003E-4</v>
      </c>
      <c r="E273" s="1">
        <f t="shared" si="31"/>
        <v>4.7666666666666669E-5</v>
      </c>
      <c r="F273" s="1">
        <f t="shared" si="28"/>
        <v>0.99995233333333333</v>
      </c>
      <c r="G273" s="1">
        <f t="shared" si="29"/>
        <v>0.98942250700773904</v>
      </c>
      <c r="H273" s="34">
        <f t="shared" si="32"/>
        <v>0.34184987108662229</v>
      </c>
      <c r="I273" s="36">
        <f t="shared" si="33"/>
        <v>0.33823395647079824</v>
      </c>
    </row>
    <row r="274" spans="2:9" x14ac:dyDescent="0.35">
      <c r="B274" s="16">
        <f t="shared" si="34"/>
        <v>22.08333333333329</v>
      </c>
      <c r="C274" s="17">
        <f t="shared" si="30"/>
        <v>22.08333333333329</v>
      </c>
      <c r="D274" s="1" cm="1">
        <f t="array" ref="D274">_xlfn.XLOOKUP(_xlfn.FLOOR.MATH(C274),'Mortality Tables'!$B$4:$B$124,_xlfn.XLOOKUP(mortality_table,'Mortality Tables'!$B$3:$G$3,'Mortality Tables'!$B$4:$G$124,0,0),0,0)</f>
        <v>5.7200000000000003E-4</v>
      </c>
      <c r="E274" s="1">
        <f t="shared" si="31"/>
        <v>4.7666666666666669E-5</v>
      </c>
      <c r="F274" s="1">
        <f t="shared" si="28"/>
        <v>0.99995233333333333</v>
      </c>
      <c r="G274" s="1">
        <f t="shared" si="29"/>
        <v>0.98937534453490505</v>
      </c>
      <c r="H274" s="34">
        <f t="shared" si="32"/>
        <v>0.34046278356266257</v>
      </c>
      <c r="I274" s="36">
        <f t="shared" si="33"/>
        <v>0.33684548378862211</v>
      </c>
    </row>
    <row r="275" spans="2:9" x14ac:dyDescent="0.35">
      <c r="B275" s="16">
        <f t="shared" si="34"/>
        <v>22.166666666666622</v>
      </c>
      <c r="C275" s="17">
        <f t="shared" si="30"/>
        <v>22.166666666666622</v>
      </c>
      <c r="D275" s="1" cm="1">
        <f t="array" ref="D275">_xlfn.XLOOKUP(_xlfn.FLOOR.MATH(C275),'Mortality Tables'!$B$4:$B$124,_xlfn.XLOOKUP(mortality_table,'Mortality Tables'!$B$3:$G$3,'Mortality Tables'!$B$4:$G$124,0,0),0,0)</f>
        <v>5.7200000000000003E-4</v>
      </c>
      <c r="E275" s="1">
        <f t="shared" si="31"/>
        <v>4.7666666666666669E-5</v>
      </c>
      <c r="F275" s="1">
        <f t="shared" si="28"/>
        <v>0.99995233333333333</v>
      </c>
      <c r="G275" s="1">
        <f t="shared" si="29"/>
        <v>0.98932818431014891</v>
      </c>
      <c r="H275" s="34">
        <f t="shared" si="32"/>
        <v>0.3390813242748435</v>
      </c>
      <c r="I275" s="36">
        <f t="shared" si="33"/>
        <v>0.33546271087831175</v>
      </c>
    </row>
    <row r="276" spans="2:9" x14ac:dyDescent="0.35">
      <c r="B276" s="16">
        <f t="shared" si="34"/>
        <v>22.249999999999954</v>
      </c>
      <c r="C276" s="17">
        <f t="shared" si="30"/>
        <v>22.249999999999954</v>
      </c>
      <c r="D276" s="1" cm="1">
        <f t="array" ref="D276">_xlfn.XLOOKUP(_xlfn.FLOOR.MATH(C276),'Mortality Tables'!$B$4:$B$124,_xlfn.XLOOKUP(mortality_table,'Mortality Tables'!$B$3:$G$3,'Mortality Tables'!$B$4:$G$124,0,0),0,0)</f>
        <v>5.7200000000000003E-4</v>
      </c>
      <c r="E276" s="1">
        <f t="shared" si="31"/>
        <v>4.7666666666666669E-5</v>
      </c>
      <c r="F276" s="1">
        <f t="shared" si="28"/>
        <v>0.99995233333333333</v>
      </c>
      <c r="G276" s="1">
        <f t="shared" si="29"/>
        <v>0.98928102633336346</v>
      </c>
      <c r="H276" s="34">
        <f t="shared" si="32"/>
        <v>0.33770547038607546</v>
      </c>
      <c r="I276" s="36">
        <f t="shared" si="33"/>
        <v>0.33408561434192802</v>
      </c>
    </row>
    <row r="277" spans="2:9" x14ac:dyDescent="0.35">
      <c r="B277" s="16">
        <f t="shared" si="34"/>
        <v>22.333333333333286</v>
      </c>
      <c r="C277" s="17">
        <f t="shared" si="30"/>
        <v>22.333333333333286</v>
      </c>
      <c r="D277" s="1" cm="1">
        <f t="array" ref="D277">_xlfn.XLOOKUP(_xlfn.FLOOR.MATH(C277),'Mortality Tables'!$B$4:$B$124,_xlfn.XLOOKUP(mortality_table,'Mortality Tables'!$B$3:$G$3,'Mortality Tables'!$B$4:$G$124,0,0),0,0)</f>
        <v>5.7200000000000003E-4</v>
      </c>
      <c r="E277" s="1">
        <f t="shared" si="31"/>
        <v>4.7666666666666669E-5</v>
      </c>
      <c r="F277" s="1">
        <f t="shared" si="28"/>
        <v>0.99995233333333333</v>
      </c>
      <c r="G277" s="1">
        <f t="shared" si="29"/>
        <v>0.98923387060444157</v>
      </c>
      <c r="H277" s="34">
        <f t="shared" si="32"/>
        <v>0.3363351991519325</v>
      </c>
      <c r="I277" s="36">
        <f t="shared" si="33"/>
        <v>0.33271417087758187</v>
      </c>
    </row>
    <row r="278" spans="2:9" x14ac:dyDescent="0.35">
      <c r="B278" s="16">
        <f t="shared" si="34"/>
        <v>22.416666666666618</v>
      </c>
      <c r="C278" s="17">
        <f t="shared" si="30"/>
        <v>22.416666666666618</v>
      </c>
      <c r="D278" s="1" cm="1">
        <f t="array" ref="D278">_xlfn.XLOOKUP(_xlfn.FLOOR.MATH(C278),'Mortality Tables'!$B$4:$B$124,_xlfn.XLOOKUP(mortality_table,'Mortality Tables'!$B$3:$G$3,'Mortality Tables'!$B$4:$G$124,0,0),0,0)</f>
        <v>5.7200000000000003E-4</v>
      </c>
      <c r="E278" s="1">
        <f t="shared" si="31"/>
        <v>4.7666666666666669E-5</v>
      </c>
      <c r="F278" s="1">
        <f t="shared" si="28"/>
        <v>0.99995233333333333</v>
      </c>
      <c r="G278" s="1">
        <f t="shared" si="29"/>
        <v>0.9891867171232761</v>
      </c>
      <c r="H278" s="34">
        <f t="shared" si="32"/>
        <v>0.33497048792027623</v>
      </c>
      <c r="I278" s="36">
        <f t="shared" si="33"/>
        <v>0.33134835727904005</v>
      </c>
    </row>
    <row r="279" spans="2:9" x14ac:dyDescent="0.35">
      <c r="B279" s="16">
        <f t="shared" si="34"/>
        <v>22.49999999999995</v>
      </c>
      <c r="C279" s="17">
        <f t="shared" si="30"/>
        <v>22.49999999999995</v>
      </c>
      <c r="D279" s="1" cm="1">
        <f t="array" ref="D279">_xlfn.XLOOKUP(_xlfn.FLOOR.MATH(C279),'Mortality Tables'!$B$4:$B$124,_xlfn.XLOOKUP(mortality_table,'Mortality Tables'!$B$3:$G$3,'Mortality Tables'!$B$4:$G$124,0,0),0,0)</f>
        <v>5.7200000000000003E-4</v>
      </c>
      <c r="E279" s="1">
        <f t="shared" si="31"/>
        <v>4.7666666666666669E-5</v>
      </c>
      <c r="F279" s="1">
        <f t="shared" si="28"/>
        <v>0.99995233333333333</v>
      </c>
      <c r="G279" s="1">
        <f t="shared" si="29"/>
        <v>0.98913956588975993</v>
      </c>
      <c r="H279" s="34">
        <f t="shared" si="32"/>
        <v>0.33361131413088146</v>
      </c>
      <c r="I279" s="36">
        <f t="shared" si="33"/>
        <v>0.32998815043533242</v>
      </c>
    </row>
    <row r="280" spans="2:9" x14ac:dyDescent="0.35">
      <c r="B280" s="16">
        <f t="shared" si="34"/>
        <v>22.583333333333282</v>
      </c>
      <c r="C280" s="17">
        <f t="shared" si="30"/>
        <v>22.583333333333282</v>
      </c>
      <c r="D280" s="1" cm="1">
        <f t="array" ref="D280">_xlfn.XLOOKUP(_xlfn.FLOOR.MATH(C280),'Mortality Tables'!$B$4:$B$124,_xlfn.XLOOKUP(mortality_table,'Mortality Tables'!$B$3:$G$3,'Mortality Tables'!$B$4:$G$124,0,0),0,0)</f>
        <v>5.7200000000000003E-4</v>
      </c>
      <c r="E280" s="1">
        <f t="shared" si="31"/>
        <v>4.7666666666666669E-5</v>
      </c>
      <c r="F280" s="1">
        <f t="shared" si="28"/>
        <v>0.99995233333333333</v>
      </c>
      <c r="G280" s="1">
        <f t="shared" si="29"/>
        <v>0.9890924169037858</v>
      </c>
      <c r="H280" s="34">
        <f t="shared" si="32"/>
        <v>0.33225765531506318</v>
      </c>
      <c r="I280" s="36">
        <f t="shared" si="33"/>
        <v>0.32863352733036083</v>
      </c>
    </row>
    <row r="281" spans="2:9" x14ac:dyDescent="0.35">
      <c r="B281" s="16">
        <f t="shared" si="34"/>
        <v>22.666666666666615</v>
      </c>
      <c r="C281" s="17">
        <f t="shared" si="30"/>
        <v>22.666666666666615</v>
      </c>
      <c r="D281" s="1" cm="1">
        <f t="array" ref="D281">_xlfn.XLOOKUP(_xlfn.FLOOR.MATH(C281),'Mortality Tables'!$B$4:$B$124,_xlfn.XLOOKUP(mortality_table,'Mortality Tables'!$B$3:$G$3,'Mortality Tables'!$B$4:$G$124,0,0),0,0)</f>
        <v>5.7200000000000003E-4</v>
      </c>
      <c r="E281" s="1">
        <f t="shared" si="31"/>
        <v>4.7666666666666669E-5</v>
      </c>
      <c r="F281" s="1">
        <f t="shared" si="28"/>
        <v>0.99995233333333333</v>
      </c>
      <c r="G281" s="1">
        <f t="shared" si="29"/>
        <v>0.98904527016524668</v>
      </c>
      <c r="H281" s="34">
        <f t="shared" si="32"/>
        <v>0.3309094890953051</v>
      </c>
      <c r="I281" s="36">
        <f t="shared" si="33"/>
        <v>0.3272844650425098</v>
      </c>
    </row>
    <row r="282" spans="2:9" x14ac:dyDescent="0.35">
      <c r="B282" s="16">
        <f t="shared" si="34"/>
        <v>22.749999999999947</v>
      </c>
      <c r="C282" s="17">
        <f t="shared" si="30"/>
        <v>22.749999999999947</v>
      </c>
      <c r="D282" s="1" cm="1">
        <f t="array" ref="D282">_xlfn.XLOOKUP(_xlfn.FLOOR.MATH(C282),'Mortality Tables'!$B$4:$B$124,_xlfn.XLOOKUP(mortality_table,'Mortality Tables'!$B$3:$G$3,'Mortality Tables'!$B$4:$G$124,0,0),0,0)</f>
        <v>5.7200000000000003E-4</v>
      </c>
      <c r="E282" s="1">
        <f t="shared" si="31"/>
        <v>4.7666666666666669E-5</v>
      </c>
      <c r="F282" s="1">
        <f t="shared" si="28"/>
        <v>0.99995233333333333</v>
      </c>
      <c r="G282" s="1">
        <f t="shared" si="29"/>
        <v>0.98899812567403544</v>
      </c>
      <c r="H282" s="34">
        <f t="shared" si="32"/>
        <v>0.32956679318488985</v>
      </c>
      <c r="I282" s="36">
        <f t="shared" si="33"/>
        <v>0.32594094074425856</v>
      </c>
    </row>
    <row r="283" spans="2:9" x14ac:dyDescent="0.35">
      <c r="B283" s="16">
        <f t="shared" si="34"/>
        <v>22.833333333333279</v>
      </c>
      <c r="C283" s="17">
        <f t="shared" si="30"/>
        <v>22.833333333333279</v>
      </c>
      <c r="D283" s="1" cm="1">
        <f t="array" ref="D283">_xlfn.XLOOKUP(_xlfn.FLOOR.MATH(C283),'Mortality Tables'!$B$4:$B$124,_xlfn.XLOOKUP(mortality_table,'Mortality Tables'!$B$3:$G$3,'Mortality Tables'!$B$4:$G$124,0,0),0,0)</f>
        <v>5.7200000000000003E-4</v>
      </c>
      <c r="E283" s="1">
        <f t="shared" si="31"/>
        <v>4.7666666666666669E-5</v>
      </c>
      <c r="F283" s="1">
        <f t="shared" ref="F283:F346" si="35">1-E283</f>
        <v>0.99995233333333333</v>
      </c>
      <c r="G283" s="1">
        <f t="shared" ref="G283:G346" si="36">G282*F282</f>
        <v>0.98895098343004495</v>
      </c>
      <c r="H283" s="34">
        <f t="shared" si="32"/>
        <v>0.32822954538753052</v>
      </c>
      <c r="I283" s="36">
        <f t="shared" si="33"/>
        <v>0.32460293170179488</v>
      </c>
    </row>
    <row r="284" spans="2:9" x14ac:dyDescent="0.35">
      <c r="B284" s="16">
        <f t="shared" si="34"/>
        <v>22.916666666666611</v>
      </c>
      <c r="C284" s="17">
        <f t="shared" si="30"/>
        <v>22.916666666666611</v>
      </c>
      <c r="D284" s="1" cm="1">
        <f t="array" ref="D284">_xlfn.XLOOKUP(_xlfn.FLOOR.MATH(C284),'Mortality Tables'!$B$4:$B$124,_xlfn.XLOOKUP(mortality_table,'Mortality Tables'!$B$3:$G$3,'Mortality Tables'!$B$4:$G$124,0,0),0,0)</f>
        <v>5.7200000000000003E-4</v>
      </c>
      <c r="E284" s="1">
        <f t="shared" si="31"/>
        <v>4.7666666666666669E-5</v>
      </c>
      <c r="F284" s="1">
        <f t="shared" si="35"/>
        <v>0.99995233333333333</v>
      </c>
      <c r="G284" s="1">
        <f t="shared" si="36"/>
        <v>0.98890384343316806</v>
      </c>
      <c r="H284" s="34">
        <f t="shared" si="32"/>
        <v>0.32689772359700348</v>
      </c>
      <c r="I284" s="36">
        <f t="shared" si="33"/>
        <v>0.32327041527463019</v>
      </c>
    </row>
    <row r="285" spans="2:9" x14ac:dyDescent="0.35">
      <c r="B285" s="16">
        <f t="shared" si="34"/>
        <v>22.999999999999943</v>
      </c>
      <c r="C285" s="17">
        <f t="shared" si="30"/>
        <v>22.999999999999943</v>
      </c>
      <c r="D285" s="1" cm="1">
        <f t="array" ref="D285">_xlfn.XLOOKUP(_xlfn.FLOOR.MATH(C285),'Mortality Tables'!$B$4:$B$124,_xlfn.XLOOKUP(mortality_table,'Mortality Tables'!$B$3:$G$3,'Mortality Tables'!$B$4:$G$124,0,0),0,0)</f>
        <v>5.7200000000000003E-4</v>
      </c>
      <c r="E285" s="1">
        <f t="shared" si="31"/>
        <v>4.7666666666666669E-5</v>
      </c>
      <c r="F285" s="1">
        <f t="shared" si="35"/>
        <v>0.99995233333333333</v>
      </c>
      <c r="G285" s="1">
        <f t="shared" si="36"/>
        <v>0.98885670568329775</v>
      </c>
      <c r="H285" s="34">
        <f t="shared" si="32"/>
        <v>0.32557130579678339</v>
      </c>
      <c r="I285" s="36">
        <f t="shared" si="33"/>
        <v>0.32194336891521674</v>
      </c>
    </row>
    <row r="286" spans="2:9" x14ac:dyDescent="0.35">
      <c r="B286" s="16">
        <f t="shared" si="34"/>
        <v>23.083333333333275</v>
      </c>
      <c r="C286" s="17">
        <f t="shared" si="30"/>
        <v>23.083333333333275</v>
      </c>
      <c r="D286" s="1" cm="1">
        <f t="array" ref="D286">_xlfn.XLOOKUP(_xlfn.FLOOR.MATH(C286),'Mortality Tables'!$B$4:$B$124,_xlfn.XLOOKUP(mortality_table,'Mortality Tables'!$B$3:$G$3,'Mortality Tables'!$B$4:$G$124,0,0),0,0)</f>
        <v>5.6899999999999995E-4</v>
      </c>
      <c r="E286" s="1">
        <f t="shared" si="31"/>
        <v>4.7416666666666663E-5</v>
      </c>
      <c r="F286" s="1">
        <f t="shared" si="35"/>
        <v>0.99995258333333337</v>
      </c>
      <c r="G286" s="1">
        <f t="shared" si="36"/>
        <v>0.98880957018032689</v>
      </c>
      <c r="H286" s="34">
        <f t="shared" si="32"/>
        <v>0.32425027005967882</v>
      </c>
      <c r="I286" s="36">
        <f t="shared" si="33"/>
        <v>0.32062177016856591</v>
      </c>
    </row>
    <row r="287" spans="2:9" x14ac:dyDescent="0.35">
      <c r="B287" s="16">
        <f t="shared" si="34"/>
        <v>23.166666666666607</v>
      </c>
      <c r="C287" s="17">
        <f t="shared" si="30"/>
        <v>23.166666666666607</v>
      </c>
      <c r="D287" s="1" cm="1">
        <f t="array" ref="D287">_xlfn.XLOOKUP(_xlfn.FLOOR.MATH(C287),'Mortality Tables'!$B$4:$B$124,_xlfn.XLOOKUP(mortality_table,'Mortality Tables'!$B$3:$G$3,'Mortality Tables'!$B$4:$G$124,0,0),0,0)</f>
        <v>5.6899999999999995E-4</v>
      </c>
      <c r="E287" s="1">
        <f t="shared" si="31"/>
        <v>4.7416666666666663E-5</v>
      </c>
      <c r="F287" s="1">
        <f t="shared" si="35"/>
        <v>0.99995258333333337</v>
      </c>
      <c r="G287" s="1">
        <f t="shared" si="36"/>
        <v>0.98876268412654089</v>
      </c>
      <c r="H287" s="34">
        <f t="shared" si="32"/>
        <v>0.3229345945474702</v>
      </c>
      <c r="I287" s="36">
        <f t="shared" si="33"/>
        <v>0.31930567650207281</v>
      </c>
    </row>
    <row r="288" spans="2:9" x14ac:dyDescent="0.35">
      <c r="B288" s="16">
        <f t="shared" si="34"/>
        <v>23.24999999999994</v>
      </c>
      <c r="C288" s="17">
        <f t="shared" si="30"/>
        <v>23.24999999999994</v>
      </c>
      <c r="D288" s="1" cm="1">
        <f t="array" ref="D288">_xlfn.XLOOKUP(_xlfn.FLOOR.MATH(C288),'Mortality Tables'!$B$4:$B$124,_xlfn.XLOOKUP(mortality_table,'Mortality Tables'!$B$3:$G$3,'Mortality Tables'!$B$4:$G$124,0,0),0,0)</f>
        <v>5.6899999999999995E-4</v>
      </c>
      <c r="E288" s="1">
        <f t="shared" si="31"/>
        <v>4.7416666666666663E-5</v>
      </c>
      <c r="F288" s="1">
        <f t="shared" si="35"/>
        <v>0.99995258333333337</v>
      </c>
      <c r="G288" s="1">
        <f t="shared" si="36"/>
        <v>0.98871580029593531</v>
      </c>
      <c r="H288" s="34">
        <f t="shared" si="32"/>
        <v>0.32162425751054829</v>
      </c>
      <c r="I288" s="36">
        <f t="shared" si="33"/>
        <v>0.31799498515912772</v>
      </c>
    </row>
    <row r="289" spans="2:9" x14ac:dyDescent="0.35">
      <c r="B289" s="16">
        <f t="shared" si="34"/>
        <v>23.333333333333272</v>
      </c>
      <c r="C289" s="17">
        <f t="shared" si="30"/>
        <v>23.333333333333272</v>
      </c>
      <c r="D289" s="1" cm="1">
        <f t="array" ref="D289">_xlfn.XLOOKUP(_xlfn.FLOOR.MATH(C289),'Mortality Tables'!$B$4:$B$124,_xlfn.XLOOKUP(mortality_table,'Mortality Tables'!$B$3:$G$3,'Mortality Tables'!$B$4:$G$124,0,0),0,0)</f>
        <v>5.6899999999999995E-4</v>
      </c>
      <c r="E289" s="1">
        <f t="shared" si="31"/>
        <v>4.7416666666666663E-5</v>
      </c>
      <c r="F289" s="1">
        <f t="shared" si="35"/>
        <v>0.99995258333333337</v>
      </c>
      <c r="G289" s="1">
        <f t="shared" si="36"/>
        <v>0.98866891868840467</v>
      </c>
      <c r="H289" s="34">
        <f t="shared" si="32"/>
        <v>0.32031923728755496</v>
      </c>
      <c r="I289" s="36">
        <f t="shared" si="33"/>
        <v>0.31668967396418146</v>
      </c>
    </row>
    <row r="290" spans="2:9" x14ac:dyDescent="0.35">
      <c r="B290" s="16">
        <f t="shared" si="34"/>
        <v>23.416666666666604</v>
      </c>
      <c r="C290" s="17">
        <f t="shared" si="30"/>
        <v>23.416666666666604</v>
      </c>
      <c r="D290" s="1" cm="1">
        <f t="array" ref="D290">_xlfn.XLOOKUP(_xlfn.FLOOR.MATH(C290),'Mortality Tables'!$B$4:$B$124,_xlfn.XLOOKUP(mortality_table,'Mortality Tables'!$B$3:$G$3,'Mortality Tables'!$B$4:$G$124,0,0),0,0)</f>
        <v>5.6899999999999995E-4</v>
      </c>
      <c r="E290" s="1">
        <f t="shared" si="31"/>
        <v>4.7416666666666663E-5</v>
      </c>
      <c r="F290" s="1">
        <f t="shared" si="35"/>
        <v>0.99995258333333337</v>
      </c>
      <c r="G290" s="1">
        <f t="shared" si="36"/>
        <v>0.98862203930384351</v>
      </c>
      <c r="H290" s="34">
        <f t="shared" si="32"/>
        <v>0.31901951230502523</v>
      </c>
      <c r="I290" s="36">
        <f t="shared" si="33"/>
        <v>0.31538972083271166</v>
      </c>
    </row>
    <row r="291" spans="2:9" x14ac:dyDescent="0.35">
      <c r="B291" s="16">
        <f t="shared" si="34"/>
        <v>23.499999999999936</v>
      </c>
      <c r="C291" s="17">
        <f t="shared" si="30"/>
        <v>23.499999999999936</v>
      </c>
      <c r="D291" s="1" cm="1">
        <f t="array" ref="D291">_xlfn.XLOOKUP(_xlfn.FLOOR.MATH(C291),'Mortality Tables'!$B$4:$B$124,_xlfn.XLOOKUP(mortality_table,'Mortality Tables'!$B$3:$G$3,'Mortality Tables'!$B$4:$G$124,0,0),0,0)</f>
        <v>5.6899999999999995E-4</v>
      </c>
      <c r="E291" s="1">
        <f t="shared" si="31"/>
        <v>4.7416666666666663E-5</v>
      </c>
      <c r="F291" s="1">
        <f t="shared" si="35"/>
        <v>0.99995258333333337</v>
      </c>
      <c r="G291" s="1">
        <f t="shared" si="36"/>
        <v>0.98857516214214658</v>
      </c>
      <c r="H291" s="34">
        <f t="shared" si="32"/>
        <v>0.31772506107703025</v>
      </c>
      <c r="I291" s="36">
        <f t="shared" si="33"/>
        <v>0.31409510377084859</v>
      </c>
    </row>
    <row r="292" spans="2:9" x14ac:dyDescent="0.35">
      <c r="B292" s="16">
        <f t="shared" si="34"/>
        <v>23.583333333333268</v>
      </c>
      <c r="C292" s="17">
        <f t="shared" si="30"/>
        <v>23.583333333333268</v>
      </c>
      <c r="D292" s="1" cm="1">
        <f t="array" ref="D292">_xlfn.XLOOKUP(_xlfn.FLOOR.MATH(C292),'Mortality Tables'!$B$4:$B$124,_xlfn.XLOOKUP(mortality_table,'Mortality Tables'!$B$3:$G$3,'Mortality Tables'!$B$4:$G$124,0,0),0,0)</f>
        <v>5.6899999999999995E-4</v>
      </c>
      <c r="E292" s="1">
        <f t="shared" si="31"/>
        <v>4.7416666666666663E-5</v>
      </c>
      <c r="F292" s="1">
        <f t="shared" si="35"/>
        <v>0.99995258333333337</v>
      </c>
      <c r="G292" s="1">
        <f t="shared" si="36"/>
        <v>0.9885282872032084</v>
      </c>
      <c r="H292" s="34">
        <f t="shared" si="32"/>
        <v>0.31643586220482228</v>
      </c>
      <c r="I292" s="36">
        <f t="shared" si="33"/>
        <v>0.31280580087500343</v>
      </c>
    </row>
    <row r="293" spans="2:9" x14ac:dyDescent="0.35">
      <c r="B293" s="16">
        <f t="shared" si="34"/>
        <v>23.6666666666666</v>
      </c>
      <c r="C293" s="17">
        <f t="shared" si="30"/>
        <v>23.6666666666666</v>
      </c>
      <c r="D293" s="1" cm="1">
        <f t="array" ref="D293">_xlfn.XLOOKUP(_xlfn.FLOOR.MATH(C293),'Mortality Tables'!$B$4:$B$124,_xlfn.XLOOKUP(mortality_table,'Mortality Tables'!$B$3:$G$3,'Mortality Tables'!$B$4:$G$124,0,0),0,0)</f>
        <v>5.6899999999999995E-4</v>
      </c>
      <c r="E293" s="1">
        <f t="shared" si="31"/>
        <v>4.7416666666666663E-5</v>
      </c>
      <c r="F293" s="1">
        <f t="shared" si="35"/>
        <v>0.99995258333333337</v>
      </c>
      <c r="G293" s="1">
        <f t="shared" si="36"/>
        <v>0.9884814144869235</v>
      </c>
      <c r="H293" s="34">
        <f t="shared" si="32"/>
        <v>0.31515189437648128</v>
      </c>
      <c r="I293" s="36">
        <f t="shared" si="33"/>
        <v>0.31152179033149774</v>
      </c>
    </row>
    <row r="294" spans="2:9" x14ac:dyDescent="0.35">
      <c r="B294" s="16">
        <f t="shared" si="34"/>
        <v>23.749999999999932</v>
      </c>
      <c r="C294" s="17">
        <f t="shared" si="30"/>
        <v>23.749999999999932</v>
      </c>
      <c r="D294" s="1" cm="1">
        <f t="array" ref="D294">_xlfn.XLOOKUP(_xlfn.FLOOR.MATH(C294),'Mortality Tables'!$B$4:$B$124,_xlfn.XLOOKUP(mortality_table,'Mortality Tables'!$B$3:$G$3,'Mortality Tables'!$B$4:$G$124,0,0),0,0)</f>
        <v>5.6899999999999995E-4</v>
      </c>
      <c r="E294" s="1">
        <f t="shared" si="31"/>
        <v>4.7416666666666663E-5</v>
      </c>
      <c r="F294" s="1">
        <f t="shared" si="35"/>
        <v>0.99995258333333337</v>
      </c>
      <c r="G294" s="1">
        <f t="shared" si="36"/>
        <v>0.98843454399318664</v>
      </c>
      <c r="H294" s="34">
        <f t="shared" si="32"/>
        <v>0.313873136366562</v>
      </c>
      <c r="I294" s="36">
        <f t="shared" si="33"/>
        <v>0.31024305041619399</v>
      </c>
    </row>
    <row r="295" spans="2:9" x14ac:dyDescent="0.35">
      <c r="B295" s="16">
        <f t="shared" si="34"/>
        <v>23.833333333333265</v>
      </c>
      <c r="C295" s="17">
        <f t="shared" si="30"/>
        <v>23.833333333333265</v>
      </c>
      <c r="D295" s="1" cm="1">
        <f t="array" ref="D295">_xlfn.XLOOKUP(_xlfn.FLOOR.MATH(C295),'Mortality Tables'!$B$4:$B$124,_xlfn.XLOOKUP(mortality_table,'Mortality Tables'!$B$3:$G$3,'Mortality Tables'!$B$4:$G$124,0,0),0,0)</f>
        <v>5.6899999999999995E-4</v>
      </c>
      <c r="E295" s="1">
        <f t="shared" si="31"/>
        <v>4.7416666666666663E-5</v>
      </c>
      <c r="F295" s="1">
        <f t="shared" si="35"/>
        <v>0.99995258333333337</v>
      </c>
      <c r="G295" s="1">
        <f t="shared" si="36"/>
        <v>0.98838767572189234</v>
      </c>
      <c r="H295" s="34">
        <f t="shared" si="32"/>
        <v>0.31259956703574354</v>
      </c>
      <c r="I295" s="36">
        <f t="shared" si="33"/>
        <v>0.30896955949412841</v>
      </c>
    </row>
    <row r="296" spans="2:9" x14ac:dyDescent="0.35">
      <c r="B296" s="16">
        <f t="shared" si="34"/>
        <v>23.916666666666597</v>
      </c>
      <c r="C296" s="17">
        <f t="shared" si="30"/>
        <v>23.916666666666597</v>
      </c>
      <c r="D296" s="1" cm="1">
        <f t="array" ref="D296">_xlfn.XLOOKUP(_xlfn.FLOOR.MATH(C296),'Mortality Tables'!$B$4:$B$124,_xlfn.XLOOKUP(mortality_table,'Mortality Tables'!$B$3:$G$3,'Mortality Tables'!$B$4:$G$124,0,0),0,0)</f>
        <v>5.6899999999999995E-4</v>
      </c>
      <c r="E296" s="1">
        <f t="shared" si="31"/>
        <v>4.7416666666666663E-5</v>
      </c>
      <c r="F296" s="1">
        <f t="shared" si="35"/>
        <v>0.99995258333333337</v>
      </c>
      <c r="G296" s="1">
        <f t="shared" si="36"/>
        <v>0.98834080967293525</v>
      </c>
      <c r="H296" s="34">
        <f t="shared" si="32"/>
        <v>0.31133116533047972</v>
      </c>
      <c r="I296" s="36">
        <f t="shared" si="33"/>
        <v>0.30770129601914481</v>
      </c>
    </row>
    <row r="297" spans="2:9" x14ac:dyDescent="0.35">
      <c r="B297" s="16">
        <f t="shared" si="34"/>
        <v>23.999999999999929</v>
      </c>
      <c r="C297" s="17">
        <f t="shared" si="30"/>
        <v>23.999999999999929</v>
      </c>
      <c r="D297" s="1" cm="1">
        <f t="array" ref="D297">_xlfn.XLOOKUP(_xlfn.FLOOR.MATH(C297),'Mortality Tables'!$B$4:$B$124,_xlfn.XLOOKUP(mortality_table,'Mortality Tables'!$B$3:$G$3,'Mortality Tables'!$B$4:$G$124,0,0),0,0)</f>
        <v>5.6899999999999995E-4</v>
      </c>
      <c r="E297" s="1">
        <f t="shared" si="31"/>
        <v>4.7416666666666663E-5</v>
      </c>
      <c r="F297" s="1">
        <f t="shared" si="35"/>
        <v>0.99995258333333337</v>
      </c>
      <c r="G297" s="1">
        <f t="shared" si="36"/>
        <v>0.98829394584621</v>
      </c>
      <c r="H297" s="34">
        <f t="shared" si="32"/>
        <v>0.31006791028265107</v>
      </c>
      <c r="I297" s="36">
        <f t="shared" si="33"/>
        <v>0.30643823853352986</v>
      </c>
    </row>
    <row r="298" spans="2:9" x14ac:dyDescent="0.35">
      <c r="B298" s="16">
        <f t="shared" si="34"/>
        <v>24.083333333333261</v>
      </c>
      <c r="C298" s="17">
        <f t="shared" si="30"/>
        <v>24.083333333333261</v>
      </c>
      <c r="D298" s="1" cm="1">
        <f t="array" ref="D298">_xlfn.XLOOKUP(_xlfn.FLOOR.MATH(C298),'Mortality Tables'!$B$4:$B$124,_xlfn.XLOOKUP(mortality_table,'Mortality Tables'!$B$3:$G$3,'Mortality Tables'!$B$4:$G$124,0,0),0,0)</f>
        <v>5.6700000000000001E-4</v>
      </c>
      <c r="E298" s="1">
        <f t="shared" si="31"/>
        <v>4.7249999999999997E-5</v>
      </c>
      <c r="F298" s="1">
        <f t="shared" si="35"/>
        <v>0.99995274999999995</v>
      </c>
      <c r="G298" s="1">
        <f t="shared" si="36"/>
        <v>0.98824708424161112</v>
      </c>
      <c r="H298" s="34">
        <f t="shared" si="32"/>
        <v>0.30880978100921819</v>
      </c>
      <c r="I298" s="36">
        <f t="shared" si="33"/>
        <v>0.30518036566765033</v>
      </c>
    </row>
    <row r="299" spans="2:9" x14ac:dyDescent="0.35">
      <c r="B299" s="16">
        <f t="shared" si="34"/>
        <v>24.166666666666593</v>
      </c>
      <c r="C299" s="17">
        <f t="shared" si="30"/>
        <v>24.166666666666593</v>
      </c>
      <c r="D299" s="1" cm="1">
        <f t="array" ref="D299">_xlfn.XLOOKUP(_xlfn.FLOOR.MATH(C299),'Mortality Tables'!$B$4:$B$124,_xlfn.XLOOKUP(mortality_table,'Mortality Tables'!$B$3:$G$3,'Mortality Tables'!$B$4:$G$124,0,0),0,0)</f>
        <v>5.6700000000000001E-4</v>
      </c>
      <c r="E299" s="1">
        <f t="shared" si="31"/>
        <v>4.7249999999999997E-5</v>
      </c>
      <c r="F299" s="1">
        <f t="shared" si="35"/>
        <v>0.99995274999999995</v>
      </c>
      <c r="G299" s="1">
        <f t="shared" si="36"/>
        <v>0.98820038956688061</v>
      </c>
      <c r="H299" s="34">
        <f t="shared" si="32"/>
        <v>0.30755675671187666</v>
      </c>
      <c r="I299" s="36">
        <f t="shared" si="33"/>
        <v>0.30392770679660286</v>
      </c>
    </row>
    <row r="300" spans="2:9" x14ac:dyDescent="0.35">
      <c r="B300" s="16">
        <f t="shared" si="34"/>
        <v>24.249999999999925</v>
      </c>
      <c r="C300" s="17">
        <f t="shared" si="30"/>
        <v>24.249999999999925</v>
      </c>
      <c r="D300" s="1" cm="1">
        <f t="array" ref="D300">_xlfn.XLOOKUP(_xlfn.FLOOR.MATH(C300),'Mortality Tables'!$B$4:$B$124,_xlfn.XLOOKUP(mortality_table,'Mortality Tables'!$B$3:$G$3,'Mortality Tables'!$B$4:$G$124,0,0),0,0)</f>
        <v>5.6700000000000001E-4</v>
      </c>
      <c r="E300" s="1">
        <f t="shared" si="31"/>
        <v>4.7249999999999997E-5</v>
      </c>
      <c r="F300" s="1">
        <f t="shared" si="35"/>
        <v>0.99995274999999995</v>
      </c>
      <c r="G300" s="1">
        <f t="shared" si="36"/>
        <v>0.98815369709847356</v>
      </c>
      <c r="H300" s="34">
        <f t="shared" si="32"/>
        <v>0.30630881667671289</v>
      </c>
      <c r="I300" s="36">
        <f t="shared" si="33"/>
        <v>0.3026801896529524</v>
      </c>
    </row>
    <row r="301" spans="2:9" x14ac:dyDescent="0.35">
      <c r="B301" s="16">
        <f t="shared" si="34"/>
        <v>24.333333333333258</v>
      </c>
      <c r="C301" s="17">
        <f t="shared" si="30"/>
        <v>24.333333333333258</v>
      </c>
      <c r="D301" s="1" cm="1">
        <f t="array" ref="D301">_xlfn.XLOOKUP(_xlfn.FLOOR.MATH(C301),'Mortality Tables'!$B$4:$B$124,_xlfn.XLOOKUP(mortality_table,'Mortality Tables'!$B$3:$G$3,'Mortality Tables'!$B$4:$G$124,0,0),0,0)</f>
        <v>5.6700000000000001E-4</v>
      </c>
      <c r="E301" s="1">
        <f t="shared" si="31"/>
        <v>4.7249999999999997E-5</v>
      </c>
      <c r="F301" s="1">
        <f t="shared" si="35"/>
        <v>0.99995274999999995</v>
      </c>
      <c r="G301" s="1">
        <f t="shared" si="36"/>
        <v>0.98810700683628561</v>
      </c>
      <c r="H301" s="34">
        <f t="shared" si="32"/>
        <v>0.30506594027386208</v>
      </c>
      <c r="I301" s="36">
        <f t="shared" si="33"/>
        <v>0.30143779313170294</v>
      </c>
    </row>
    <row r="302" spans="2:9" x14ac:dyDescent="0.35">
      <c r="B302" s="16">
        <f t="shared" si="34"/>
        <v>24.41666666666659</v>
      </c>
      <c r="C302" s="17">
        <f t="shared" si="30"/>
        <v>24.41666666666659</v>
      </c>
      <c r="D302" s="1" cm="1">
        <f t="array" ref="D302">_xlfn.XLOOKUP(_xlfn.FLOOR.MATH(C302),'Mortality Tables'!$B$4:$B$124,_xlfn.XLOOKUP(mortality_table,'Mortality Tables'!$B$3:$G$3,'Mortality Tables'!$B$4:$G$124,0,0),0,0)</f>
        <v>5.6700000000000001E-4</v>
      </c>
      <c r="E302" s="1">
        <f t="shared" si="31"/>
        <v>4.7249999999999997E-5</v>
      </c>
      <c r="F302" s="1">
        <f t="shared" si="35"/>
        <v>0.99995274999999995</v>
      </c>
      <c r="G302" s="1">
        <f t="shared" si="36"/>
        <v>0.9880603187802125</v>
      </c>
      <c r="H302" s="34">
        <f t="shared" si="32"/>
        <v>0.30382810695716705</v>
      </c>
      <c r="I302" s="36">
        <f t="shared" si="33"/>
        <v>0.30020049621448697</v>
      </c>
    </row>
    <row r="303" spans="2:9" x14ac:dyDescent="0.35">
      <c r="B303" s="16">
        <f t="shared" si="34"/>
        <v>24.499999999999922</v>
      </c>
      <c r="C303" s="17">
        <f t="shared" si="30"/>
        <v>24.499999999999922</v>
      </c>
      <c r="D303" s="1" cm="1">
        <f t="array" ref="D303">_xlfn.XLOOKUP(_xlfn.FLOOR.MATH(C303),'Mortality Tables'!$B$4:$B$124,_xlfn.XLOOKUP(mortality_table,'Mortality Tables'!$B$3:$G$3,'Mortality Tables'!$B$4:$G$124,0,0),0,0)</f>
        <v>5.6700000000000001E-4</v>
      </c>
      <c r="E303" s="1">
        <f t="shared" si="31"/>
        <v>4.7249999999999997E-5</v>
      </c>
      <c r="F303" s="1">
        <f t="shared" si="35"/>
        <v>0.99995274999999995</v>
      </c>
      <c r="G303" s="1">
        <f t="shared" si="36"/>
        <v>0.9880136329301501</v>
      </c>
      <c r="H303" s="34">
        <f t="shared" si="32"/>
        <v>0.30259529626383846</v>
      </c>
      <c r="I303" s="36">
        <f t="shared" si="33"/>
        <v>0.29896827796921011</v>
      </c>
    </row>
    <row r="304" spans="2:9" x14ac:dyDescent="0.35">
      <c r="B304" s="16">
        <f t="shared" si="34"/>
        <v>24.583333333333254</v>
      </c>
      <c r="C304" s="17">
        <f t="shared" si="30"/>
        <v>24.583333333333254</v>
      </c>
      <c r="D304" s="1" cm="1">
        <f t="array" ref="D304">_xlfn.XLOOKUP(_xlfn.FLOOR.MATH(C304),'Mortality Tables'!$B$4:$B$124,_xlfn.XLOOKUP(mortality_table,'Mortality Tables'!$B$3:$G$3,'Mortality Tables'!$B$4:$G$124,0,0),0,0)</f>
        <v>5.6700000000000001E-4</v>
      </c>
      <c r="E304" s="1">
        <f t="shared" si="31"/>
        <v>4.7249999999999997E-5</v>
      </c>
      <c r="F304" s="1">
        <f t="shared" si="35"/>
        <v>0.99995274999999995</v>
      </c>
      <c r="G304" s="1">
        <f t="shared" si="36"/>
        <v>0.98796694928599404</v>
      </c>
      <c r="H304" s="34">
        <f t="shared" si="32"/>
        <v>0.30136748781411665</v>
      </c>
      <c r="I304" s="36">
        <f t="shared" si="33"/>
        <v>0.29774111754969679</v>
      </c>
    </row>
    <row r="305" spans="2:9" x14ac:dyDescent="0.35">
      <c r="B305" s="16">
        <f t="shared" si="34"/>
        <v>24.666666666666586</v>
      </c>
      <c r="C305" s="17">
        <f t="shared" si="30"/>
        <v>24.666666666666586</v>
      </c>
      <c r="D305" s="1" cm="1">
        <f t="array" ref="D305">_xlfn.XLOOKUP(_xlfn.FLOOR.MATH(C305),'Mortality Tables'!$B$4:$B$124,_xlfn.XLOOKUP(mortality_table,'Mortality Tables'!$B$3:$G$3,'Mortality Tables'!$B$4:$G$124,0,0),0,0)</f>
        <v>5.6700000000000001E-4</v>
      </c>
      <c r="E305" s="1">
        <f t="shared" si="31"/>
        <v>4.7249999999999997E-5</v>
      </c>
      <c r="F305" s="1">
        <f t="shared" si="35"/>
        <v>0.99995274999999995</v>
      </c>
      <c r="G305" s="1">
        <f t="shared" si="36"/>
        <v>0.9879202678476402</v>
      </c>
      <c r="H305" s="34">
        <f t="shared" si="32"/>
        <v>0.30014466131093476</v>
      </c>
      <c r="I305" s="36">
        <f t="shared" si="33"/>
        <v>0.29651899419533789</v>
      </c>
    </row>
    <row r="306" spans="2:9" x14ac:dyDescent="0.35">
      <c r="B306" s="16">
        <f t="shared" si="34"/>
        <v>24.749999999999918</v>
      </c>
      <c r="C306" s="17">
        <f t="shared" si="30"/>
        <v>24.749999999999918</v>
      </c>
      <c r="D306" s="1" cm="1">
        <f t="array" ref="D306">_xlfn.XLOOKUP(_xlfn.FLOOR.MATH(C306),'Mortality Tables'!$B$4:$B$124,_xlfn.XLOOKUP(mortality_table,'Mortality Tables'!$B$3:$G$3,'Mortality Tables'!$B$4:$G$124,0,0),0,0)</f>
        <v>5.6700000000000001E-4</v>
      </c>
      <c r="E306" s="1">
        <f t="shared" si="31"/>
        <v>4.7249999999999997E-5</v>
      </c>
      <c r="F306" s="1">
        <f t="shared" si="35"/>
        <v>0.99995274999999995</v>
      </c>
      <c r="G306" s="1">
        <f t="shared" si="36"/>
        <v>0.98787358861498431</v>
      </c>
      <c r="H306" s="34">
        <f t="shared" si="32"/>
        <v>0.29892679653958304</v>
      </c>
      <c r="I306" s="36">
        <f t="shared" si="33"/>
        <v>0.29530188723073919</v>
      </c>
    </row>
    <row r="307" spans="2:9" x14ac:dyDescent="0.35">
      <c r="B307" s="16">
        <f t="shared" si="34"/>
        <v>24.83333333333325</v>
      </c>
      <c r="C307" s="17">
        <f t="shared" si="30"/>
        <v>24.83333333333325</v>
      </c>
      <c r="D307" s="1" cm="1">
        <f t="array" ref="D307">_xlfn.XLOOKUP(_xlfn.FLOOR.MATH(C307),'Mortality Tables'!$B$4:$B$124,_xlfn.XLOOKUP(mortality_table,'Mortality Tables'!$B$3:$G$3,'Mortality Tables'!$B$4:$G$124,0,0),0,0)</f>
        <v>5.6700000000000001E-4</v>
      </c>
      <c r="E307" s="1">
        <f t="shared" si="31"/>
        <v>4.7249999999999997E-5</v>
      </c>
      <c r="F307" s="1">
        <f t="shared" si="35"/>
        <v>0.99995274999999995</v>
      </c>
      <c r="G307" s="1">
        <f t="shared" si="36"/>
        <v>0.98782691158792224</v>
      </c>
      <c r="H307" s="34">
        <f t="shared" si="32"/>
        <v>0.29771387336737493</v>
      </c>
      <c r="I307" s="36">
        <f t="shared" si="33"/>
        <v>0.29408977606537173</v>
      </c>
    </row>
    <row r="308" spans="2:9" x14ac:dyDescent="0.35">
      <c r="B308" s="16">
        <f t="shared" si="34"/>
        <v>24.916666666666583</v>
      </c>
      <c r="C308" s="17">
        <f t="shared" si="30"/>
        <v>24.916666666666583</v>
      </c>
      <c r="D308" s="1" cm="1">
        <f t="array" ref="D308">_xlfn.XLOOKUP(_xlfn.FLOOR.MATH(C308),'Mortality Tables'!$B$4:$B$124,_xlfn.XLOOKUP(mortality_table,'Mortality Tables'!$B$3:$G$3,'Mortality Tables'!$B$4:$G$124,0,0),0,0)</f>
        <v>5.6700000000000001E-4</v>
      </c>
      <c r="E308" s="1">
        <f t="shared" si="31"/>
        <v>4.7249999999999997E-5</v>
      </c>
      <c r="F308" s="1">
        <f t="shared" si="35"/>
        <v>0.99995274999999995</v>
      </c>
      <c r="G308" s="1">
        <f t="shared" si="36"/>
        <v>0.98778023676634963</v>
      </c>
      <c r="H308" s="34">
        <f t="shared" si="32"/>
        <v>0.29650587174331416</v>
      </c>
      <c r="I308" s="36">
        <f t="shared" si="33"/>
        <v>0.29288264019322374</v>
      </c>
    </row>
    <row r="309" spans="2:9" x14ac:dyDescent="0.35">
      <c r="B309" s="16">
        <f t="shared" si="34"/>
        <v>24.999999999999915</v>
      </c>
      <c r="C309" s="17">
        <f t="shared" si="30"/>
        <v>24.999999999999915</v>
      </c>
      <c r="D309" s="1" cm="1">
        <f t="array" ref="D309">_xlfn.XLOOKUP(_xlfn.FLOOR.MATH(C309),'Mortality Tables'!$B$4:$B$124,_xlfn.XLOOKUP(mortality_table,'Mortality Tables'!$B$3:$G$3,'Mortality Tables'!$B$4:$G$124,0,0),0,0)</f>
        <v>5.6700000000000001E-4</v>
      </c>
      <c r="E309" s="1">
        <f t="shared" si="31"/>
        <v>4.7249999999999997E-5</v>
      </c>
      <c r="F309" s="1">
        <f t="shared" si="35"/>
        <v>0.99995274999999995</v>
      </c>
      <c r="G309" s="1">
        <f t="shared" si="36"/>
        <v>0.98773356415016234</v>
      </c>
      <c r="H309" s="34">
        <f t="shared" si="32"/>
        <v>0.29530277169776309</v>
      </c>
      <c r="I309" s="36">
        <f t="shared" si="33"/>
        <v>0.29168045919245322</v>
      </c>
    </row>
    <row r="310" spans="2:9" x14ac:dyDescent="0.35">
      <c r="B310" s="16">
        <f t="shared" si="34"/>
        <v>25.083333333333247</v>
      </c>
      <c r="C310" s="17">
        <f t="shared" si="30"/>
        <v>25.083333333333247</v>
      </c>
      <c r="D310" s="1" cm="1">
        <f t="array" ref="D310">_xlfn.XLOOKUP(_xlfn.FLOOR.MATH(C310),'Mortality Tables'!$B$4:$B$124,_xlfn.XLOOKUP(mortality_table,'Mortality Tables'!$B$3:$G$3,'Mortality Tables'!$B$4:$G$124,0,0),0,0)</f>
        <v>5.6599999999999999E-4</v>
      </c>
      <c r="E310" s="1">
        <f t="shared" si="31"/>
        <v>4.7166666666666663E-5</v>
      </c>
      <c r="F310" s="1">
        <f t="shared" si="35"/>
        <v>0.99995283333333329</v>
      </c>
      <c r="G310" s="1">
        <f t="shared" si="36"/>
        <v>0.98768689373925622</v>
      </c>
      <c r="H310" s="34">
        <f t="shared" si="32"/>
        <v>0.29410455334211272</v>
      </c>
      <c r="I310" s="36">
        <f t="shared" si="33"/>
        <v>0.29048321272504268</v>
      </c>
    </row>
    <row r="311" spans="2:9" x14ac:dyDescent="0.35">
      <c r="B311" s="16">
        <f t="shared" si="34"/>
        <v>25.166666666666579</v>
      </c>
      <c r="C311" s="17">
        <f t="shared" si="30"/>
        <v>25.166666666666579</v>
      </c>
      <c r="D311" s="1" cm="1">
        <f t="array" ref="D311">_xlfn.XLOOKUP(_xlfn.FLOOR.MATH(C311),'Mortality Tables'!$B$4:$B$124,_xlfn.XLOOKUP(mortality_table,'Mortality Tables'!$B$3:$G$3,'Mortality Tables'!$B$4:$G$124,0,0),0,0)</f>
        <v>5.6599999999999999E-4</v>
      </c>
      <c r="E311" s="1">
        <f t="shared" si="31"/>
        <v>4.7166666666666663E-5</v>
      </c>
      <c r="F311" s="1">
        <f t="shared" si="35"/>
        <v>0.99995283333333329</v>
      </c>
      <c r="G311" s="1">
        <f t="shared" si="36"/>
        <v>0.98764030784076817</v>
      </c>
      <c r="H311" s="34">
        <f t="shared" si="32"/>
        <v>0.29291119686845407</v>
      </c>
      <c r="I311" s="36">
        <f t="shared" si="33"/>
        <v>0.28929090464516782</v>
      </c>
    </row>
    <row r="312" spans="2:9" x14ac:dyDescent="0.35">
      <c r="B312" s="16">
        <f t="shared" si="34"/>
        <v>25.249999999999911</v>
      </c>
      <c r="C312" s="17">
        <f t="shared" si="30"/>
        <v>25.249999999999911</v>
      </c>
      <c r="D312" s="1" cm="1">
        <f t="array" ref="D312">_xlfn.XLOOKUP(_xlfn.FLOOR.MATH(C312),'Mortality Tables'!$B$4:$B$124,_xlfn.XLOOKUP(mortality_table,'Mortality Tables'!$B$3:$G$3,'Mortality Tables'!$B$4:$G$124,0,0),0,0)</f>
        <v>5.6599999999999999E-4</v>
      </c>
      <c r="E312" s="1">
        <f t="shared" si="31"/>
        <v>4.7166666666666663E-5</v>
      </c>
      <c r="F312" s="1">
        <f t="shared" si="35"/>
        <v>0.99995283333333329</v>
      </c>
      <c r="G312" s="1">
        <f t="shared" si="36"/>
        <v>0.98759372413958169</v>
      </c>
      <c r="H312" s="34">
        <f t="shared" si="32"/>
        <v>0.29172268254925054</v>
      </c>
      <c r="I312" s="36">
        <f t="shared" si="33"/>
        <v>0.28810349047480333</v>
      </c>
    </row>
    <row r="313" spans="2:9" x14ac:dyDescent="0.35">
      <c r="B313" s="16">
        <f t="shared" si="34"/>
        <v>25.333333333333243</v>
      </c>
      <c r="C313" s="17">
        <f t="shared" si="30"/>
        <v>25.333333333333243</v>
      </c>
      <c r="D313" s="1" cm="1">
        <f t="array" ref="D313">_xlfn.XLOOKUP(_xlfn.FLOOR.MATH(C313),'Mortality Tables'!$B$4:$B$124,_xlfn.XLOOKUP(mortality_table,'Mortality Tables'!$B$3:$G$3,'Mortality Tables'!$B$4:$G$124,0,0),0,0)</f>
        <v>5.6599999999999999E-4</v>
      </c>
      <c r="E313" s="1">
        <f t="shared" si="31"/>
        <v>4.7166666666666663E-5</v>
      </c>
      <c r="F313" s="1">
        <f t="shared" si="35"/>
        <v>0.99995283333333329</v>
      </c>
      <c r="G313" s="1">
        <f t="shared" si="36"/>
        <v>0.98754714263559307</v>
      </c>
      <c r="H313" s="34">
        <f t="shared" si="32"/>
        <v>0.29053899073701167</v>
      </c>
      <c r="I313" s="36">
        <f t="shared" si="33"/>
        <v>0.28692095012656493</v>
      </c>
    </row>
    <row r="314" spans="2:9" x14ac:dyDescent="0.35">
      <c r="B314" s="16">
        <f t="shared" si="34"/>
        <v>25.416666666666575</v>
      </c>
      <c r="C314" s="17">
        <f t="shared" si="30"/>
        <v>25.416666666666575</v>
      </c>
      <c r="D314" s="1" cm="1">
        <f t="array" ref="D314">_xlfn.XLOOKUP(_xlfn.FLOOR.MATH(C314),'Mortality Tables'!$B$4:$B$124,_xlfn.XLOOKUP(mortality_table,'Mortality Tables'!$B$3:$G$3,'Mortality Tables'!$B$4:$G$124,0,0),0,0)</f>
        <v>5.6599999999999999E-4</v>
      </c>
      <c r="E314" s="1">
        <f t="shared" si="31"/>
        <v>4.7166666666666663E-5</v>
      </c>
      <c r="F314" s="1">
        <f t="shared" si="35"/>
        <v>0.99995283333333329</v>
      </c>
      <c r="G314" s="1">
        <f t="shared" si="36"/>
        <v>0.98750056332869873</v>
      </c>
      <c r="H314" s="34">
        <f t="shared" si="32"/>
        <v>0.28936010186396882</v>
      </c>
      <c r="I314" s="36">
        <f t="shared" si="33"/>
        <v>0.28574326359551888</v>
      </c>
    </row>
    <row r="315" spans="2:9" x14ac:dyDescent="0.35">
      <c r="B315" s="16">
        <f t="shared" si="34"/>
        <v>25.499999999999908</v>
      </c>
      <c r="C315" s="17">
        <f t="shared" si="30"/>
        <v>25.499999999999908</v>
      </c>
      <c r="D315" s="1" cm="1">
        <f t="array" ref="D315">_xlfn.XLOOKUP(_xlfn.FLOOR.MATH(C315),'Mortality Tables'!$B$4:$B$124,_xlfn.XLOOKUP(mortality_table,'Mortality Tables'!$B$3:$G$3,'Mortality Tables'!$B$4:$G$124,0,0),0,0)</f>
        <v>5.6599999999999999E-4</v>
      </c>
      <c r="E315" s="1">
        <f t="shared" si="31"/>
        <v>4.7166666666666663E-5</v>
      </c>
      <c r="F315" s="1">
        <f t="shared" si="35"/>
        <v>0.99995283333333329</v>
      </c>
      <c r="G315" s="1">
        <f t="shared" si="36"/>
        <v>0.98745398621879499</v>
      </c>
      <c r="H315" s="34">
        <f t="shared" si="32"/>
        <v>0.28818599644175114</v>
      </c>
      <c r="I315" s="36">
        <f t="shared" si="33"/>
        <v>0.28457041095884261</v>
      </c>
    </row>
    <row r="316" spans="2:9" x14ac:dyDescent="0.35">
      <c r="B316" s="16">
        <f t="shared" si="34"/>
        <v>25.58333333333324</v>
      </c>
      <c r="C316" s="17">
        <f t="shared" si="30"/>
        <v>25.58333333333324</v>
      </c>
      <c r="D316" s="1" cm="1">
        <f t="array" ref="D316">_xlfn.XLOOKUP(_xlfn.FLOOR.MATH(C316),'Mortality Tables'!$B$4:$B$124,_xlfn.XLOOKUP(mortality_table,'Mortality Tables'!$B$3:$G$3,'Mortality Tables'!$B$4:$G$124,0,0),0,0)</f>
        <v>5.6599999999999999E-4</v>
      </c>
      <c r="E316" s="1">
        <f t="shared" si="31"/>
        <v>4.7166666666666663E-5</v>
      </c>
      <c r="F316" s="1">
        <f t="shared" si="35"/>
        <v>0.99995283333333329</v>
      </c>
      <c r="G316" s="1">
        <f t="shared" si="36"/>
        <v>0.98740741130577825</v>
      </c>
      <c r="H316" s="34">
        <f t="shared" si="32"/>
        <v>0.28701665506106366</v>
      </c>
      <c r="I316" s="36">
        <f t="shared" si="33"/>
        <v>0.28340237237548838</v>
      </c>
    </row>
    <row r="317" spans="2:9" x14ac:dyDescent="0.35">
      <c r="B317" s="16">
        <f t="shared" si="34"/>
        <v>25.666666666666572</v>
      </c>
      <c r="C317" s="17">
        <f t="shared" si="30"/>
        <v>25.666666666666572</v>
      </c>
      <c r="D317" s="1" cm="1">
        <f t="array" ref="D317">_xlfn.XLOOKUP(_xlfn.FLOOR.MATH(C317),'Mortality Tables'!$B$4:$B$124,_xlfn.XLOOKUP(mortality_table,'Mortality Tables'!$B$3:$G$3,'Mortality Tables'!$B$4:$G$124,0,0),0,0)</f>
        <v>5.6599999999999999E-4</v>
      </c>
      <c r="E317" s="1">
        <f t="shared" si="31"/>
        <v>4.7166666666666663E-5</v>
      </c>
      <c r="F317" s="1">
        <f t="shared" si="35"/>
        <v>0.99995283333333329</v>
      </c>
      <c r="G317" s="1">
        <f t="shared" si="36"/>
        <v>0.98736083858954493</v>
      </c>
      <c r="H317" s="34">
        <f t="shared" si="32"/>
        <v>0.28585205839136663</v>
      </c>
      <c r="I317" s="36">
        <f t="shared" si="33"/>
        <v>0.28223912808584734</v>
      </c>
    </row>
    <row r="318" spans="2:9" x14ac:dyDescent="0.35">
      <c r="B318" s="16">
        <f t="shared" si="34"/>
        <v>25.749999999999904</v>
      </c>
      <c r="C318" s="17">
        <f t="shared" si="30"/>
        <v>25.749999999999904</v>
      </c>
      <c r="D318" s="1" cm="1">
        <f t="array" ref="D318">_xlfn.XLOOKUP(_xlfn.FLOOR.MATH(C318),'Mortality Tables'!$B$4:$B$124,_xlfn.XLOOKUP(mortality_table,'Mortality Tables'!$B$3:$G$3,'Mortality Tables'!$B$4:$G$124,0,0),0,0)</f>
        <v>5.6599999999999999E-4</v>
      </c>
      <c r="E318" s="1">
        <f t="shared" si="31"/>
        <v>4.7166666666666663E-5</v>
      </c>
      <c r="F318" s="1">
        <f t="shared" si="35"/>
        <v>0.99995283333333329</v>
      </c>
      <c r="G318" s="1">
        <f t="shared" si="36"/>
        <v>0.98731426806999145</v>
      </c>
      <c r="H318" s="34">
        <f t="shared" si="32"/>
        <v>0.28469218718055544</v>
      </c>
      <c r="I318" s="36">
        <f t="shared" si="33"/>
        <v>0.28108065841141511</v>
      </c>
    </row>
    <row r="319" spans="2:9" x14ac:dyDescent="0.35">
      <c r="B319" s="16">
        <f t="shared" si="34"/>
        <v>25.833333333333236</v>
      </c>
      <c r="C319" s="17">
        <f t="shared" si="30"/>
        <v>25.833333333333236</v>
      </c>
      <c r="D319" s="1" cm="1">
        <f t="array" ref="D319">_xlfn.XLOOKUP(_xlfn.FLOOR.MATH(C319),'Mortality Tables'!$B$4:$B$124,_xlfn.XLOOKUP(mortality_table,'Mortality Tables'!$B$3:$G$3,'Mortality Tables'!$B$4:$G$124,0,0),0,0)</f>
        <v>5.6599999999999999E-4</v>
      </c>
      <c r="E319" s="1">
        <f t="shared" si="31"/>
        <v>4.7166666666666663E-5</v>
      </c>
      <c r="F319" s="1">
        <f t="shared" si="35"/>
        <v>0.99995283333333329</v>
      </c>
      <c r="G319" s="1">
        <f t="shared" si="36"/>
        <v>0.98726769974701412</v>
      </c>
      <c r="H319" s="34">
        <f t="shared" si="32"/>
        <v>0.283537022254643</v>
      </c>
      <c r="I319" s="36">
        <f t="shared" si="33"/>
        <v>0.27992694375445937</v>
      </c>
    </row>
    <row r="320" spans="2:9" x14ac:dyDescent="0.35">
      <c r="B320" s="16">
        <f t="shared" si="34"/>
        <v>25.916666666666568</v>
      </c>
      <c r="C320" s="17">
        <f t="shared" si="30"/>
        <v>25.916666666666568</v>
      </c>
      <c r="D320" s="1" cm="1">
        <f t="array" ref="D320">_xlfn.XLOOKUP(_xlfn.FLOOR.MATH(C320),'Mortality Tables'!$B$4:$B$124,_xlfn.XLOOKUP(mortality_table,'Mortality Tables'!$B$3:$G$3,'Mortality Tables'!$B$4:$G$124,0,0),0,0)</f>
        <v>5.6599999999999999E-4</v>
      </c>
      <c r="E320" s="1">
        <f t="shared" si="31"/>
        <v>4.7166666666666663E-5</v>
      </c>
      <c r="F320" s="1">
        <f t="shared" si="35"/>
        <v>0.99995283333333329</v>
      </c>
      <c r="G320" s="1">
        <f t="shared" si="36"/>
        <v>0.98722113362050934</v>
      </c>
      <c r="H320" s="34">
        <f t="shared" si="32"/>
        <v>0.28238654451744227</v>
      </c>
      <c r="I320" s="36">
        <f t="shared" si="33"/>
        <v>0.27877796459768778</v>
      </c>
    </row>
    <row r="321" spans="2:9" x14ac:dyDescent="0.35">
      <c r="B321" s="16">
        <f t="shared" si="34"/>
        <v>25.999999999999901</v>
      </c>
      <c r="C321" s="17">
        <f t="shared" si="30"/>
        <v>25.999999999999901</v>
      </c>
      <c r="D321" s="1" cm="1">
        <f t="array" ref="D321">_xlfn.XLOOKUP(_xlfn.FLOOR.MATH(C321),'Mortality Tables'!$B$4:$B$124,_xlfn.XLOOKUP(mortality_table,'Mortality Tables'!$B$3:$G$3,'Mortality Tables'!$B$4:$G$124,0,0),0,0)</f>
        <v>5.6599999999999999E-4</v>
      </c>
      <c r="E321" s="1">
        <f t="shared" si="31"/>
        <v>4.7166666666666663E-5</v>
      </c>
      <c r="F321" s="1">
        <f t="shared" si="35"/>
        <v>0.99995283333333329</v>
      </c>
      <c r="G321" s="1">
        <f t="shared" si="36"/>
        <v>0.98717456969037354</v>
      </c>
      <c r="H321" s="34">
        <f t="shared" si="32"/>
        <v>0.28124073495025076</v>
      </c>
      <c r="I321" s="36">
        <f t="shared" si="33"/>
        <v>0.2776337015039182</v>
      </c>
    </row>
    <row r="322" spans="2:9" x14ac:dyDescent="0.35">
      <c r="B322" s="16">
        <f t="shared" si="34"/>
        <v>26.083333333333233</v>
      </c>
      <c r="C322" s="17">
        <f t="shared" si="30"/>
        <v>26.083333333333233</v>
      </c>
      <c r="D322" s="1" cm="1">
        <f t="array" ref="D322">_xlfn.XLOOKUP(_xlfn.FLOOR.MATH(C322),'Mortality Tables'!$B$4:$B$124,_xlfn.XLOOKUP(mortality_table,'Mortality Tables'!$B$3:$G$3,'Mortality Tables'!$B$4:$G$124,0,0),0,0)</f>
        <v>5.6700000000000001E-4</v>
      </c>
      <c r="E322" s="1">
        <f t="shared" si="31"/>
        <v>4.7249999999999997E-5</v>
      </c>
      <c r="F322" s="1">
        <f t="shared" si="35"/>
        <v>0.99995274999999995</v>
      </c>
      <c r="G322" s="1">
        <f t="shared" si="36"/>
        <v>0.98712800795650313</v>
      </c>
      <c r="H322" s="34">
        <f t="shared" si="32"/>
        <v>0.28009957461153612</v>
      </c>
      <c r="I322" s="36">
        <f t="shared" si="33"/>
        <v>0.27649413511574955</v>
      </c>
    </row>
    <row r="323" spans="2:9" x14ac:dyDescent="0.35">
      <c r="B323" s="16">
        <f t="shared" si="34"/>
        <v>26.166666666666565</v>
      </c>
      <c r="C323" s="17">
        <f t="shared" si="30"/>
        <v>26.166666666666565</v>
      </c>
      <c r="D323" s="1" cm="1">
        <f t="array" ref="D323">_xlfn.XLOOKUP(_xlfn.FLOOR.MATH(C323),'Mortality Tables'!$B$4:$B$124,_xlfn.XLOOKUP(mortality_table,'Mortality Tables'!$B$3:$G$3,'Mortality Tables'!$B$4:$G$124,0,0),0,0)</f>
        <v>5.6700000000000001E-4</v>
      </c>
      <c r="E323" s="1">
        <f t="shared" si="31"/>
        <v>4.7249999999999997E-5</v>
      </c>
      <c r="F323" s="1">
        <f t="shared" si="35"/>
        <v>0.99995274999999995</v>
      </c>
      <c r="G323" s="1">
        <f t="shared" si="36"/>
        <v>0.98708136615812714</v>
      </c>
      <c r="H323" s="34">
        <f t="shared" si="32"/>
        <v>0.27896304463662314</v>
      </c>
      <c r="I323" s="36">
        <f t="shared" si="33"/>
        <v>0.27535922320754858</v>
      </c>
    </row>
    <row r="324" spans="2:9" x14ac:dyDescent="0.35">
      <c r="B324" s="16">
        <f t="shared" si="34"/>
        <v>26.249999999999897</v>
      </c>
      <c r="C324" s="17">
        <f t="shared" si="30"/>
        <v>26.249999999999897</v>
      </c>
      <c r="D324" s="1" cm="1">
        <f t="array" ref="D324">_xlfn.XLOOKUP(_xlfn.FLOOR.MATH(C324),'Mortality Tables'!$B$4:$B$124,_xlfn.XLOOKUP(mortality_table,'Mortality Tables'!$B$3:$G$3,'Mortality Tables'!$B$4:$G$124,0,0),0,0)</f>
        <v>5.6700000000000001E-4</v>
      </c>
      <c r="E324" s="1">
        <f t="shared" si="31"/>
        <v>4.7249999999999997E-5</v>
      </c>
      <c r="F324" s="1">
        <f t="shared" si="35"/>
        <v>0.99995274999999995</v>
      </c>
      <c r="G324" s="1">
        <f t="shared" si="36"/>
        <v>0.98703472656357616</v>
      </c>
      <c r="H324" s="34">
        <f t="shared" si="32"/>
        <v>0.27783112623738165</v>
      </c>
      <c r="I324" s="36">
        <f t="shared" si="33"/>
        <v>0.27422896971656441</v>
      </c>
    </row>
    <row r="325" spans="2:9" x14ac:dyDescent="0.35">
      <c r="B325" s="16">
        <f t="shared" si="34"/>
        <v>26.333333333333229</v>
      </c>
      <c r="C325" s="17">
        <f t="shared" si="30"/>
        <v>26.333333333333229</v>
      </c>
      <c r="D325" s="1" cm="1">
        <f t="array" ref="D325">_xlfn.XLOOKUP(_xlfn.FLOOR.MATH(C325),'Mortality Tables'!$B$4:$B$124,_xlfn.XLOOKUP(mortality_table,'Mortality Tables'!$B$3:$G$3,'Mortality Tables'!$B$4:$G$124,0,0),0,0)</f>
        <v>5.6700000000000001E-4</v>
      </c>
      <c r="E325" s="1">
        <f t="shared" si="31"/>
        <v>4.7249999999999997E-5</v>
      </c>
      <c r="F325" s="1">
        <f t="shared" si="35"/>
        <v>0.99995274999999995</v>
      </c>
      <c r="G325" s="1">
        <f t="shared" si="36"/>
        <v>0.98698808917274594</v>
      </c>
      <c r="H325" s="34">
        <f t="shared" si="32"/>
        <v>0.27670380070191614</v>
      </c>
      <c r="I325" s="36">
        <f t="shared" si="33"/>
        <v>0.27310335552162052</v>
      </c>
    </row>
    <row r="326" spans="2:9" x14ac:dyDescent="0.35">
      <c r="B326" s="16">
        <f t="shared" si="34"/>
        <v>26.416666666666561</v>
      </c>
      <c r="C326" s="17">
        <f t="shared" si="30"/>
        <v>26.416666666666561</v>
      </c>
      <c r="D326" s="1" cm="1">
        <f t="array" ref="D326">_xlfn.XLOOKUP(_xlfn.FLOOR.MATH(C326),'Mortality Tables'!$B$4:$B$124,_xlfn.XLOOKUP(mortality_table,'Mortality Tables'!$B$3:$G$3,'Mortality Tables'!$B$4:$G$124,0,0),0,0)</f>
        <v>5.6700000000000001E-4</v>
      </c>
      <c r="E326" s="1">
        <f t="shared" si="31"/>
        <v>4.7249999999999997E-5</v>
      </c>
      <c r="F326" s="1">
        <f t="shared" si="35"/>
        <v>0.99995274999999995</v>
      </c>
      <c r="G326" s="1">
        <f t="shared" si="36"/>
        <v>0.98694145398553246</v>
      </c>
      <c r="H326" s="34">
        <f t="shared" si="32"/>
        <v>0.27558104939425626</v>
      </c>
      <c r="I326" s="36">
        <f t="shared" si="33"/>
        <v>0.27198236158002609</v>
      </c>
    </row>
    <row r="327" spans="2:9" x14ac:dyDescent="0.35">
      <c r="B327" s="16">
        <f t="shared" si="34"/>
        <v>26.499999999999893</v>
      </c>
      <c r="C327" s="17">
        <f t="shared" si="30"/>
        <v>26.499999999999893</v>
      </c>
      <c r="D327" s="1" cm="1">
        <f t="array" ref="D327">_xlfn.XLOOKUP(_xlfn.FLOOR.MATH(C327),'Mortality Tables'!$B$4:$B$124,_xlfn.XLOOKUP(mortality_table,'Mortality Tables'!$B$3:$G$3,'Mortality Tables'!$B$4:$G$124,0,0),0,0)</f>
        <v>5.6700000000000001E-4</v>
      </c>
      <c r="E327" s="1">
        <f t="shared" si="31"/>
        <v>4.7249999999999997E-5</v>
      </c>
      <c r="F327" s="1">
        <f t="shared" si="35"/>
        <v>0.99995274999999995</v>
      </c>
      <c r="G327" s="1">
        <f t="shared" si="36"/>
        <v>0.98689482100183157</v>
      </c>
      <c r="H327" s="34">
        <f t="shared" si="32"/>
        <v>0.27446285375404889</v>
      </c>
      <c r="I327" s="36">
        <f t="shared" si="33"/>
        <v>0.27086596892725395</v>
      </c>
    </row>
    <row r="328" spans="2:9" x14ac:dyDescent="0.35">
      <c r="B328" s="16">
        <f t="shared" si="34"/>
        <v>26.583333333333226</v>
      </c>
      <c r="C328" s="17">
        <f t="shared" si="30"/>
        <v>26.583333333333226</v>
      </c>
      <c r="D328" s="1" cm="1">
        <f t="array" ref="D328">_xlfn.XLOOKUP(_xlfn.FLOOR.MATH(C328),'Mortality Tables'!$B$4:$B$124,_xlfn.XLOOKUP(mortality_table,'Mortality Tables'!$B$3:$G$3,'Mortality Tables'!$B$4:$G$124,0,0),0,0)</f>
        <v>5.6700000000000001E-4</v>
      </c>
      <c r="E328" s="1">
        <f t="shared" si="31"/>
        <v>4.7249999999999997E-5</v>
      </c>
      <c r="F328" s="1">
        <f t="shared" si="35"/>
        <v>0.99995274999999995</v>
      </c>
      <c r="G328" s="1">
        <f t="shared" si="36"/>
        <v>0.98684819022153913</v>
      </c>
      <c r="H328" s="34">
        <f t="shared" si="32"/>
        <v>0.27334919529625135</v>
      </c>
      <c r="I328" s="36">
        <f t="shared" si="33"/>
        <v>0.26975415867661973</v>
      </c>
    </row>
    <row r="329" spans="2:9" x14ac:dyDescent="0.35">
      <c r="B329" s="16">
        <f t="shared" si="34"/>
        <v>26.666666666666558</v>
      </c>
      <c r="C329" s="17">
        <f t="shared" ref="C329:C392" si="37">current_age+B329</f>
        <v>26.666666666666558</v>
      </c>
      <c r="D329" s="1" cm="1">
        <f t="array" ref="D329">_xlfn.XLOOKUP(_xlfn.FLOOR.MATH(C329),'Mortality Tables'!$B$4:$B$124,_xlfn.XLOOKUP(mortality_table,'Mortality Tables'!$B$3:$G$3,'Mortality Tables'!$B$4:$G$124,0,0),0,0)</f>
        <v>5.6700000000000001E-4</v>
      </c>
      <c r="E329" s="1">
        <f t="shared" ref="E329:E392" si="38">$F$5*D329</f>
        <v>4.7249999999999997E-5</v>
      </c>
      <c r="F329" s="1">
        <f t="shared" si="35"/>
        <v>0.99995274999999995</v>
      </c>
      <c r="G329" s="1">
        <f t="shared" si="36"/>
        <v>0.98680156164455113</v>
      </c>
      <c r="H329" s="34">
        <f t="shared" ref="H329:H392" si="39">(1+interest_rate)^-(B329)</f>
        <v>0.27224005561082554</v>
      </c>
      <c r="I329" s="36">
        <f t="shared" ref="I329:I392" si="40">IF(current_age+B329&lt;=$C$5,G329*H329,0)</f>
        <v>0.26864691201896207</v>
      </c>
    </row>
    <row r="330" spans="2:9" x14ac:dyDescent="0.35">
      <c r="B330" s="16">
        <f t="shared" ref="B330:B393" si="41">B329+$F$5</f>
        <v>26.74999999999989</v>
      </c>
      <c r="C330" s="17">
        <f t="shared" si="37"/>
        <v>26.74999999999989</v>
      </c>
      <c r="D330" s="1" cm="1">
        <f t="array" ref="D330">_xlfn.XLOOKUP(_xlfn.FLOOR.MATH(C330),'Mortality Tables'!$B$4:$B$124,_xlfn.XLOOKUP(mortality_table,'Mortality Tables'!$B$3:$G$3,'Mortality Tables'!$B$4:$G$124,0,0),0,0)</f>
        <v>5.6700000000000001E-4</v>
      </c>
      <c r="E330" s="1">
        <f t="shared" si="38"/>
        <v>4.7249999999999997E-5</v>
      </c>
      <c r="F330" s="1">
        <f t="shared" si="35"/>
        <v>0.99995274999999995</v>
      </c>
      <c r="G330" s="1">
        <f t="shared" si="36"/>
        <v>0.98675493527076341</v>
      </c>
      <c r="H330" s="34">
        <f t="shared" si="39"/>
        <v>0.27113541636243393</v>
      </c>
      <c r="I330" s="36">
        <f t="shared" si="40"/>
        <v>0.267544210222325</v>
      </c>
    </row>
    <row r="331" spans="2:9" x14ac:dyDescent="0.35">
      <c r="B331" s="16">
        <f t="shared" si="41"/>
        <v>26.833333333333222</v>
      </c>
      <c r="C331" s="17">
        <f t="shared" si="37"/>
        <v>26.833333333333222</v>
      </c>
      <c r="D331" s="1" cm="1">
        <f t="array" ref="D331">_xlfn.XLOOKUP(_xlfn.FLOOR.MATH(C331),'Mortality Tables'!$B$4:$B$124,_xlfn.XLOOKUP(mortality_table,'Mortality Tables'!$B$3:$G$3,'Mortality Tables'!$B$4:$G$124,0,0),0,0)</f>
        <v>5.6700000000000001E-4</v>
      </c>
      <c r="E331" s="1">
        <f t="shared" si="38"/>
        <v>4.7249999999999997E-5</v>
      </c>
      <c r="F331" s="1">
        <f t="shared" si="35"/>
        <v>0.99995274999999995</v>
      </c>
      <c r="G331" s="1">
        <f t="shared" si="36"/>
        <v>0.98670831110007184</v>
      </c>
      <c r="H331" s="34">
        <f t="shared" si="39"/>
        <v>0.27003525929013644</v>
      </c>
      <c r="I331" s="36">
        <f t="shared" si="40"/>
        <v>0.26644603463164052</v>
      </c>
    </row>
    <row r="332" spans="2:9" x14ac:dyDescent="0.35">
      <c r="B332" s="16">
        <f t="shared" si="41"/>
        <v>26.916666666666554</v>
      </c>
      <c r="C332" s="17">
        <f t="shared" si="37"/>
        <v>26.916666666666554</v>
      </c>
      <c r="D332" s="1" cm="1">
        <f t="array" ref="D332">_xlfn.XLOOKUP(_xlfn.FLOOR.MATH(C332),'Mortality Tables'!$B$4:$B$124,_xlfn.XLOOKUP(mortality_table,'Mortality Tables'!$B$3:$G$3,'Mortality Tables'!$B$4:$G$124,0,0),0,0)</f>
        <v>5.6700000000000001E-4</v>
      </c>
      <c r="E332" s="1">
        <f t="shared" si="38"/>
        <v>4.7249999999999997E-5</v>
      </c>
      <c r="F332" s="1">
        <f t="shared" si="35"/>
        <v>0.99995274999999995</v>
      </c>
      <c r="G332" s="1">
        <f t="shared" si="36"/>
        <v>0.98666168913237229</v>
      </c>
      <c r="H332" s="34">
        <f t="shared" si="39"/>
        <v>0.26893956620708809</v>
      </c>
      <c r="I332" s="36">
        <f t="shared" si="40"/>
        <v>0.265352366668413</v>
      </c>
    </row>
    <row r="333" spans="2:9" x14ac:dyDescent="0.35">
      <c r="B333" s="16">
        <f t="shared" si="41"/>
        <v>26.999999999999886</v>
      </c>
      <c r="C333" s="17">
        <f t="shared" si="37"/>
        <v>26.999999999999886</v>
      </c>
      <c r="D333" s="1" cm="1">
        <f t="array" ref="D333">_xlfn.XLOOKUP(_xlfn.FLOOR.MATH(C333),'Mortality Tables'!$B$4:$B$124,_xlfn.XLOOKUP(mortality_table,'Mortality Tables'!$B$3:$G$3,'Mortality Tables'!$B$4:$G$124,0,0),0,0)</f>
        <v>5.6700000000000001E-4</v>
      </c>
      <c r="E333" s="1">
        <f t="shared" si="38"/>
        <v>4.7249999999999997E-5</v>
      </c>
      <c r="F333" s="1">
        <f t="shared" si="35"/>
        <v>0.99995274999999995</v>
      </c>
      <c r="G333" s="1">
        <f t="shared" si="36"/>
        <v>0.98661506936756072</v>
      </c>
      <c r="H333" s="34">
        <f t="shared" si="39"/>
        <v>0.26784831900023892</v>
      </c>
      <c r="I333" s="36">
        <f t="shared" si="40"/>
        <v>0.26426318783040526</v>
      </c>
    </row>
    <row r="334" spans="2:9" x14ac:dyDescent="0.35">
      <c r="B334" s="16">
        <f t="shared" si="41"/>
        <v>27.083333333333218</v>
      </c>
      <c r="C334" s="17">
        <f t="shared" si="37"/>
        <v>27.083333333333218</v>
      </c>
      <c r="D334" s="1" cm="1">
        <f t="array" ref="D334">_xlfn.XLOOKUP(_xlfn.FLOOR.MATH(C334),'Mortality Tables'!$B$4:$B$124,_xlfn.XLOOKUP(mortality_table,'Mortality Tables'!$B$3:$G$3,'Mortality Tables'!$B$4:$G$124,0,0),0,0)</f>
        <v>5.6999999999999998E-4</v>
      </c>
      <c r="E334" s="1">
        <f t="shared" si="38"/>
        <v>4.7499999999999996E-5</v>
      </c>
      <c r="F334" s="1">
        <f t="shared" si="35"/>
        <v>0.99995250000000002</v>
      </c>
      <c r="G334" s="1">
        <f t="shared" si="36"/>
        <v>0.9865684518055331</v>
      </c>
      <c r="H334" s="34">
        <f t="shared" si="39"/>
        <v>0.26676149963003454</v>
      </c>
      <c r="I334" s="36">
        <f t="shared" si="40"/>
        <v>0.26317847969132546</v>
      </c>
    </row>
    <row r="335" spans="2:9" x14ac:dyDescent="0.35">
      <c r="B335" s="16">
        <f t="shared" si="41"/>
        <v>27.166666666666551</v>
      </c>
      <c r="C335" s="17">
        <f t="shared" si="37"/>
        <v>27.166666666666551</v>
      </c>
      <c r="D335" s="1" cm="1">
        <f t="array" ref="D335">_xlfn.XLOOKUP(_xlfn.FLOOR.MATH(C335),'Mortality Tables'!$B$4:$B$124,_xlfn.XLOOKUP(mortality_table,'Mortality Tables'!$B$3:$G$3,'Mortality Tables'!$B$4:$G$124,0,0),0,0)</f>
        <v>5.6999999999999998E-4</v>
      </c>
      <c r="E335" s="1">
        <f t="shared" si="38"/>
        <v>4.7499999999999996E-5</v>
      </c>
      <c r="F335" s="1">
        <f t="shared" si="35"/>
        <v>0.99995250000000002</v>
      </c>
      <c r="G335" s="1">
        <f t="shared" si="36"/>
        <v>0.98652158980407234</v>
      </c>
      <c r="H335" s="34">
        <f t="shared" si="39"/>
        <v>0.26567909013011742</v>
      </c>
      <c r="I335" s="36">
        <f t="shared" si="40"/>
        <v>0.26209815837286288</v>
      </c>
    </row>
    <row r="336" spans="2:9" x14ac:dyDescent="0.35">
      <c r="B336" s="16">
        <f t="shared" si="41"/>
        <v>27.249999999999883</v>
      </c>
      <c r="C336" s="17">
        <f t="shared" si="37"/>
        <v>27.249999999999883</v>
      </c>
      <c r="D336" s="1" cm="1">
        <f t="array" ref="D336">_xlfn.XLOOKUP(_xlfn.FLOOR.MATH(C336),'Mortality Tables'!$B$4:$B$124,_xlfn.XLOOKUP(mortality_table,'Mortality Tables'!$B$3:$G$3,'Mortality Tables'!$B$4:$G$124,0,0),0,0)</f>
        <v>5.6999999999999998E-4</v>
      </c>
      <c r="E336" s="1">
        <f t="shared" si="38"/>
        <v>4.7499999999999996E-5</v>
      </c>
      <c r="F336" s="1">
        <f t="shared" si="35"/>
        <v>0.99995250000000002</v>
      </c>
      <c r="G336" s="1">
        <f t="shared" si="36"/>
        <v>0.98647473002855668</v>
      </c>
      <c r="H336" s="34">
        <f t="shared" si="39"/>
        <v>0.26460107260703031</v>
      </c>
      <c r="I336" s="36">
        <f t="shared" si="40"/>
        <v>0.26102227166528674</v>
      </c>
    </row>
    <row r="337" spans="2:9" x14ac:dyDescent="0.35">
      <c r="B337" s="16">
        <f t="shared" si="41"/>
        <v>27.333333333333215</v>
      </c>
      <c r="C337" s="17">
        <f t="shared" si="37"/>
        <v>27.333333333333215</v>
      </c>
      <c r="D337" s="1" cm="1">
        <f t="array" ref="D337">_xlfn.XLOOKUP(_xlfn.FLOOR.MATH(C337),'Mortality Tables'!$B$4:$B$124,_xlfn.XLOOKUP(mortality_table,'Mortality Tables'!$B$3:$G$3,'Mortality Tables'!$B$4:$G$124,0,0),0,0)</f>
        <v>5.6999999999999998E-4</v>
      </c>
      <c r="E337" s="1">
        <f t="shared" si="38"/>
        <v>4.7499999999999996E-5</v>
      </c>
      <c r="F337" s="1">
        <f t="shared" si="35"/>
        <v>0.99995250000000002</v>
      </c>
      <c r="G337" s="1">
        <f t="shared" si="36"/>
        <v>0.98642787247888031</v>
      </c>
      <c r="H337" s="34">
        <f t="shared" si="39"/>
        <v>0.26352742923992023</v>
      </c>
      <c r="I337" s="36">
        <f t="shared" si="40"/>
        <v>0.25995080136496318</v>
      </c>
    </row>
    <row r="338" spans="2:9" x14ac:dyDescent="0.35">
      <c r="B338" s="16">
        <f t="shared" si="41"/>
        <v>27.416666666666547</v>
      </c>
      <c r="C338" s="17">
        <f t="shared" si="37"/>
        <v>27.416666666666547</v>
      </c>
      <c r="D338" s="1" cm="1">
        <f t="array" ref="D338">_xlfn.XLOOKUP(_xlfn.FLOOR.MATH(C338),'Mortality Tables'!$B$4:$B$124,_xlfn.XLOOKUP(mortality_table,'Mortality Tables'!$B$3:$G$3,'Mortality Tables'!$B$4:$G$124,0,0),0,0)</f>
        <v>5.6999999999999998E-4</v>
      </c>
      <c r="E338" s="1">
        <f t="shared" si="38"/>
        <v>4.7499999999999996E-5</v>
      </c>
      <c r="F338" s="1">
        <f t="shared" si="35"/>
        <v>0.99995250000000002</v>
      </c>
      <c r="G338" s="1">
        <f t="shared" si="36"/>
        <v>0.98638101715493753</v>
      </c>
      <c r="H338" s="34">
        <f t="shared" si="39"/>
        <v>0.26245814228024417</v>
      </c>
      <c r="I338" s="36">
        <f t="shared" si="40"/>
        <v>0.25888372934298254</v>
      </c>
    </row>
    <row r="339" spans="2:9" x14ac:dyDescent="0.35">
      <c r="B339" s="16">
        <f t="shared" si="41"/>
        <v>27.499999999999879</v>
      </c>
      <c r="C339" s="17">
        <f t="shared" si="37"/>
        <v>27.499999999999879</v>
      </c>
      <c r="D339" s="1" cm="1">
        <f t="array" ref="D339">_xlfn.XLOOKUP(_xlfn.FLOOR.MATH(C339),'Mortality Tables'!$B$4:$B$124,_xlfn.XLOOKUP(mortality_table,'Mortality Tables'!$B$3:$G$3,'Mortality Tables'!$B$4:$G$124,0,0),0,0)</f>
        <v>5.6999999999999998E-4</v>
      </c>
      <c r="E339" s="1">
        <f t="shared" si="38"/>
        <v>4.7499999999999996E-5</v>
      </c>
      <c r="F339" s="1">
        <f t="shared" si="35"/>
        <v>0.99995250000000002</v>
      </c>
      <c r="G339" s="1">
        <f t="shared" si="36"/>
        <v>0.98633416405662266</v>
      </c>
      <c r="H339" s="34">
        <f t="shared" si="39"/>
        <v>0.26139319405147526</v>
      </c>
      <c r="I339" s="36">
        <f t="shared" si="40"/>
        <v>0.25782103754485242</v>
      </c>
    </row>
    <row r="340" spans="2:9" x14ac:dyDescent="0.35">
      <c r="B340" s="16">
        <f t="shared" si="41"/>
        <v>27.583333333333211</v>
      </c>
      <c r="C340" s="17">
        <f t="shared" si="37"/>
        <v>27.583333333333211</v>
      </c>
      <c r="D340" s="1" cm="1">
        <f t="array" ref="D340">_xlfn.XLOOKUP(_xlfn.FLOOR.MATH(C340),'Mortality Tables'!$B$4:$B$124,_xlfn.XLOOKUP(mortality_table,'Mortality Tables'!$B$3:$G$3,'Mortality Tables'!$B$4:$G$124,0,0),0,0)</f>
        <v>5.6999999999999998E-4</v>
      </c>
      <c r="E340" s="1">
        <f t="shared" si="38"/>
        <v>4.7499999999999996E-5</v>
      </c>
      <c r="F340" s="1">
        <f t="shared" si="35"/>
        <v>0.99995250000000002</v>
      </c>
      <c r="G340" s="1">
        <f t="shared" si="36"/>
        <v>0.98628731318383001</v>
      </c>
      <c r="H340" s="34">
        <f t="shared" si="39"/>
        <v>0.26033256694881091</v>
      </c>
      <c r="I340" s="36">
        <f t="shared" si="40"/>
        <v>0.25676270799019224</v>
      </c>
    </row>
    <row r="341" spans="2:9" x14ac:dyDescent="0.35">
      <c r="B341" s="16">
        <f t="shared" si="41"/>
        <v>27.666666666666544</v>
      </c>
      <c r="C341" s="17">
        <f t="shared" si="37"/>
        <v>27.666666666666544</v>
      </c>
      <c r="D341" s="1" cm="1">
        <f t="array" ref="D341">_xlfn.XLOOKUP(_xlfn.FLOOR.MATH(C341),'Mortality Tables'!$B$4:$B$124,_xlfn.XLOOKUP(mortality_table,'Mortality Tables'!$B$3:$G$3,'Mortality Tables'!$B$4:$G$124,0,0),0,0)</f>
        <v>5.6999999999999998E-4</v>
      </c>
      <c r="E341" s="1">
        <f t="shared" si="38"/>
        <v>4.7499999999999996E-5</v>
      </c>
      <c r="F341" s="1">
        <f t="shared" si="35"/>
        <v>0.99995250000000002</v>
      </c>
      <c r="G341" s="1">
        <f t="shared" si="36"/>
        <v>0.98624046453645375</v>
      </c>
      <c r="H341" s="34">
        <f t="shared" si="39"/>
        <v>0.25927624343888156</v>
      </c>
      <c r="I341" s="36">
        <f t="shared" si="40"/>
        <v>0.25570872277242923</v>
      </c>
    </row>
    <row r="342" spans="2:9" x14ac:dyDescent="0.35">
      <c r="B342" s="16">
        <f t="shared" si="41"/>
        <v>27.749999999999876</v>
      </c>
      <c r="C342" s="17">
        <f t="shared" si="37"/>
        <v>27.749999999999876</v>
      </c>
      <c r="D342" s="1" cm="1">
        <f t="array" ref="D342">_xlfn.XLOOKUP(_xlfn.FLOOR.MATH(C342),'Mortality Tables'!$B$4:$B$124,_xlfn.XLOOKUP(mortality_table,'Mortality Tables'!$B$3:$G$3,'Mortality Tables'!$B$4:$G$124,0,0),0,0)</f>
        <v>5.6999999999999998E-4</v>
      </c>
      <c r="E342" s="1">
        <f t="shared" si="38"/>
        <v>4.7499999999999996E-5</v>
      </c>
      <c r="F342" s="1">
        <f t="shared" si="35"/>
        <v>0.99995250000000002</v>
      </c>
      <c r="G342" s="1">
        <f t="shared" si="36"/>
        <v>0.98619361811438833</v>
      </c>
      <c r="H342" s="34">
        <f t="shared" si="39"/>
        <v>0.25822420605946106</v>
      </c>
      <c r="I342" s="36">
        <f t="shared" si="40"/>
        <v>0.25465906405849525</v>
      </c>
    </row>
    <row r="343" spans="2:9" x14ac:dyDescent="0.35">
      <c r="B343" s="16">
        <f t="shared" si="41"/>
        <v>27.833333333333208</v>
      </c>
      <c r="C343" s="17">
        <f t="shared" si="37"/>
        <v>27.833333333333208</v>
      </c>
      <c r="D343" s="1" cm="1">
        <f t="array" ref="D343">_xlfn.XLOOKUP(_xlfn.FLOOR.MATH(C343),'Mortality Tables'!$B$4:$B$124,_xlfn.XLOOKUP(mortality_table,'Mortality Tables'!$B$3:$G$3,'Mortality Tables'!$B$4:$G$124,0,0),0,0)</f>
        <v>5.6999999999999998E-4</v>
      </c>
      <c r="E343" s="1">
        <f t="shared" si="38"/>
        <v>4.7499999999999996E-5</v>
      </c>
      <c r="F343" s="1">
        <f t="shared" si="35"/>
        <v>0.99995250000000002</v>
      </c>
      <c r="G343" s="1">
        <f t="shared" si="36"/>
        <v>0.98614677391752792</v>
      </c>
      <c r="H343" s="34">
        <f t="shared" si="39"/>
        <v>0.25717643741917767</v>
      </c>
      <c r="I343" s="36">
        <f t="shared" si="40"/>
        <v>0.25361371408852507</v>
      </c>
    </row>
    <row r="344" spans="2:9" x14ac:dyDescent="0.35">
      <c r="B344" s="16">
        <f t="shared" si="41"/>
        <v>27.91666666666654</v>
      </c>
      <c r="C344" s="17">
        <f t="shared" si="37"/>
        <v>27.91666666666654</v>
      </c>
      <c r="D344" s="1" cm="1">
        <f t="array" ref="D344">_xlfn.XLOOKUP(_xlfn.FLOOR.MATH(C344),'Mortality Tables'!$B$4:$B$124,_xlfn.XLOOKUP(mortality_table,'Mortality Tables'!$B$3:$G$3,'Mortality Tables'!$B$4:$G$124,0,0),0,0)</f>
        <v>5.6999999999999998E-4</v>
      </c>
      <c r="E344" s="1">
        <f t="shared" si="38"/>
        <v>4.7499999999999996E-5</v>
      </c>
      <c r="F344" s="1">
        <f t="shared" si="35"/>
        <v>0.99995250000000002</v>
      </c>
      <c r="G344" s="1">
        <f t="shared" si="36"/>
        <v>0.98609993194576684</v>
      </c>
      <c r="H344" s="34">
        <f t="shared" si="39"/>
        <v>0.25613292019722689</v>
      </c>
      <c r="I344" s="36">
        <f t="shared" si="40"/>
        <v>0.25257265517555594</v>
      </c>
    </row>
    <row r="345" spans="2:9" x14ac:dyDescent="0.35">
      <c r="B345" s="16">
        <f t="shared" si="41"/>
        <v>27.999999999999872</v>
      </c>
      <c r="C345" s="17">
        <f t="shared" si="37"/>
        <v>27.999999999999872</v>
      </c>
      <c r="D345" s="1" cm="1">
        <f t="array" ref="D345">_xlfn.XLOOKUP(_xlfn.FLOOR.MATH(C345),'Mortality Tables'!$B$4:$B$124,_xlfn.XLOOKUP(mortality_table,'Mortality Tables'!$B$3:$G$3,'Mortality Tables'!$B$4:$G$124,0,0),0,0)</f>
        <v>5.6999999999999998E-4</v>
      </c>
      <c r="E345" s="1">
        <f t="shared" si="38"/>
        <v>4.7499999999999996E-5</v>
      </c>
      <c r="F345" s="1">
        <f t="shared" si="35"/>
        <v>0.99995250000000002</v>
      </c>
      <c r="G345" s="1">
        <f t="shared" si="36"/>
        <v>0.98605309219899939</v>
      </c>
      <c r="H345" s="34">
        <f t="shared" si="39"/>
        <v>0.25509363714308492</v>
      </c>
      <c r="I345" s="36">
        <f t="shared" si="40"/>
        <v>0.2515358697052284</v>
      </c>
    </row>
    <row r="346" spans="2:9" x14ac:dyDescent="0.35">
      <c r="B346" s="16">
        <f t="shared" si="41"/>
        <v>28.083333333333204</v>
      </c>
      <c r="C346" s="17">
        <f t="shared" si="37"/>
        <v>28.083333333333204</v>
      </c>
      <c r="D346" s="1" cm="1">
        <f t="array" ref="D346">_xlfn.XLOOKUP(_xlfn.FLOOR.MATH(C346),'Mortality Tables'!$B$4:$B$124,_xlfn.XLOOKUP(mortality_table,'Mortality Tables'!$B$3:$G$3,'Mortality Tables'!$B$4:$G$124,0,0),0,0)</f>
        <v>5.7399999999999997E-4</v>
      </c>
      <c r="E346" s="1">
        <f t="shared" si="38"/>
        <v>4.7833333333333328E-5</v>
      </c>
      <c r="F346" s="1">
        <f t="shared" si="35"/>
        <v>0.99995216666666664</v>
      </c>
      <c r="G346" s="1">
        <f t="shared" si="36"/>
        <v>0.98600625467712</v>
      </c>
      <c r="H346" s="34">
        <f t="shared" si="39"/>
        <v>0.25405857107622354</v>
      </c>
      <c r="I346" s="36">
        <f t="shared" si="40"/>
        <v>0.25050334013548808</v>
      </c>
    </row>
    <row r="347" spans="2:9" x14ac:dyDescent="0.35">
      <c r="B347" s="16">
        <f t="shared" si="41"/>
        <v>28.166666666666536</v>
      </c>
      <c r="C347" s="17">
        <f t="shared" si="37"/>
        <v>28.166666666666536</v>
      </c>
      <c r="D347" s="1" cm="1">
        <f t="array" ref="D347">_xlfn.XLOOKUP(_xlfn.FLOOR.MATH(C347),'Mortality Tables'!$B$4:$B$124,_xlfn.XLOOKUP(mortality_table,'Mortality Tables'!$B$3:$G$3,'Mortality Tables'!$B$4:$G$124,0,0),0,0)</f>
        <v>5.7399999999999997E-4</v>
      </c>
      <c r="E347" s="1">
        <f t="shared" si="38"/>
        <v>4.7833333333333328E-5</v>
      </c>
      <c r="F347" s="1">
        <f t="shared" ref="F347:F410" si="42">1-E347</f>
        <v>0.99995216666666664</v>
      </c>
      <c r="G347" s="1">
        <f t="shared" ref="G347:G410" si="43">G346*F346</f>
        <v>0.9859590907112713</v>
      </c>
      <c r="H347" s="34">
        <f t="shared" si="39"/>
        <v>0.25302770488582627</v>
      </c>
      <c r="I347" s="36">
        <f t="shared" si="40"/>
        <v>0.24947496583398918</v>
      </c>
    </row>
    <row r="348" spans="2:9" x14ac:dyDescent="0.35">
      <c r="B348" s="16">
        <f t="shared" si="41"/>
        <v>28.249999999999869</v>
      </c>
      <c r="C348" s="17">
        <f t="shared" si="37"/>
        <v>28.249999999999869</v>
      </c>
      <c r="D348" s="1" cm="1">
        <f t="array" ref="D348">_xlfn.XLOOKUP(_xlfn.FLOOR.MATH(C348),'Mortality Tables'!$B$4:$B$124,_xlfn.XLOOKUP(mortality_table,'Mortality Tables'!$B$3:$G$3,'Mortality Tables'!$B$4:$G$124,0,0),0,0)</f>
        <v>5.7399999999999997E-4</v>
      </c>
      <c r="E348" s="1">
        <f t="shared" si="38"/>
        <v>4.7833333333333328E-5</v>
      </c>
      <c r="F348" s="1">
        <f t="shared" si="42"/>
        <v>0.99995216666666664</v>
      </c>
      <c r="G348" s="1">
        <f t="shared" si="43"/>
        <v>0.98591192900143221</v>
      </c>
      <c r="H348" s="34">
        <f t="shared" si="39"/>
        <v>0.25200102153050519</v>
      </c>
      <c r="I348" s="36">
        <f t="shared" si="40"/>
        <v>0.24845081324747181</v>
      </c>
    </row>
    <row r="349" spans="2:9" x14ac:dyDescent="0.35">
      <c r="B349" s="16">
        <f t="shared" si="41"/>
        <v>28.333333333333201</v>
      </c>
      <c r="C349" s="17">
        <f t="shared" si="37"/>
        <v>28.333333333333201</v>
      </c>
      <c r="D349" s="1" cm="1">
        <f t="array" ref="D349">_xlfn.XLOOKUP(_xlfn.FLOOR.MATH(C349),'Mortality Tables'!$B$4:$B$124,_xlfn.XLOOKUP(mortality_table,'Mortality Tables'!$B$3:$G$3,'Mortality Tables'!$B$4:$G$124,0,0),0,0)</f>
        <v>5.7399999999999997E-4</v>
      </c>
      <c r="E349" s="1">
        <f t="shared" si="38"/>
        <v>4.7833333333333328E-5</v>
      </c>
      <c r="F349" s="1">
        <f t="shared" si="42"/>
        <v>0.99995216666666664</v>
      </c>
      <c r="G349" s="1">
        <f t="shared" si="43"/>
        <v>0.98586476954749491</v>
      </c>
      <c r="H349" s="34">
        <f t="shared" si="39"/>
        <v>0.25097850403801947</v>
      </c>
      <c r="I349" s="36">
        <f t="shared" si="40"/>
        <v>0.24743086504481709</v>
      </c>
    </row>
    <row r="350" spans="2:9" x14ac:dyDescent="0.35">
      <c r="B350" s="16">
        <f t="shared" si="41"/>
        <v>28.416666666666533</v>
      </c>
      <c r="C350" s="17">
        <f t="shared" si="37"/>
        <v>28.416666666666533</v>
      </c>
      <c r="D350" s="1" cm="1">
        <f t="array" ref="D350">_xlfn.XLOOKUP(_xlfn.FLOOR.MATH(C350),'Mortality Tables'!$B$4:$B$124,_xlfn.XLOOKUP(mortality_table,'Mortality Tables'!$B$3:$G$3,'Mortality Tables'!$B$4:$G$124,0,0),0,0)</f>
        <v>5.7399999999999997E-4</v>
      </c>
      <c r="E350" s="1">
        <f t="shared" si="38"/>
        <v>4.7833333333333328E-5</v>
      </c>
      <c r="F350" s="1">
        <f t="shared" si="42"/>
        <v>0.99995216666666664</v>
      </c>
      <c r="G350" s="1">
        <f t="shared" si="43"/>
        <v>0.9858176123493515</v>
      </c>
      <c r="H350" s="34">
        <f t="shared" si="39"/>
        <v>0.24996013550499466</v>
      </c>
      <c r="I350" s="36">
        <f t="shared" si="40"/>
        <v>0.24641510396605421</v>
      </c>
    </row>
    <row r="351" spans="2:9" x14ac:dyDescent="0.35">
      <c r="B351" s="16">
        <f t="shared" si="41"/>
        <v>28.499999999999865</v>
      </c>
      <c r="C351" s="17">
        <f t="shared" si="37"/>
        <v>28.499999999999865</v>
      </c>
      <c r="D351" s="1" cm="1">
        <f t="array" ref="D351">_xlfn.XLOOKUP(_xlfn.FLOOR.MATH(C351),'Mortality Tables'!$B$4:$B$124,_xlfn.XLOOKUP(mortality_table,'Mortality Tables'!$B$3:$G$3,'Mortality Tables'!$B$4:$G$124,0,0),0,0)</f>
        <v>5.7399999999999997E-4</v>
      </c>
      <c r="E351" s="1">
        <f t="shared" si="38"/>
        <v>4.7833333333333328E-5</v>
      </c>
      <c r="F351" s="1">
        <f t="shared" si="42"/>
        <v>0.99995216666666664</v>
      </c>
      <c r="G351" s="1">
        <f t="shared" si="43"/>
        <v>0.98577045740689406</v>
      </c>
      <c r="H351" s="34">
        <f t="shared" si="39"/>
        <v>0.2489458990966433</v>
      </c>
      <c r="I351" s="36">
        <f t="shared" si="40"/>
        <v>0.24540351282206857</v>
      </c>
    </row>
    <row r="352" spans="2:9" x14ac:dyDescent="0.35">
      <c r="B352" s="16">
        <f t="shared" si="41"/>
        <v>28.583333333333197</v>
      </c>
      <c r="C352" s="17">
        <f t="shared" si="37"/>
        <v>28.583333333333197</v>
      </c>
      <c r="D352" s="1" cm="1">
        <f t="array" ref="D352">_xlfn.XLOOKUP(_xlfn.FLOOR.MATH(C352),'Mortality Tables'!$B$4:$B$124,_xlfn.XLOOKUP(mortality_table,'Mortality Tables'!$B$3:$G$3,'Mortality Tables'!$B$4:$G$124,0,0),0,0)</f>
        <v>5.7399999999999997E-4</v>
      </c>
      <c r="E352" s="1">
        <f t="shared" si="38"/>
        <v>4.7833333333333328E-5</v>
      </c>
      <c r="F352" s="1">
        <f t="shared" si="42"/>
        <v>0.99995216666666664</v>
      </c>
      <c r="G352" s="1">
        <f t="shared" si="43"/>
        <v>0.98572330472001479</v>
      </c>
      <c r="H352" s="34">
        <f t="shared" si="39"/>
        <v>0.24793577804648675</v>
      </c>
      <c r="I352" s="36">
        <f t="shared" si="40"/>
        <v>0.24439607449431103</v>
      </c>
    </row>
    <row r="353" spans="2:9" x14ac:dyDescent="0.35">
      <c r="B353" s="16">
        <f t="shared" si="41"/>
        <v>28.666666666666529</v>
      </c>
      <c r="C353" s="17">
        <f t="shared" si="37"/>
        <v>28.666666666666529</v>
      </c>
      <c r="D353" s="1" cm="1">
        <f t="array" ref="D353">_xlfn.XLOOKUP(_xlfn.FLOOR.MATH(C353),'Mortality Tables'!$B$4:$B$124,_xlfn.XLOOKUP(mortality_table,'Mortality Tables'!$B$3:$G$3,'Mortality Tables'!$B$4:$G$124,0,0),0,0)</f>
        <v>5.7399999999999997E-4</v>
      </c>
      <c r="E353" s="1">
        <f t="shared" si="38"/>
        <v>4.7833333333333328E-5</v>
      </c>
      <c r="F353" s="1">
        <f t="shared" si="42"/>
        <v>0.99995216666666664</v>
      </c>
      <c r="G353" s="1">
        <f t="shared" si="43"/>
        <v>0.98567615428860567</v>
      </c>
      <c r="H353" s="34">
        <f t="shared" si="39"/>
        <v>0.24692975565607789</v>
      </c>
      <c r="I353" s="36">
        <f t="shared" si="40"/>
        <v>0.24339277193450792</v>
      </c>
    </row>
    <row r="354" spans="2:9" x14ac:dyDescent="0.35">
      <c r="B354" s="16">
        <f t="shared" si="41"/>
        <v>28.749999999999861</v>
      </c>
      <c r="C354" s="17">
        <f t="shared" si="37"/>
        <v>28.749999999999861</v>
      </c>
      <c r="D354" s="1" cm="1">
        <f t="array" ref="D354">_xlfn.XLOOKUP(_xlfn.FLOOR.MATH(C354),'Mortality Tables'!$B$4:$B$124,_xlfn.XLOOKUP(mortality_table,'Mortality Tables'!$B$3:$G$3,'Mortality Tables'!$B$4:$G$124,0,0),0,0)</f>
        <v>5.7399999999999997E-4</v>
      </c>
      <c r="E354" s="1">
        <f t="shared" si="38"/>
        <v>4.7833333333333328E-5</v>
      </c>
      <c r="F354" s="1">
        <f t="shared" si="42"/>
        <v>0.99995216666666664</v>
      </c>
      <c r="G354" s="1">
        <f t="shared" si="43"/>
        <v>0.98562900611255888</v>
      </c>
      <c r="H354" s="34">
        <f t="shared" si="39"/>
        <v>0.24592781529472502</v>
      </c>
      <c r="I354" s="36">
        <f t="shared" si="40"/>
        <v>0.24239358816437279</v>
      </c>
    </row>
    <row r="355" spans="2:9" x14ac:dyDescent="0.35">
      <c r="B355" s="16">
        <f t="shared" si="41"/>
        <v>28.833333333333194</v>
      </c>
      <c r="C355" s="17">
        <f t="shared" si="37"/>
        <v>28.833333333333194</v>
      </c>
      <c r="D355" s="1" cm="1">
        <f t="array" ref="D355">_xlfn.XLOOKUP(_xlfn.FLOOR.MATH(C355),'Mortality Tables'!$B$4:$B$124,_xlfn.XLOOKUP(mortality_table,'Mortality Tables'!$B$3:$G$3,'Mortality Tables'!$B$4:$G$124,0,0),0,0)</f>
        <v>5.7399999999999997E-4</v>
      </c>
      <c r="E355" s="1">
        <f t="shared" si="38"/>
        <v>4.7833333333333328E-5</v>
      </c>
      <c r="F355" s="1">
        <f t="shared" si="42"/>
        <v>0.99995216666666664</v>
      </c>
      <c r="G355" s="1">
        <f t="shared" si="43"/>
        <v>0.98558186019176652</v>
      </c>
      <c r="H355" s="34">
        <f t="shared" si="39"/>
        <v>0.24492994039921698</v>
      </c>
      <c r="I355" s="36">
        <f t="shared" si="40"/>
        <v>0.24139850627531878</v>
      </c>
    </row>
    <row r="356" spans="2:9" x14ac:dyDescent="0.35">
      <c r="B356" s="16">
        <f t="shared" si="41"/>
        <v>28.916666666666526</v>
      </c>
      <c r="C356" s="17">
        <f t="shared" si="37"/>
        <v>28.916666666666526</v>
      </c>
      <c r="D356" s="1" cm="1">
        <f t="array" ref="D356">_xlfn.XLOOKUP(_xlfn.FLOOR.MATH(C356),'Mortality Tables'!$B$4:$B$124,_xlfn.XLOOKUP(mortality_table,'Mortality Tables'!$B$3:$G$3,'Mortality Tables'!$B$4:$G$124,0,0),0,0)</f>
        <v>5.7399999999999997E-4</v>
      </c>
      <c r="E356" s="1">
        <f t="shared" si="38"/>
        <v>4.7833333333333328E-5</v>
      </c>
      <c r="F356" s="1">
        <f t="shared" si="42"/>
        <v>0.99995216666666664</v>
      </c>
      <c r="G356" s="1">
        <f t="shared" si="43"/>
        <v>0.98553471652612068</v>
      </c>
      <c r="H356" s="34">
        <f t="shared" si="39"/>
        <v>0.2439361144735496</v>
      </c>
      <c r="I356" s="36">
        <f t="shared" si="40"/>
        <v>0.24040750942817302</v>
      </c>
    </row>
    <row r="357" spans="2:9" x14ac:dyDescent="0.35">
      <c r="B357" s="16">
        <f t="shared" si="41"/>
        <v>28.999999999999858</v>
      </c>
      <c r="C357" s="17">
        <f t="shared" si="37"/>
        <v>28.999999999999858</v>
      </c>
      <c r="D357" s="1" cm="1">
        <f t="array" ref="D357">_xlfn.XLOOKUP(_xlfn.FLOOR.MATH(C357),'Mortality Tables'!$B$4:$B$124,_xlfn.XLOOKUP(mortality_table,'Mortality Tables'!$B$3:$G$3,'Mortality Tables'!$B$4:$G$124,0,0),0,0)</f>
        <v>5.7399999999999997E-4</v>
      </c>
      <c r="E357" s="1">
        <f t="shared" si="38"/>
        <v>4.7833333333333328E-5</v>
      </c>
      <c r="F357" s="1">
        <f t="shared" si="42"/>
        <v>0.99995216666666664</v>
      </c>
      <c r="G357" s="1">
        <f t="shared" si="43"/>
        <v>0.98548757511551344</v>
      </c>
      <c r="H357" s="34">
        <f t="shared" si="39"/>
        <v>0.24294632108865244</v>
      </c>
      <c r="I357" s="36">
        <f t="shared" si="40"/>
        <v>0.23942058085289103</v>
      </c>
    </row>
    <row r="358" spans="2:9" x14ac:dyDescent="0.35">
      <c r="B358" s="16">
        <f t="shared" si="41"/>
        <v>29.08333333333319</v>
      </c>
      <c r="C358" s="17">
        <f t="shared" si="37"/>
        <v>29.08333333333319</v>
      </c>
      <c r="D358" s="1" cm="1">
        <f t="array" ref="D358">_xlfn.XLOOKUP(_xlfn.FLOOR.MATH(C358),'Mortality Tables'!$B$4:$B$124,_xlfn.XLOOKUP(mortality_table,'Mortality Tables'!$B$3:$G$3,'Mortality Tables'!$B$4:$G$124,0,0),0,0)</f>
        <v>5.8E-4</v>
      </c>
      <c r="E358" s="1">
        <f t="shared" si="38"/>
        <v>4.8333333333333334E-5</v>
      </c>
      <c r="F358" s="1">
        <f t="shared" si="42"/>
        <v>0.99995166666666668</v>
      </c>
      <c r="G358" s="1">
        <f t="shared" si="43"/>
        <v>0.9854404359598371</v>
      </c>
      <c r="H358" s="34">
        <f t="shared" si="39"/>
        <v>0.24196054388211785</v>
      </c>
      <c r="I358" s="36">
        <f t="shared" si="40"/>
        <v>0.23843770384827351</v>
      </c>
    </row>
    <row r="359" spans="2:9" x14ac:dyDescent="0.35">
      <c r="B359" s="16">
        <f t="shared" si="41"/>
        <v>29.166666666666522</v>
      </c>
      <c r="C359" s="17">
        <f t="shared" si="37"/>
        <v>29.166666666666522</v>
      </c>
      <c r="D359" s="1" cm="1">
        <f t="array" ref="D359">_xlfn.XLOOKUP(_xlfn.FLOOR.MATH(C359),'Mortality Tables'!$B$4:$B$124,_xlfn.XLOOKUP(mortality_table,'Mortality Tables'!$B$3:$G$3,'Mortality Tables'!$B$4:$G$124,0,0),0,0)</f>
        <v>5.8E-4</v>
      </c>
      <c r="E359" s="1">
        <f t="shared" si="38"/>
        <v>4.8333333333333334E-5</v>
      </c>
      <c r="F359" s="1">
        <f t="shared" si="42"/>
        <v>0.99995166666666668</v>
      </c>
      <c r="G359" s="1">
        <f t="shared" si="43"/>
        <v>0.98539280633876569</v>
      </c>
      <c r="H359" s="34">
        <f t="shared" si="39"/>
        <v>0.24097876655792999</v>
      </c>
      <c r="I359" s="36">
        <f t="shared" si="40"/>
        <v>0.23745874304657294</v>
      </c>
    </row>
    <row r="360" spans="2:9" x14ac:dyDescent="0.35">
      <c r="B360" s="16">
        <f t="shared" si="41"/>
        <v>29.249999999999854</v>
      </c>
      <c r="C360" s="17">
        <f t="shared" si="37"/>
        <v>29.249999999999854</v>
      </c>
      <c r="D360" s="1" cm="1">
        <f t="array" ref="D360">_xlfn.XLOOKUP(_xlfn.FLOOR.MATH(C360),'Mortality Tables'!$B$4:$B$124,_xlfn.XLOOKUP(mortality_table,'Mortality Tables'!$B$3:$G$3,'Mortality Tables'!$B$4:$G$124,0,0),0,0)</f>
        <v>5.8E-4</v>
      </c>
      <c r="E360" s="1">
        <f t="shared" si="38"/>
        <v>4.8333333333333334E-5</v>
      </c>
      <c r="F360" s="1">
        <f t="shared" si="42"/>
        <v>0.99995166666666668</v>
      </c>
      <c r="G360" s="1">
        <f t="shared" si="43"/>
        <v>0.98534517901979268</v>
      </c>
      <c r="H360" s="34">
        <f t="shared" si="39"/>
        <v>0.2400009728861956</v>
      </c>
      <c r="I360" s="36">
        <f t="shared" si="40"/>
        <v>0.23648380159347282</v>
      </c>
    </row>
    <row r="361" spans="2:9" x14ac:dyDescent="0.35">
      <c r="B361" s="16">
        <f t="shared" si="41"/>
        <v>29.333333333333186</v>
      </c>
      <c r="C361" s="17">
        <f t="shared" si="37"/>
        <v>29.333333333333186</v>
      </c>
      <c r="D361" s="1" cm="1">
        <f t="array" ref="D361">_xlfn.XLOOKUP(_xlfn.FLOOR.MATH(C361),'Mortality Tables'!$B$4:$B$124,_xlfn.XLOOKUP(mortality_table,'Mortality Tables'!$B$3:$G$3,'Mortality Tables'!$B$4:$G$124,0,0),0,0)</f>
        <v>5.8E-4</v>
      </c>
      <c r="E361" s="1">
        <f t="shared" si="38"/>
        <v>4.8333333333333334E-5</v>
      </c>
      <c r="F361" s="1">
        <f t="shared" si="42"/>
        <v>0.99995166666666668</v>
      </c>
      <c r="G361" s="1">
        <f t="shared" si="43"/>
        <v>0.98529755400280672</v>
      </c>
      <c r="H361" s="34">
        <f t="shared" si="39"/>
        <v>0.23902714670287581</v>
      </c>
      <c r="I361" s="36">
        <f t="shared" si="40"/>
        <v>0.23551286298661359</v>
      </c>
    </row>
    <row r="362" spans="2:9" x14ac:dyDescent="0.35">
      <c r="B362" s="16">
        <f t="shared" si="41"/>
        <v>29.416666666666519</v>
      </c>
      <c r="C362" s="17">
        <f t="shared" si="37"/>
        <v>29.416666666666519</v>
      </c>
      <c r="D362" s="1" cm="1">
        <f t="array" ref="D362">_xlfn.XLOOKUP(_xlfn.FLOOR.MATH(C362),'Mortality Tables'!$B$4:$B$124,_xlfn.XLOOKUP(mortality_table,'Mortality Tables'!$B$3:$G$3,'Mortality Tables'!$B$4:$G$124,0,0),0,0)</f>
        <v>5.8E-4</v>
      </c>
      <c r="E362" s="1">
        <f t="shared" si="38"/>
        <v>4.8333333333333334E-5</v>
      </c>
      <c r="F362" s="1">
        <f t="shared" si="42"/>
        <v>0.99995166666666668</v>
      </c>
      <c r="G362" s="1">
        <f t="shared" si="43"/>
        <v>0.98524993128769656</v>
      </c>
      <c r="H362" s="34">
        <f t="shared" si="39"/>
        <v>0.23805727190951886</v>
      </c>
      <c r="I362" s="36">
        <f t="shared" si="40"/>
        <v>0.23454591079138995</v>
      </c>
    </row>
    <row r="363" spans="2:9" x14ac:dyDescent="0.35">
      <c r="B363" s="16">
        <f t="shared" si="41"/>
        <v>29.499999999999851</v>
      </c>
      <c r="C363" s="17">
        <f t="shared" si="37"/>
        <v>29.499999999999851</v>
      </c>
      <c r="D363" s="1" cm="1">
        <f t="array" ref="D363">_xlfn.XLOOKUP(_xlfn.FLOOR.MATH(C363),'Mortality Tables'!$B$4:$B$124,_xlfn.XLOOKUP(mortality_table,'Mortality Tables'!$B$3:$G$3,'Mortality Tables'!$B$4:$G$124,0,0),0,0)</f>
        <v>5.8E-4</v>
      </c>
      <c r="E363" s="1">
        <f t="shared" si="38"/>
        <v>4.8333333333333334E-5</v>
      </c>
      <c r="F363" s="1">
        <f t="shared" si="42"/>
        <v>0.99995166666666668</v>
      </c>
      <c r="G363" s="1">
        <f t="shared" si="43"/>
        <v>0.98520231087435095</v>
      </c>
      <c r="H363" s="34">
        <f t="shared" si="39"/>
        <v>0.2370913324729938</v>
      </c>
      <c r="I363" s="36">
        <f t="shared" si="40"/>
        <v>0.23358292864067254</v>
      </c>
    </row>
    <row r="364" spans="2:9" x14ac:dyDescent="0.35">
      <c r="B364" s="16">
        <f t="shared" si="41"/>
        <v>29.583333333333183</v>
      </c>
      <c r="C364" s="17">
        <f t="shared" si="37"/>
        <v>29.583333333333183</v>
      </c>
      <c r="D364" s="1" cm="1">
        <f t="array" ref="D364">_xlfn.XLOOKUP(_xlfn.FLOOR.MATH(C364),'Mortality Tables'!$B$4:$B$124,_xlfn.XLOOKUP(mortality_table,'Mortality Tables'!$B$3:$G$3,'Mortality Tables'!$B$4:$G$124,0,0),0,0)</f>
        <v>5.8E-4</v>
      </c>
      <c r="E364" s="1">
        <f t="shared" si="38"/>
        <v>4.8333333333333334E-5</v>
      </c>
      <c r="F364" s="1">
        <f t="shared" si="42"/>
        <v>0.99995166666666668</v>
      </c>
      <c r="G364" s="1">
        <f t="shared" si="43"/>
        <v>0.98515469276265866</v>
      </c>
      <c r="H364" s="34">
        <f t="shared" si="39"/>
        <v>0.23612931242522567</v>
      </c>
      <c r="I364" s="36">
        <f t="shared" si="40"/>
        <v>0.23262390023453103</v>
      </c>
    </row>
    <row r="365" spans="2:9" x14ac:dyDescent="0.35">
      <c r="B365" s="16">
        <f t="shared" si="41"/>
        <v>29.666666666666515</v>
      </c>
      <c r="C365" s="17">
        <f t="shared" si="37"/>
        <v>29.666666666666515</v>
      </c>
      <c r="D365" s="1" cm="1">
        <f t="array" ref="D365">_xlfn.XLOOKUP(_xlfn.FLOOR.MATH(C365),'Mortality Tables'!$B$4:$B$124,_xlfn.XLOOKUP(mortality_table,'Mortality Tables'!$B$3:$G$3,'Mortality Tables'!$B$4:$G$124,0,0),0,0)</f>
        <v>5.8E-4</v>
      </c>
      <c r="E365" s="1">
        <f t="shared" si="38"/>
        <v>4.8333333333333334E-5</v>
      </c>
      <c r="F365" s="1">
        <f t="shared" si="42"/>
        <v>0.99995166666666668</v>
      </c>
      <c r="G365" s="1">
        <f t="shared" si="43"/>
        <v>0.98510707695250843</v>
      </c>
      <c r="H365" s="34">
        <f t="shared" si="39"/>
        <v>0.23517119586293145</v>
      </c>
      <c r="I365" s="36">
        <f t="shared" si="40"/>
        <v>0.23166880933995823</v>
      </c>
    </row>
    <row r="366" spans="2:9" x14ac:dyDescent="0.35">
      <c r="B366" s="16">
        <f t="shared" si="41"/>
        <v>29.749999999999847</v>
      </c>
      <c r="C366" s="17">
        <f t="shared" si="37"/>
        <v>29.749999999999847</v>
      </c>
      <c r="D366" s="1" cm="1">
        <f t="array" ref="D366">_xlfn.XLOOKUP(_xlfn.FLOOR.MATH(C366),'Mortality Tables'!$B$4:$B$124,_xlfn.XLOOKUP(mortality_table,'Mortality Tables'!$B$3:$G$3,'Mortality Tables'!$B$4:$G$124,0,0),0,0)</f>
        <v>5.8E-4</v>
      </c>
      <c r="E366" s="1">
        <f t="shared" si="38"/>
        <v>4.8333333333333334E-5</v>
      </c>
      <c r="F366" s="1">
        <f t="shared" si="42"/>
        <v>0.99995166666666668</v>
      </c>
      <c r="G366" s="1">
        <f t="shared" si="43"/>
        <v>0.98505946344378903</v>
      </c>
      <c r="H366" s="34">
        <f t="shared" si="39"/>
        <v>0.23421696694735727</v>
      </c>
      <c r="I366" s="36">
        <f t="shared" si="40"/>
        <v>0.23071763979059542</v>
      </c>
    </row>
    <row r="367" spans="2:9" x14ac:dyDescent="0.35">
      <c r="B367" s="16">
        <f t="shared" si="41"/>
        <v>29.833333333333179</v>
      </c>
      <c r="C367" s="17">
        <f t="shared" si="37"/>
        <v>29.833333333333179</v>
      </c>
      <c r="D367" s="1" cm="1">
        <f t="array" ref="D367">_xlfn.XLOOKUP(_xlfn.FLOOR.MATH(C367),'Mortality Tables'!$B$4:$B$124,_xlfn.XLOOKUP(mortality_table,'Mortality Tables'!$B$3:$G$3,'Mortality Tables'!$B$4:$G$124,0,0),0,0)</f>
        <v>5.8E-4</v>
      </c>
      <c r="E367" s="1">
        <f t="shared" si="38"/>
        <v>4.8333333333333334E-5</v>
      </c>
      <c r="F367" s="1">
        <f t="shared" si="42"/>
        <v>0.99995166666666668</v>
      </c>
      <c r="G367" s="1">
        <f t="shared" si="43"/>
        <v>0.98501185223638932</v>
      </c>
      <c r="H367" s="34">
        <f t="shared" si="39"/>
        <v>0.23326660990401629</v>
      </c>
      <c r="I367" s="36">
        <f t="shared" si="40"/>
        <v>0.22977037548645837</v>
      </c>
    </row>
    <row r="368" spans="2:9" x14ac:dyDescent="0.35">
      <c r="B368" s="16">
        <f t="shared" si="41"/>
        <v>29.916666666666512</v>
      </c>
      <c r="C368" s="17">
        <f t="shared" si="37"/>
        <v>29.916666666666512</v>
      </c>
      <c r="D368" s="1" cm="1">
        <f t="array" ref="D368">_xlfn.XLOOKUP(_xlfn.FLOOR.MATH(C368),'Mortality Tables'!$B$4:$B$124,_xlfn.XLOOKUP(mortality_table,'Mortality Tables'!$B$3:$G$3,'Mortality Tables'!$B$4:$G$124,0,0),0,0)</f>
        <v>5.8E-4</v>
      </c>
      <c r="E368" s="1">
        <f t="shared" si="38"/>
        <v>4.8333333333333334E-5</v>
      </c>
      <c r="F368" s="1">
        <f t="shared" si="42"/>
        <v>0.99995166666666668</v>
      </c>
      <c r="G368" s="1">
        <f t="shared" si="43"/>
        <v>0.98496424333019794</v>
      </c>
      <c r="H368" s="34">
        <f t="shared" si="39"/>
        <v>0.23232010902242831</v>
      </c>
      <c r="I368" s="36">
        <f t="shared" si="40"/>
        <v>0.22882700039366519</v>
      </c>
    </row>
    <row r="369" spans="2:9" x14ac:dyDescent="0.35">
      <c r="B369" s="16">
        <f t="shared" si="41"/>
        <v>29.999999999999844</v>
      </c>
      <c r="C369" s="17">
        <f t="shared" si="37"/>
        <v>29.999999999999844</v>
      </c>
      <c r="D369" s="1" cm="1">
        <f t="array" ref="D369">_xlfn.XLOOKUP(_xlfn.FLOOR.MATH(C369),'Mortality Tables'!$B$4:$B$124,_xlfn.XLOOKUP(mortality_table,'Mortality Tables'!$B$3:$G$3,'Mortality Tables'!$B$4:$G$124,0,0),0,0)</f>
        <v>5.8E-4</v>
      </c>
      <c r="E369" s="1">
        <f t="shared" si="38"/>
        <v>4.8333333333333334E-5</v>
      </c>
      <c r="F369" s="1">
        <f t="shared" si="42"/>
        <v>0.99995166666666668</v>
      </c>
      <c r="G369" s="1">
        <f t="shared" si="43"/>
        <v>0.98491663672510366</v>
      </c>
      <c r="H369" s="34">
        <f t="shared" si="39"/>
        <v>0.23137744865585963</v>
      </c>
      <c r="I369" s="36">
        <f t="shared" si="40"/>
        <v>0.22788749854416462</v>
      </c>
    </row>
    <row r="370" spans="2:9" x14ac:dyDescent="0.35">
      <c r="B370" s="16">
        <f t="shared" si="41"/>
        <v>30.083333333333176</v>
      </c>
      <c r="C370" s="17">
        <f t="shared" si="37"/>
        <v>30.083333333333176</v>
      </c>
      <c r="D370" s="1" cm="1">
        <f t="array" ref="D370">_xlfn.XLOOKUP(_xlfn.FLOOR.MATH(C370),'Mortality Tables'!$B$4:$B$124,_xlfn.XLOOKUP(mortality_table,'Mortality Tables'!$B$3:$G$3,'Mortality Tables'!$B$4:$G$124,0,0),0,0)</f>
        <v>5.9000000000000003E-4</v>
      </c>
      <c r="E370" s="1">
        <f t="shared" si="38"/>
        <v>4.9166666666666665E-5</v>
      </c>
      <c r="F370" s="1">
        <f t="shared" si="42"/>
        <v>0.99995083333333334</v>
      </c>
      <c r="G370" s="1">
        <f t="shared" si="43"/>
        <v>0.98486903242099533</v>
      </c>
      <c r="H370" s="34">
        <f t="shared" si="39"/>
        <v>0.23043861322106476</v>
      </c>
      <c r="I370" s="36">
        <f t="shared" si="40"/>
        <v>0.22695185403546603</v>
      </c>
    </row>
    <row r="371" spans="2:9" x14ac:dyDescent="0.35">
      <c r="B371" s="16">
        <f t="shared" si="41"/>
        <v>30.166666666666508</v>
      </c>
      <c r="C371" s="17">
        <f t="shared" si="37"/>
        <v>30.166666666666508</v>
      </c>
      <c r="D371" s="1" cm="1">
        <f t="array" ref="D371">_xlfn.XLOOKUP(_xlfn.FLOOR.MATH(C371),'Mortality Tables'!$B$4:$B$124,_xlfn.XLOOKUP(mortality_table,'Mortality Tables'!$B$3:$G$3,'Mortality Tables'!$B$4:$G$124,0,0),0,0)</f>
        <v>5.9000000000000003E-4</v>
      </c>
      <c r="E371" s="1">
        <f t="shared" si="38"/>
        <v>4.9166666666666665E-5</v>
      </c>
      <c r="F371" s="1">
        <f t="shared" si="42"/>
        <v>0.99995083333333334</v>
      </c>
      <c r="G371" s="1">
        <f t="shared" si="43"/>
        <v>0.98482060969356799</v>
      </c>
      <c r="H371" s="34">
        <f t="shared" si="39"/>
        <v>0.22950358719802866</v>
      </c>
      <c r="I371" s="36">
        <f t="shared" si="40"/>
        <v>0.22601986267122354</v>
      </c>
    </row>
    <row r="372" spans="2:9" x14ac:dyDescent="0.35">
      <c r="B372" s="16">
        <f t="shared" si="41"/>
        <v>30.24999999999984</v>
      </c>
      <c r="C372" s="17">
        <f t="shared" si="37"/>
        <v>30.24999999999984</v>
      </c>
      <c r="D372" s="1" cm="1">
        <f t="array" ref="D372">_xlfn.XLOOKUP(_xlfn.FLOOR.MATH(C372),'Mortality Tables'!$B$4:$B$124,_xlfn.XLOOKUP(mortality_table,'Mortality Tables'!$B$3:$G$3,'Mortality Tables'!$B$4:$G$124,0,0),0,0)</f>
        <v>5.9000000000000003E-4</v>
      </c>
      <c r="E372" s="1">
        <f t="shared" si="38"/>
        <v>4.9166666666666665E-5</v>
      </c>
      <c r="F372" s="1">
        <f t="shared" si="42"/>
        <v>0.99995083333333334</v>
      </c>
      <c r="G372" s="1">
        <f t="shared" si="43"/>
        <v>0.98477218934692479</v>
      </c>
      <c r="H372" s="34">
        <f t="shared" si="39"/>
        <v>0.22857235512971022</v>
      </c>
      <c r="I372" s="36">
        <f t="shared" si="40"/>
        <v>0.22509169858526754</v>
      </c>
    </row>
    <row r="373" spans="2:9" x14ac:dyDescent="0.35">
      <c r="B373" s="16">
        <f t="shared" si="41"/>
        <v>30.333333333333172</v>
      </c>
      <c r="C373" s="17">
        <f t="shared" si="37"/>
        <v>30.333333333333172</v>
      </c>
      <c r="D373" s="1" cm="1">
        <f t="array" ref="D373">_xlfn.XLOOKUP(_xlfn.FLOOR.MATH(C373),'Mortality Tables'!$B$4:$B$124,_xlfn.XLOOKUP(mortality_table,'Mortality Tables'!$B$3:$G$3,'Mortality Tables'!$B$4:$G$124,0,0),0,0)</f>
        <v>5.9000000000000003E-4</v>
      </c>
      <c r="E373" s="1">
        <f t="shared" si="38"/>
        <v>4.9166666666666665E-5</v>
      </c>
      <c r="F373" s="1">
        <f t="shared" si="42"/>
        <v>0.99995083333333334</v>
      </c>
      <c r="G373" s="1">
        <f t="shared" si="43"/>
        <v>0.98472377138094858</v>
      </c>
      <c r="H373" s="34">
        <f t="shared" si="39"/>
        <v>0.22764490162178663</v>
      </c>
      <c r="I373" s="36">
        <f t="shared" si="40"/>
        <v>0.22416734606065075</v>
      </c>
    </row>
    <row r="374" spans="2:9" x14ac:dyDescent="0.35">
      <c r="B374" s="16">
        <f t="shared" si="41"/>
        <v>30.416666666666504</v>
      </c>
      <c r="C374" s="17">
        <f t="shared" si="37"/>
        <v>30.416666666666504</v>
      </c>
      <c r="D374" s="1" cm="1">
        <f t="array" ref="D374">_xlfn.XLOOKUP(_xlfn.FLOOR.MATH(C374),'Mortality Tables'!$B$4:$B$124,_xlfn.XLOOKUP(mortality_table,'Mortality Tables'!$B$3:$G$3,'Mortality Tables'!$B$4:$G$124,0,0),0,0)</f>
        <v>5.9000000000000003E-4</v>
      </c>
      <c r="E374" s="1">
        <f t="shared" si="38"/>
        <v>4.9166666666666665E-5</v>
      </c>
      <c r="F374" s="1">
        <f t="shared" si="42"/>
        <v>0.99995083333333334</v>
      </c>
      <c r="G374" s="1">
        <f t="shared" si="43"/>
        <v>0.98467535579552234</v>
      </c>
      <c r="H374" s="34">
        <f t="shared" si="39"/>
        <v>0.22672121134239903</v>
      </c>
      <c r="I374" s="36">
        <f t="shared" si="40"/>
        <v>0.22324678944496859</v>
      </c>
    </row>
    <row r="375" spans="2:9" x14ac:dyDescent="0.35">
      <c r="B375" s="16">
        <f t="shared" si="41"/>
        <v>30.499999999999837</v>
      </c>
      <c r="C375" s="17">
        <f t="shared" si="37"/>
        <v>30.499999999999837</v>
      </c>
      <c r="D375" s="1" cm="1">
        <f t="array" ref="D375">_xlfn.XLOOKUP(_xlfn.FLOOR.MATH(C375),'Mortality Tables'!$B$4:$B$124,_xlfn.XLOOKUP(mortality_table,'Mortality Tables'!$B$3:$G$3,'Mortality Tables'!$B$4:$G$124,0,0),0,0)</f>
        <v>5.9000000000000003E-4</v>
      </c>
      <c r="E375" s="1">
        <f t="shared" si="38"/>
        <v>4.9166666666666665E-5</v>
      </c>
      <c r="F375" s="1">
        <f t="shared" si="42"/>
        <v>0.99995083333333334</v>
      </c>
      <c r="G375" s="1">
        <f t="shared" si="43"/>
        <v>0.98462694259052908</v>
      </c>
      <c r="H375" s="34">
        <f t="shared" si="39"/>
        <v>0.22580126902189895</v>
      </c>
      <c r="I375" s="36">
        <f t="shared" si="40"/>
        <v>0.2223300131500939</v>
      </c>
    </row>
    <row r="376" spans="2:9" x14ac:dyDescent="0.35">
      <c r="B376" s="16">
        <f t="shared" si="41"/>
        <v>30.583333333333169</v>
      </c>
      <c r="C376" s="17">
        <f t="shared" si="37"/>
        <v>30.583333333333169</v>
      </c>
      <c r="D376" s="1" cm="1">
        <f t="array" ref="D376">_xlfn.XLOOKUP(_xlfn.FLOOR.MATH(C376),'Mortality Tables'!$B$4:$B$124,_xlfn.XLOOKUP(mortality_table,'Mortality Tables'!$B$3:$G$3,'Mortality Tables'!$B$4:$G$124,0,0),0,0)</f>
        <v>5.9000000000000003E-4</v>
      </c>
      <c r="E376" s="1">
        <f t="shared" si="38"/>
        <v>4.9166666666666665E-5</v>
      </c>
      <c r="F376" s="1">
        <f t="shared" si="42"/>
        <v>0.99995083333333334</v>
      </c>
      <c r="G376" s="1">
        <f t="shared" si="43"/>
        <v>0.98457853176585175</v>
      </c>
      <c r="H376" s="34">
        <f t="shared" si="39"/>
        <v>0.22488505945259599</v>
      </c>
      <c r="I376" s="36">
        <f t="shared" si="40"/>
        <v>0.22141700165191325</v>
      </c>
    </row>
    <row r="377" spans="2:9" x14ac:dyDescent="0.35">
      <c r="B377" s="16">
        <f t="shared" si="41"/>
        <v>30.666666666666501</v>
      </c>
      <c r="C377" s="17">
        <f t="shared" si="37"/>
        <v>30.666666666666501</v>
      </c>
      <c r="D377" s="1" cm="1">
        <f t="array" ref="D377">_xlfn.XLOOKUP(_xlfn.FLOOR.MATH(C377),'Mortality Tables'!$B$4:$B$124,_xlfn.XLOOKUP(mortality_table,'Mortality Tables'!$B$3:$G$3,'Mortality Tables'!$B$4:$G$124,0,0),0,0)</f>
        <v>5.9000000000000003E-4</v>
      </c>
      <c r="E377" s="1">
        <f t="shared" si="38"/>
        <v>4.9166666666666665E-5</v>
      </c>
      <c r="F377" s="1">
        <f t="shared" si="42"/>
        <v>0.99995083333333334</v>
      </c>
      <c r="G377" s="1">
        <f t="shared" si="43"/>
        <v>0.98453012332137324</v>
      </c>
      <c r="H377" s="34">
        <f t="shared" si="39"/>
        <v>0.22397256748850627</v>
      </c>
      <c r="I377" s="36">
        <f t="shared" si="40"/>
        <v>0.22050773949006366</v>
      </c>
    </row>
    <row r="378" spans="2:9" x14ac:dyDescent="0.35">
      <c r="B378" s="16">
        <f t="shared" si="41"/>
        <v>30.749999999999833</v>
      </c>
      <c r="C378" s="17">
        <f t="shared" si="37"/>
        <v>30.749999999999833</v>
      </c>
      <c r="D378" s="1" cm="1">
        <f t="array" ref="D378">_xlfn.XLOOKUP(_xlfn.FLOOR.MATH(C378),'Mortality Tables'!$B$4:$B$124,_xlfn.XLOOKUP(mortality_table,'Mortality Tables'!$B$3:$G$3,'Mortality Tables'!$B$4:$G$124,0,0),0,0)</f>
        <v>5.9000000000000003E-4</v>
      </c>
      <c r="E378" s="1">
        <f t="shared" si="38"/>
        <v>4.9166666666666665E-5</v>
      </c>
      <c r="F378" s="1">
        <f t="shared" si="42"/>
        <v>0.99995083333333334</v>
      </c>
      <c r="G378" s="1">
        <f t="shared" si="43"/>
        <v>0.98448171725697664</v>
      </c>
      <c r="H378" s="34">
        <f t="shared" si="39"/>
        <v>0.22306377804510233</v>
      </c>
      <c r="I378" s="36">
        <f t="shared" si="40"/>
        <v>0.21960221126767143</v>
      </c>
    </row>
    <row r="379" spans="2:9" x14ac:dyDescent="0.35">
      <c r="B379" s="16">
        <f t="shared" si="41"/>
        <v>30.833333333333165</v>
      </c>
      <c r="C379" s="17">
        <f t="shared" si="37"/>
        <v>30.833333333333165</v>
      </c>
      <c r="D379" s="1" cm="1">
        <f t="array" ref="D379">_xlfn.XLOOKUP(_xlfn.FLOOR.MATH(C379),'Mortality Tables'!$B$4:$B$124,_xlfn.XLOOKUP(mortality_table,'Mortality Tables'!$B$3:$G$3,'Mortality Tables'!$B$4:$G$124,0,0),0,0)</f>
        <v>5.9000000000000003E-4</v>
      </c>
      <c r="E379" s="1">
        <f t="shared" si="38"/>
        <v>4.9166666666666665E-5</v>
      </c>
      <c r="F379" s="1">
        <f t="shared" si="42"/>
        <v>0.99995083333333334</v>
      </c>
      <c r="G379" s="1">
        <f t="shared" si="43"/>
        <v>0.98443331357254482</v>
      </c>
      <c r="H379" s="34">
        <f t="shared" si="39"/>
        <v>0.22215867609906331</v>
      </c>
      <c r="I379" s="36">
        <f t="shared" si="40"/>
        <v>0.21870040165109061</v>
      </c>
    </row>
    <row r="380" spans="2:9" x14ac:dyDescent="0.35">
      <c r="B380" s="16">
        <f t="shared" si="41"/>
        <v>30.916666666666497</v>
      </c>
      <c r="C380" s="17">
        <f t="shared" si="37"/>
        <v>30.916666666666497</v>
      </c>
      <c r="D380" s="1" cm="1">
        <f t="array" ref="D380">_xlfn.XLOOKUP(_xlfn.FLOOR.MATH(C380),'Mortality Tables'!$B$4:$B$124,_xlfn.XLOOKUP(mortality_table,'Mortality Tables'!$B$3:$G$3,'Mortality Tables'!$B$4:$G$124,0,0),0,0)</f>
        <v>5.9000000000000003E-4</v>
      </c>
      <c r="E380" s="1">
        <f t="shared" si="38"/>
        <v>4.9166666666666665E-5</v>
      </c>
      <c r="F380" s="1">
        <f t="shared" si="42"/>
        <v>0.99995083333333334</v>
      </c>
      <c r="G380" s="1">
        <f t="shared" si="43"/>
        <v>0.98438491226796088</v>
      </c>
      <c r="H380" s="34">
        <f t="shared" si="39"/>
        <v>0.2212572466880271</v>
      </c>
      <c r="I380" s="36">
        <f t="shared" si="40"/>
        <v>0.21780229536964413</v>
      </c>
    </row>
    <row r="381" spans="2:9" x14ac:dyDescent="0.35">
      <c r="B381" s="16">
        <f t="shared" si="41"/>
        <v>30.999999999999829</v>
      </c>
      <c r="C381" s="17">
        <f t="shared" si="37"/>
        <v>30.999999999999829</v>
      </c>
      <c r="D381" s="1" cm="1">
        <f t="array" ref="D381">_xlfn.XLOOKUP(_xlfn.FLOOR.MATH(C381),'Mortality Tables'!$B$4:$B$124,_xlfn.XLOOKUP(mortality_table,'Mortality Tables'!$B$3:$G$3,'Mortality Tables'!$B$4:$G$124,0,0),0,0)</f>
        <v>5.9000000000000003E-4</v>
      </c>
      <c r="E381" s="1">
        <f t="shared" si="38"/>
        <v>4.9166666666666665E-5</v>
      </c>
      <c r="F381" s="1">
        <f t="shared" si="42"/>
        <v>0.99995083333333334</v>
      </c>
      <c r="G381" s="1">
        <f t="shared" si="43"/>
        <v>0.98433651334310768</v>
      </c>
      <c r="H381" s="34">
        <f t="shared" si="39"/>
        <v>0.22035947491034263</v>
      </c>
      <c r="I381" s="36">
        <f t="shared" si="40"/>
        <v>0.2169078772153647</v>
      </c>
    </row>
    <row r="382" spans="2:9" x14ac:dyDescent="0.35">
      <c r="B382" s="16">
        <f t="shared" si="41"/>
        <v>31.083333333333162</v>
      </c>
      <c r="C382" s="17">
        <f t="shared" si="37"/>
        <v>31.083333333333162</v>
      </c>
      <c r="D382" s="1" cm="1">
        <f t="array" ref="D382">_xlfn.XLOOKUP(_xlfn.FLOOR.MATH(C382),'Mortality Tables'!$B$4:$B$124,_xlfn.XLOOKUP(mortality_table,'Mortality Tables'!$B$3:$G$3,'Mortality Tables'!$B$4:$G$124,0,0),0,0)</f>
        <v>6.02E-4</v>
      </c>
      <c r="E382" s="1">
        <f t="shared" si="38"/>
        <v>5.0166666666666662E-5</v>
      </c>
      <c r="F382" s="1">
        <f t="shared" si="42"/>
        <v>0.99994983333333332</v>
      </c>
      <c r="G382" s="1">
        <f t="shared" si="43"/>
        <v>0.98428811679786832</v>
      </c>
      <c r="H382" s="34">
        <f t="shared" si="39"/>
        <v>0.21946534592482372</v>
      </c>
      <c r="I382" s="36">
        <f t="shared" si="40"/>
        <v>0.21601713204273748</v>
      </c>
    </row>
    <row r="383" spans="2:9" x14ac:dyDescent="0.35">
      <c r="B383" s="16">
        <f t="shared" si="41"/>
        <v>31.166666666666494</v>
      </c>
      <c r="C383" s="17">
        <f t="shared" si="37"/>
        <v>31.166666666666494</v>
      </c>
      <c r="D383" s="1" cm="1">
        <f t="array" ref="D383">_xlfn.XLOOKUP(_xlfn.FLOOR.MATH(C383),'Mortality Tables'!$B$4:$B$124,_xlfn.XLOOKUP(mortality_table,'Mortality Tables'!$B$3:$G$3,'Mortality Tables'!$B$4:$G$124,0,0),0,0)</f>
        <v>6.02E-4</v>
      </c>
      <c r="E383" s="1">
        <f t="shared" si="38"/>
        <v>5.0166666666666662E-5</v>
      </c>
      <c r="F383" s="1">
        <f t="shared" si="42"/>
        <v>0.99994983333333332</v>
      </c>
      <c r="G383" s="1">
        <f t="shared" si="43"/>
        <v>0.98423873834400899</v>
      </c>
      <c r="H383" s="34">
        <f t="shared" si="39"/>
        <v>0.21857484495050364</v>
      </c>
      <c r="I383" s="36">
        <f t="shared" si="40"/>
        <v>0.2151298296278211</v>
      </c>
    </row>
    <row r="384" spans="2:9" x14ac:dyDescent="0.35">
      <c r="B384" s="16">
        <f t="shared" si="41"/>
        <v>31.249999999999826</v>
      </c>
      <c r="C384" s="17">
        <f t="shared" si="37"/>
        <v>31.249999999999826</v>
      </c>
      <c r="D384" s="1" cm="1">
        <f t="array" ref="D384">_xlfn.XLOOKUP(_xlfn.FLOOR.MATH(C384),'Mortality Tables'!$B$4:$B$124,_xlfn.XLOOKUP(mortality_table,'Mortality Tables'!$B$3:$G$3,'Mortality Tables'!$B$4:$G$124,0,0),0,0)</f>
        <v>6.02E-4</v>
      </c>
      <c r="E384" s="1">
        <f t="shared" si="38"/>
        <v>5.0166666666666662E-5</v>
      </c>
      <c r="F384" s="1">
        <f t="shared" si="42"/>
        <v>0.99994983333333332</v>
      </c>
      <c r="G384" s="1">
        <f t="shared" si="43"/>
        <v>0.98418936236730203</v>
      </c>
      <c r="H384" s="34">
        <f t="shared" si="39"/>
        <v>0.21768795726639084</v>
      </c>
      <c r="I384" s="36">
        <f t="shared" si="40"/>
        <v>0.21424617185704969</v>
      </c>
    </row>
    <row r="385" spans="2:9" x14ac:dyDescent="0.35">
      <c r="B385" s="16">
        <f t="shared" si="41"/>
        <v>31.333333333333158</v>
      </c>
      <c r="C385" s="17">
        <f t="shared" si="37"/>
        <v>31.333333333333158</v>
      </c>
      <c r="D385" s="1" cm="1">
        <f t="array" ref="D385">_xlfn.XLOOKUP(_xlfn.FLOOR.MATH(C385),'Mortality Tables'!$B$4:$B$124,_xlfn.XLOOKUP(mortality_table,'Mortality Tables'!$B$3:$G$3,'Mortality Tables'!$B$4:$G$124,0,0),0,0)</f>
        <v>6.02E-4</v>
      </c>
      <c r="E385" s="1">
        <f t="shared" si="38"/>
        <v>5.0166666666666662E-5</v>
      </c>
      <c r="F385" s="1">
        <f t="shared" si="42"/>
        <v>0.99994983333333332</v>
      </c>
      <c r="G385" s="1">
        <f t="shared" si="43"/>
        <v>0.98413998886762322</v>
      </c>
      <c r="H385" s="34">
        <f t="shared" si="39"/>
        <v>0.21680466821122554</v>
      </c>
      <c r="I385" s="36">
        <f t="shared" si="40"/>
        <v>0.21336614375984425</v>
      </c>
    </row>
    <row r="386" spans="2:9" x14ac:dyDescent="0.35">
      <c r="B386" s="16">
        <f t="shared" si="41"/>
        <v>31.41666666666649</v>
      </c>
      <c r="C386" s="17">
        <f t="shared" si="37"/>
        <v>31.41666666666649</v>
      </c>
      <c r="D386" s="1" cm="1">
        <f t="array" ref="D386">_xlfn.XLOOKUP(_xlfn.FLOOR.MATH(C386),'Mortality Tables'!$B$4:$B$124,_xlfn.XLOOKUP(mortality_table,'Mortality Tables'!$B$3:$G$3,'Mortality Tables'!$B$4:$G$124,0,0),0,0)</f>
        <v>6.02E-4</v>
      </c>
      <c r="E386" s="1">
        <f t="shared" si="38"/>
        <v>5.0166666666666662E-5</v>
      </c>
      <c r="F386" s="1">
        <f t="shared" si="42"/>
        <v>0.99994983333333332</v>
      </c>
      <c r="G386" s="1">
        <f t="shared" si="43"/>
        <v>0.9840906178448483</v>
      </c>
      <c r="H386" s="34">
        <f t="shared" si="39"/>
        <v>0.21592496318323731</v>
      </c>
      <c r="I386" s="36">
        <f t="shared" si="40"/>
        <v>0.21248973042711813</v>
      </c>
    </row>
    <row r="387" spans="2:9" x14ac:dyDescent="0.35">
      <c r="B387" s="16">
        <f t="shared" si="41"/>
        <v>31.499999999999822</v>
      </c>
      <c r="C387" s="17">
        <f t="shared" si="37"/>
        <v>31.499999999999822</v>
      </c>
      <c r="D387" s="1" cm="1">
        <f t="array" ref="D387">_xlfn.XLOOKUP(_xlfn.FLOOR.MATH(C387),'Mortality Tables'!$B$4:$B$124,_xlfn.XLOOKUP(mortality_table,'Mortality Tables'!$B$3:$G$3,'Mortality Tables'!$B$4:$G$124,0,0),0,0)</f>
        <v>6.02E-4</v>
      </c>
      <c r="E387" s="1">
        <f t="shared" si="38"/>
        <v>5.0166666666666662E-5</v>
      </c>
      <c r="F387" s="1">
        <f t="shared" si="42"/>
        <v>0.99994983333333332</v>
      </c>
      <c r="G387" s="1">
        <f t="shared" si="43"/>
        <v>0.98404124929885306</v>
      </c>
      <c r="H387" s="34">
        <f t="shared" si="39"/>
        <v>0.21504882763990391</v>
      </c>
      <c r="I387" s="36">
        <f t="shared" si="40"/>
        <v>0.21161691701102475</v>
      </c>
    </row>
    <row r="388" spans="2:9" x14ac:dyDescent="0.35">
      <c r="B388" s="16">
        <f t="shared" si="41"/>
        <v>31.583333333333155</v>
      </c>
      <c r="C388" s="17">
        <f t="shared" si="37"/>
        <v>31.583333333333155</v>
      </c>
      <c r="D388" s="1" cm="1">
        <f t="array" ref="D388">_xlfn.XLOOKUP(_xlfn.FLOOR.MATH(C388),'Mortality Tables'!$B$4:$B$124,_xlfn.XLOOKUP(mortality_table,'Mortality Tables'!$B$3:$G$3,'Mortality Tables'!$B$4:$G$124,0,0),0,0)</f>
        <v>6.02E-4</v>
      </c>
      <c r="E388" s="1">
        <f t="shared" si="38"/>
        <v>5.0166666666666662E-5</v>
      </c>
      <c r="F388" s="1">
        <f t="shared" si="42"/>
        <v>0.99994983333333332</v>
      </c>
      <c r="G388" s="1">
        <f t="shared" si="43"/>
        <v>0.98399188322951325</v>
      </c>
      <c r="H388" s="34">
        <f t="shared" si="39"/>
        <v>0.21417624709771063</v>
      </c>
      <c r="I388" s="36">
        <f t="shared" si="40"/>
        <v>0.21074768872470587</v>
      </c>
    </row>
    <row r="389" spans="2:9" x14ac:dyDescent="0.35">
      <c r="B389" s="16">
        <f t="shared" si="41"/>
        <v>31.666666666666487</v>
      </c>
      <c r="C389" s="17">
        <f t="shared" si="37"/>
        <v>31.666666666666487</v>
      </c>
      <c r="D389" s="1" cm="1">
        <f t="array" ref="D389">_xlfn.XLOOKUP(_xlfn.FLOOR.MATH(C389),'Mortality Tables'!$B$4:$B$124,_xlfn.XLOOKUP(mortality_table,'Mortality Tables'!$B$3:$G$3,'Mortality Tables'!$B$4:$G$124,0,0),0,0)</f>
        <v>6.02E-4</v>
      </c>
      <c r="E389" s="1">
        <f t="shared" si="38"/>
        <v>5.0166666666666662E-5</v>
      </c>
      <c r="F389" s="1">
        <f t="shared" si="42"/>
        <v>0.99994983333333332</v>
      </c>
      <c r="G389" s="1">
        <f t="shared" si="43"/>
        <v>0.98394251963670454</v>
      </c>
      <c r="H389" s="34">
        <f t="shared" si="39"/>
        <v>0.2133072071319109</v>
      </c>
      <c r="I389" s="36">
        <f t="shared" si="40"/>
        <v>0.20988203084204085</v>
      </c>
    </row>
    <row r="390" spans="2:9" x14ac:dyDescent="0.35">
      <c r="B390" s="16">
        <f t="shared" si="41"/>
        <v>31.749999999999819</v>
      </c>
      <c r="C390" s="17">
        <f t="shared" si="37"/>
        <v>31.749999999999819</v>
      </c>
      <c r="D390" s="1" cm="1">
        <f t="array" ref="D390">_xlfn.XLOOKUP(_xlfn.FLOOR.MATH(C390),'Mortality Tables'!$B$4:$B$124,_xlfn.XLOOKUP(mortality_table,'Mortality Tables'!$B$3:$G$3,'Mortality Tables'!$B$4:$G$124,0,0),0,0)</f>
        <v>6.02E-4</v>
      </c>
      <c r="E390" s="1">
        <f t="shared" si="38"/>
        <v>5.0166666666666662E-5</v>
      </c>
      <c r="F390" s="1">
        <f t="shared" si="42"/>
        <v>0.99994983333333332</v>
      </c>
      <c r="G390" s="1">
        <f t="shared" si="43"/>
        <v>0.98389315852030279</v>
      </c>
      <c r="H390" s="34">
        <f t="shared" si="39"/>
        <v>0.21244169337628807</v>
      </c>
      <c r="I390" s="36">
        <f t="shared" si="40"/>
        <v>0.20901992869739777</v>
      </c>
    </row>
    <row r="391" spans="2:9" x14ac:dyDescent="0.35">
      <c r="B391" s="16">
        <f t="shared" si="41"/>
        <v>31.833333333333151</v>
      </c>
      <c r="C391" s="17">
        <f t="shared" si="37"/>
        <v>31.833333333333151</v>
      </c>
      <c r="D391" s="1" cm="1">
        <f t="array" ref="D391">_xlfn.XLOOKUP(_xlfn.FLOOR.MATH(C391),'Mortality Tables'!$B$4:$B$124,_xlfn.XLOOKUP(mortality_table,'Mortality Tables'!$B$3:$G$3,'Mortality Tables'!$B$4:$G$124,0,0),0,0)</f>
        <v>6.02E-4</v>
      </c>
      <c r="E391" s="1">
        <f t="shared" si="38"/>
        <v>5.0166666666666662E-5</v>
      </c>
      <c r="F391" s="1">
        <f t="shared" si="42"/>
        <v>0.99994983333333332</v>
      </c>
      <c r="G391" s="1">
        <f t="shared" si="43"/>
        <v>0.98384379988018367</v>
      </c>
      <c r="H391" s="34">
        <f t="shared" si="39"/>
        <v>0.21157969152291758</v>
      </c>
      <c r="I391" s="36">
        <f t="shared" si="40"/>
        <v>0.20816136768538432</v>
      </c>
    </row>
    <row r="392" spans="2:9" x14ac:dyDescent="0.35">
      <c r="B392" s="16">
        <f t="shared" si="41"/>
        <v>31.916666666666483</v>
      </c>
      <c r="C392" s="17">
        <f t="shared" si="37"/>
        <v>31.916666666666483</v>
      </c>
      <c r="D392" s="1" cm="1">
        <f t="array" ref="D392">_xlfn.XLOOKUP(_xlfn.FLOOR.MATH(C392),'Mortality Tables'!$B$4:$B$124,_xlfn.XLOOKUP(mortality_table,'Mortality Tables'!$B$3:$G$3,'Mortality Tables'!$B$4:$G$124,0,0),0,0)</f>
        <v>6.02E-4</v>
      </c>
      <c r="E392" s="1">
        <f t="shared" si="38"/>
        <v>5.0166666666666662E-5</v>
      </c>
      <c r="F392" s="1">
        <f t="shared" si="42"/>
        <v>0.99994983333333332</v>
      </c>
      <c r="G392" s="1">
        <f t="shared" si="43"/>
        <v>0.98379444371622304</v>
      </c>
      <c r="H392" s="34">
        <f t="shared" si="39"/>
        <v>0.21072118732193071</v>
      </c>
      <c r="I392" s="36">
        <f t="shared" si="40"/>
        <v>0.20730633326060086</v>
      </c>
    </row>
    <row r="393" spans="2:9" x14ac:dyDescent="0.35">
      <c r="B393" s="16">
        <f t="shared" si="41"/>
        <v>31.999999999999815</v>
      </c>
      <c r="C393" s="17">
        <f t="shared" ref="C393:C456" si="44">current_age+B393</f>
        <v>31.999999999999815</v>
      </c>
      <c r="D393" s="1" cm="1">
        <f t="array" ref="D393">_xlfn.XLOOKUP(_xlfn.FLOOR.MATH(C393),'Mortality Tables'!$B$4:$B$124,_xlfn.XLOOKUP(mortality_table,'Mortality Tables'!$B$3:$G$3,'Mortality Tables'!$B$4:$G$124,0,0),0,0)</f>
        <v>6.02E-4</v>
      </c>
      <c r="E393" s="1">
        <f t="shared" ref="E393:E456" si="45">$F$5*D393</f>
        <v>5.0166666666666662E-5</v>
      </c>
      <c r="F393" s="1">
        <f t="shared" si="42"/>
        <v>0.99994983333333332</v>
      </c>
      <c r="G393" s="1">
        <f t="shared" si="43"/>
        <v>0.98374509002829658</v>
      </c>
      <c r="H393" s="34">
        <f t="shared" ref="H393:H456" si="46">(1+interest_rate)^-(B393)</f>
        <v>0.20986616658127885</v>
      </c>
      <c r="I393" s="36">
        <f t="shared" ref="I393:I456" si="47">IF(current_age+B393&lt;=$C$5,G393*H393,0)</f>
        <v>0.20645481093739365</v>
      </c>
    </row>
    <row r="394" spans="2:9" x14ac:dyDescent="0.35">
      <c r="B394" s="16">
        <f t="shared" ref="B394:B457" si="48">B393+$F$5</f>
        <v>32.083333333333151</v>
      </c>
      <c r="C394" s="17">
        <f t="shared" si="44"/>
        <v>32.083333333333151</v>
      </c>
      <c r="D394" s="1" cm="1">
        <f t="array" ref="D394">_xlfn.XLOOKUP(_xlfn.FLOOR.MATH(C394),'Mortality Tables'!$B$4:$B$124,_xlfn.XLOOKUP(mortality_table,'Mortality Tables'!$B$3:$G$3,'Mortality Tables'!$B$4:$G$124,0,0),0,0)</f>
        <v>6.1700000000000004E-4</v>
      </c>
      <c r="E394" s="1">
        <f t="shared" si="45"/>
        <v>5.1416666666666665E-5</v>
      </c>
      <c r="F394" s="1">
        <f t="shared" si="42"/>
        <v>0.99994858333333336</v>
      </c>
      <c r="G394" s="1">
        <f t="shared" si="43"/>
        <v>0.98369573881628014</v>
      </c>
      <c r="H394" s="34">
        <f t="shared" si="46"/>
        <v>0.20901461516649888</v>
      </c>
      <c r="I394" s="36">
        <f t="shared" si="47"/>
        <v>0.2056067862896096</v>
      </c>
    </row>
    <row r="395" spans="2:9" x14ac:dyDescent="0.35">
      <c r="B395" s="16">
        <f t="shared" si="48"/>
        <v>32.166666666666487</v>
      </c>
      <c r="C395" s="17">
        <f t="shared" si="44"/>
        <v>32.166666666666487</v>
      </c>
      <c r="D395" s="1" cm="1">
        <f t="array" ref="D395">_xlfn.XLOOKUP(_xlfn.FLOOR.MATH(C395),'Mortality Tables'!$B$4:$B$124,_xlfn.XLOOKUP(mortality_table,'Mortality Tables'!$B$3:$G$3,'Mortality Tables'!$B$4:$G$124,0,0),0,0)</f>
        <v>6.1700000000000004E-4</v>
      </c>
      <c r="E395" s="1">
        <f t="shared" si="45"/>
        <v>5.1416666666666665E-5</v>
      </c>
      <c r="F395" s="1">
        <f t="shared" si="42"/>
        <v>0.99994858333333336</v>
      </c>
      <c r="G395" s="1">
        <f t="shared" si="43"/>
        <v>0.98364516046037598</v>
      </c>
      <c r="H395" s="34">
        <f t="shared" si="46"/>
        <v>0.20816651900047975</v>
      </c>
      <c r="I395" s="36">
        <f t="shared" si="47"/>
        <v>0.2047619889847048</v>
      </c>
    </row>
    <row r="396" spans="2:9" x14ac:dyDescent="0.35">
      <c r="B396" s="16">
        <f t="shared" si="48"/>
        <v>32.249999999999822</v>
      </c>
      <c r="C396" s="17">
        <f t="shared" si="44"/>
        <v>32.249999999999822</v>
      </c>
      <c r="D396" s="1" cm="1">
        <f t="array" ref="D396">_xlfn.XLOOKUP(_xlfn.FLOOR.MATH(C396),'Mortality Tables'!$B$4:$B$124,_xlfn.XLOOKUP(mortality_table,'Mortality Tables'!$B$3:$G$3,'Mortality Tables'!$B$4:$G$124,0,0),0,0)</f>
        <v>6.1700000000000004E-4</v>
      </c>
      <c r="E396" s="1">
        <f t="shared" si="45"/>
        <v>5.1416666666666665E-5</v>
      </c>
      <c r="F396" s="1">
        <f t="shared" si="42"/>
        <v>0.99994858333333336</v>
      </c>
      <c r="G396" s="1">
        <f t="shared" si="43"/>
        <v>0.98359458470504235</v>
      </c>
      <c r="H396" s="34">
        <f t="shared" si="46"/>
        <v>0.20732186406322939</v>
      </c>
      <c r="I396" s="36">
        <f t="shared" si="47"/>
        <v>0.20392066278354737</v>
      </c>
    </row>
    <row r="397" spans="2:9" x14ac:dyDescent="0.35">
      <c r="B397" s="16">
        <f t="shared" si="48"/>
        <v>32.333333333333158</v>
      </c>
      <c r="C397" s="17">
        <f t="shared" si="44"/>
        <v>32.333333333333158</v>
      </c>
      <c r="D397" s="1" cm="1">
        <f t="array" ref="D397">_xlfn.XLOOKUP(_xlfn.FLOOR.MATH(C397),'Mortality Tables'!$B$4:$B$124,_xlfn.XLOOKUP(mortality_table,'Mortality Tables'!$B$3:$G$3,'Mortality Tables'!$B$4:$G$124,0,0),0,0)</f>
        <v>6.1700000000000004E-4</v>
      </c>
      <c r="E397" s="1">
        <f t="shared" si="45"/>
        <v>5.1416666666666665E-5</v>
      </c>
      <c r="F397" s="1">
        <f t="shared" si="42"/>
        <v>0.99994858333333336</v>
      </c>
      <c r="G397" s="1">
        <f t="shared" si="43"/>
        <v>0.98354401155014548</v>
      </c>
      <c r="H397" s="34">
        <f t="shared" si="46"/>
        <v>0.20648063639164332</v>
      </c>
      <c r="I397" s="36">
        <f t="shared" si="47"/>
        <v>0.20308279342406382</v>
      </c>
    </row>
    <row r="398" spans="2:9" x14ac:dyDescent="0.35">
      <c r="B398" s="16">
        <f t="shared" si="48"/>
        <v>32.416666666666494</v>
      </c>
      <c r="C398" s="17">
        <f t="shared" si="44"/>
        <v>32.416666666666494</v>
      </c>
      <c r="D398" s="1" cm="1">
        <f t="array" ref="D398">_xlfn.XLOOKUP(_xlfn.FLOOR.MATH(C398),'Mortality Tables'!$B$4:$B$124,_xlfn.XLOOKUP(mortality_table,'Mortality Tables'!$B$3:$G$3,'Mortality Tables'!$B$4:$G$124,0,0),0,0)</f>
        <v>6.1700000000000004E-4</v>
      </c>
      <c r="E398" s="1">
        <f t="shared" si="45"/>
        <v>5.1416666666666665E-5</v>
      </c>
      <c r="F398" s="1">
        <f t="shared" si="42"/>
        <v>0.99994858333333336</v>
      </c>
      <c r="G398" s="1">
        <f t="shared" si="43"/>
        <v>0.98349344099555169</v>
      </c>
      <c r="H398" s="34">
        <f t="shared" si="46"/>
        <v>0.20564282207927362</v>
      </c>
      <c r="I398" s="36">
        <f t="shared" si="47"/>
        <v>0.20224836670278082</v>
      </c>
    </row>
    <row r="399" spans="2:9" x14ac:dyDescent="0.35">
      <c r="B399" s="16">
        <f t="shared" si="48"/>
        <v>32.499999999999829</v>
      </c>
      <c r="C399" s="17">
        <f t="shared" si="44"/>
        <v>32.499999999999829</v>
      </c>
      <c r="D399" s="1" cm="1">
        <f t="array" ref="D399">_xlfn.XLOOKUP(_xlfn.FLOOR.MATH(C399),'Mortality Tables'!$B$4:$B$124,_xlfn.XLOOKUP(mortality_table,'Mortality Tables'!$B$3:$G$3,'Mortality Tables'!$B$4:$G$124,0,0),0,0)</f>
        <v>6.1700000000000004E-4</v>
      </c>
      <c r="E399" s="1">
        <f t="shared" si="45"/>
        <v>5.1416666666666665E-5</v>
      </c>
      <c r="F399" s="1">
        <f t="shared" si="42"/>
        <v>0.99994858333333336</v>
      </c>
      <c r="G399" s="1">
        <f t="shared" si="43"/>
        <v>0.98344287304112721</v>
      </c>
      <c r="H399" s="34">
        <f t="shared" si="46"/>
        <v>0.20480840727609892</v>
      </c>
      <c r="I399" s="36">
        <f t="shared" si="47"/>
        <v>0.20141736847458402</v>
      </c>
    </row>
    <row r="400" spans="2:9" x14ac:dyDescent="0.35">
      <c r="B400" s="16">
        <f t="shared" si="48"/>
        <v>32.583333333333165</v>
      </c>
      <c r="C400" s="17">
        <f t="shared" si="44"/>
        <v>32.583333333333165</v>
      </c>
      <c r="D400" s="1" cm="1">
        <f t="array" ref="D400">_xlfn.XLOOKUP(_xlfn.FLOOR.MATH(C400),'Mortality Tables'!$B$4:$B$124,_xlfn.XLOOKUP(mortality_table,'Mortality Tables'!$B$3:$G$3,'Mortality Tables'!$B$4:$G$124,0,0),0,0)</f>
        <v>6.1700000000000004E-4</v>
      </c>
      <c r="E400" s="1">
        <f t="shared" si="45"/>
        <v>5.1416666666666665E-5</v>
      </c>
      <c r="F400" s="1">
        <f t="shared" si="42"/>
        <v>0.99994858333333336</v>
      </c>
      <c r="G400" s="1">
        <f t="shared" si="43"/>
        <v>0.98339230768673835</v>
      </c>
      <c r="H400" s="34">
        <f t="shared" si="46"/>
        <v>0.20397737818829573</v>
      </c>
      <c r="I400" s="36">
        <f t="shared" si="47"/>
        <v>0.2005897846524787</v>
      </c>
    </row>
    <row r="401" spans="2:9" x14ac:dyDescent="0.35">
      <c r="B401" s="16">
        <f t="shared" si="48"/>
        <v>32.666666666666501</v>
      </c>
      <c r="C401" s="17">
        <f t="shared" si="44"/>
        <v>32.666666666666501</v>
      </c>
      <c r="D401" s="1" cm="1">
        <f t="array" ref="D401">_xlfn.XLOOKUP(_xlfn.FLOOR.MATH(C401),'Mortality Tables'!$B$4:$B$124,_xlfn.XLOOKUP(mortality_table,'Mortality Tables'!$B$3:$G$3,'Mortality Tables'!$B$4:$G$124,0,0),0,0)</f>
        <v>6.1700000000000004E-4</v>
      </c>
      <c r="E401" s="1">
        <f t="shared" si="45"/>
        <v>5.1416666666666665E-5</v>
      </c>
      <c r="F401" s="1">
        <f t="shared" si="42"/>
        <v>0.99994858333333336</v>
      </c>
      <c r="G401" s="1">
        <f t="shared" si="43"/>
        <v>0.98334174493225146</v>
      </c>
      <c r="H401" s="34">
        <f t="shared" si="46"/>
        <v>0.20314972107801024</v>
      </c>
      <c r="I401" s="36">
        <f t="shared" si="47"/>
        <v>0.19976560120735076</v>
      </c>
    </row>
    <row r="402" spans="2:9" x14ac:dyDescent="0.35">
      <c r="B402" s="16">
        <f t="shared" si="48"/>
        <v>32.749999999999837</v>
      </c>
      <c r="C402" s="17">
        <f t="shared" si="44"/>
        <v>32.749999999999837</v>
      </c>
      <c r="D402" s="1" cm="1">
        <f t="array" ref="D402">_xlfn.XLOOKUP(_xlfn.FLOOR.MATH(C402),'Mortality Tables'!$B$4:$B$124,_xlfn.XLOOKUP(mortality_table,'Mortality Tables'!$B$3:$G$3,'Mortality Tables'!$B$4:$G$124,0,0),0,0)</f>
        <v>6.1700000000000004E-4</v>
      </c>
      <c r="E402" s="1">
        <f t="shared" si="45"/>
        <v>5.1416666666666665E-5</v>
      </c>
      <c r="F402" s="1">
        <f t="shared" si="42"/>
        <v>0.99994858333333336</v>
      </c>
      <c r="G402" s="1">
        <f t="shared" si="43"/>
        <v>0.98329118477753286</v>
      </c>
      <c r="H402" s="34">
        <f t="shared" si="46"/>
        <v>0.2023254222631313</v>
      </c>
      <c r="I402" s="36">
        <f t="shared" si="47"/>
        <v>0.198944804167729</v>
      </c>
    </row>
    <row r="403" spans="2:9" x14ac:dyDescent="0.35">
      <c r="B403" s="16">
        <f t="shared" si="48"/>
        <v>32.833333333333172</v>
      </c>
      <c r="C403" s="17">
        <f t="shared" si="44"/>
        <v>32.833333333333172</v>
      </c>
      <c r="D403" s="1" cm="1">
        <f t="array" ref="D403">_xlfn.XLOOKUP(_xlfn.FLOOR.MATH(C403),'Mortality Tables'!$B$4:$B$124,_xlfn.XLOOKUP(mortality_table,'Mortality Tables'!$B$3:$G$3,'Mortality Tables'!$B$4:$G$124,0,0),0,0)</f>
        <v>6.1700000000000004E-4</v>
      </c>
      <c r="E403" s="1">
        <f t="shared" si="45"/>
        <v>5.1416666666666665E-5</v>
      </c>
      <c r="F403" s="1">
        <f t="shared" si="42"/>
        <v>0.99994858333333336</v>
      </c>
      <c r="G403" s="1">
        <f t="shared" si="43"/>
        <v>0.98324062722244887</v>
      </c>
      <c r="H403" s="34">
        <f t="shared" si="46"/>
        <v>0.20150446811706413</v>
      </c>
      <c r="I403" s="36">
        <f t="shared" si="47"/>
        <v>0.19812737961954807</v>
      </c>
    </row>
    <row r="404" spans="2:9" x14ac:dyDescent="0.35">
      <c r="B404" s="16">
        <f t="shared" si="48"/>
        <v>32.916666666666508</v>
      </c>
      <c r="C404" s="17">
        <f t="shared" si="44"/>
        <v>32.916666666666508</v>
      </c>
      <c r="D404" s="1" cm="1">
        <f t="array" ref="D404">_xlfn.XLOOKUP(_xlfn.FLOOR.MATH(C404),'Mortality Tables'!$B$4:$B$124,_xlfn.XLOOKUP(mortality_table,'Mortality Tables'!$B$3:$G$3,'Mortality Tables'!$B$4:$G$124,0,0),0,0)</f>
        <v>6.1700000000000004E-4</v>
      </c>
      <c r="E404" s="1">
        <f t="shared" si="45"/>
        <v>5.1416666666666665E-5</v>
      </c>
      <c r="F404" s="1">
        <f t="shared" si="42"/>
        <v>0.99994858333333336</v>
      </c>
      <c r="G404" s="1">
        <f t="shared" si="43"/>
        <v>0.98319007226686583</v>
      </c>
      <c r="H404" s="34">
        <f t="shared" si="46"/>
        <v>0.2006868450685052</v>
      </c>
      <c r="I404" s="36">
        <f t="shared" si="47"/>
        <v>0.19731331370591293</v>
      </c>
    </row>
    <row r="405" spans="2:9" x14ac:dyDescent="0.35">
      <c r="B405" s="16">
        <f t="shared" si="48"/>
        <v>32.999999999999844</v>
      </c>
      <c r="C405" s="17">
        <f t="shared" si="44"/>
        <v>32.999999999999844</v>
      </c>
      <c r="D405" s="1" cm="1">
        <f t="array" ref="D405">_xlfn.XLOOKUP(_xlfn.FLOOR.MATH(C405),'Mortality Tables'!$B$4:$B$124,_xlfn.XLOOKUP(mortality_table,'Mortality Tables'!$B$3:$G$3,'Mortality Tables'!$B$4:$G$124,0,0),0,0)</f>
        <v>6.1700000000000004E-4</v>
      </c>
      <c r="E405" s="1">
        <f t="shared" si="45"/>
        <v>5.1416666666666665E-5</v>
      </c>
      <c r="F405" s="1">
        <f t="shared" si="42"/>
        <v>0.99994858333333336</v>
      </c>
      <c r="G405" s="1">
        <f t="shared" si="43"/>
        <v>0.98313951991065018</v>
      </c>
      <c r="H405" s="34">
        <f t="shared" si="46"/>
        <v>0.19987253960121765</v>
      </c>
      <c r="I405" s="36">
        <f t="shared" si="47"/>
        <v>0.19650259262686354</v>
      </c>
    </row>
    <row r="406" spans="2:9" x14ac:dyDescent="0.35">
      <c r="B406" s="16">
        <f t="shared" si="48"/>
        <v>33.083333333333179</v>
      </c>
      <c r="C406" s="17">
        <f t="shared" si="44"/>
        <v>33.083333333333179</v>
      </c>
      <c r="D406" s="1" cm="1">
        <f t="array" ref="D406">_xlfn.XLOOKUP(_xlfn.FLOOR.MATH(C406),'Mortality Tables'!$B$4:$B$124,_xlfn.XLOOKUP(mortality_table,'Mortality Tables'!$B$3:$G$3,'Mortality Tables'!$B$4:$G$124,0,0),0,0)</f>
        <v>6.3599999999999996E-4</v>
      </c>
      <c r="E406" s="1">
        <f t="shared" si="45"/>
        <v>5.2999999999999994E-5</v>
      </c>
      <c r="F406" s="1">
        <f t="shared" si="42"/>
        <v>0.99994700000000003</v>
      </c>
      <c r="G406" s="1">
        <f t="shared" si="43"/>
        <v>0.98308897015366814</v>
      </c>
      <c r="H406" s="34">
        <f t="shared" si="46"/>
        <v>0.19906153825380818</v>
      </c>
      <c r="I406" s="36">
        <f t="shared" si="47"/>
        <v>0.19569520263914131</v>
      </c>
    </row>
    <row r="407" spans="2:9" x14ac:dyDescent="0.35">
      <c r="B407" s="16">
        <f t="shared" si="48"/>
        <v>33.166666666666515</v>
      </c>
      <c r="C407" s="17">
        <f t="shared" si="44"/>
        <v>33.166666666666515</v>
      </c>
      <c r="D407" s="1" cm="1">
        <f t="array" ref="D407">_xlfn.XLOOKUP(_xlfn.FLOOR.MATH(C407),'Mortality Tables'!$B$4:$B$124,_xlfn.XLOOKUP(mortality_table,'Mortality Tables'!$B$3:$G$3,'Mortality Tables'!$B$4:$G$124,0,0),0,0)</f>
        <v>6.3599999999999996E-4</v>
      </c>
      <c r="E407" s="1">
        <f t="shared" si="45"/>
        <v>5.2999999999999994E-5</v>
      </c>
      <c r="F407" s="1">
        <f t="shared" si="42"/>
        <v>0.99994700000000003</v>
      </c>
      <c r="G407" s="1">
        <f t="shared" si="43"/>
        <v>0.98303686643825006</v>
      </c>
      <c r="H407" s="34">
        <f t="shared" si="46"/>
        <v>0.19825382761950419</v>
      </c>
      <c r="I407" s="36">
        <f t="shared" si="47"/>
        <v>0.19489082146246639</v>
      </c>
    </row>
    <row r="408" spans="2:9" x14ac:dyDescent="0.35">
      <c r="B408" s="16">
        <f t="shared" si="48"/>
        <v>33.249999999999851</v>
      </c>
      <c r="C408" s="17">
        <f t="shared" si="44"/>
        <v>33.249999999999851</v>
      </c>
      <c r="D408" s="1" cm="1">
        <f t="array" ref="D408">_xlfn.XLOOKUP(_xlfn.FLOOR.MATH(C408),'Mortality Tables'!$B$4:$B$124,_xlfn.XLOOKUP(mortality_table,'Mortality Tables'!$B$3:$G$3,'Mortality Tables'!$B$4:$G$124,0,0),0,0)</f>
        <v>6.3599999999999996E-4</v>
      </c>
      <c r="E408" s="1">
        <f t="shared" si="45"/>
        <v>5.2999999999999994E-5</v>
      </c>
      <c r="F408" s="1">
        <f t="shared" si="42"/>
        <v>0.99994700000000003</v>
      </c>
      <c r="G408" s="1">
        <f t="shared" si="43"/>
        <v>0.98298476548432889</v>
      </c>
      <c r="H408" s="34">
        <f t="shared" si="46"/>
        <v>0.19744939434593245</v>
      </c>
      <c r="I408" s="36">
        <f t="shared" si="47"/>
        <v>0.19408974659615919</v>
      </c>
    </row>
    <row r="409" spans="2:9" x14ac:dyDescent="0.35">
      <c r="B409" s="16">
        <f t="shared" si="48"/>
        <v>33.333333333333186</v>
      </c>
      <c r="C409" s="17">
        <f t="shared" si="44"/>
        <v>33.333333333333186</v>
      </c>
      <c r="D409" s="1" cm="1">
        <f t="array" ref="D409">_xlfn.XLOOKUP(_xlfn.FLOOR.MATH(C409),'Mortality Tables'!$B$4:$B$124,_xlfn.XLOOKUP(mortality_table,'Mortality Tables'!$B$3:$G$3,'Mortality Tables'!$B$4:$G$124,0,0),0,0)</f>
        <v>6.3599999999999996E-4</v>
      </c>
      <c r="E409" s="1">
        <f t="shared" si="45"/>
        <v>5.2999999999999994E-5</v>
      </c>
      <c r="F409" s="1">
        <f t="shared" si="42"/>
        <v>0.99994700000000003</v>
      </c>
      <c r="G409" s="1">
        <f t="shared" si="43"/>
        <v>0.98293266729175821</v>
      </c>
      <c r="H409" s="34">
        <f t="shared" si="46"/>
        <v>0.19664822513489813</v>
      </c>
      <c r="I409" s="36">
        <f t="shared" si="47"/>
        <v>0.19329196445003557</v>
      </c>
    </row>
    <row r="410" spans="2:9" x14ac:dyDescent="0.35">
      <c r="B410" s="16">
        <f t="shared" si="48"/>
        <v>33.416666666666522</v>
      </c>
      <c r="C410" s="17">
        <f t="shared" si="44"/>
        <v>33.416666666666522</v>
      </c>
      <c r="D410" s="1" cm="1">
        <f t="array" ref="D410">_xlfn.XLOOKUP(_xlfn.FLOOR.MATH(C410),'Mortality Tables'!$B$4:$B$124,_xlfn.XLOOKUP(mortality_table,'Mortality Tables'!$B$3:$G$3,'Mortality Tables'!$B$4:$G$124,0,0),0,0)</f>
        <v>6.3599999999999996E-4</v>
      </c>
      <c r="E410" s="1">
        <f t="shared" si="45"/>
        <v>5.2999999999999994E-5</v>
      </c>
      <c r="F410" s="1">
        <f t="shared" si="42"/>
        <v>0.99994700000000003</v>
      </c>
      <c r="G410" s="1">
        <f t="shared" si="43"/>
        <v>0.98288057186039179</v>
      </c>
      <c r="H410" s="34">
        <f t="shared" si="46"/>
        <v>0.19585030674216505</v>
      </c>
      <c r="I410" s="36">
        <f t="shared" si="47"/>
        <v>0.19249746148977234</v>
      </c>
    </row>
    <row r="411" spans="2:9" x14ac:dyDescent="0.35">
      <c r="B411" s="16">
        <f t="shared" si="48"/>
        <v>33.499999999999858</v>
      </c>
      <c r="C411" s="17">
        <f t="shared" si="44"/>
        <v>33.499999999999858</v>
      </c>
      <c r="D411" s="1" cm="1">
        <f t="array" ref="D411">_xlfn.XLOOKUP(_xlfn.FLOOR.MATH(C411),'Mortality Tables'!$B$4:$B$124,_xlfn.XLOOKUP(mortality_table,'Mortality Tables'!$B$3:$G$3,'Mortality Tables'!$B$4:$G$124,0,0),0,0)</f>
        <v>6.3599999999999996E-4</v>
      </c>
      <c r="E411" s="1">
        <f t="shared" si="45"/>
        <v>5.2999999999999994E-5</v>
      </c>
      <c r="F411" s="1">
        <f t="shared" ref="F411:F474" si="49">1-E411</f>
        <v>0.99994700000000003</v>
      </c>
      <c r="G411" s="1">
        <f t="shared" ref="G411:G474" si="50">G410*F410</f>
        <v>0.9828284791900832</v>
      </c>
      <c r="H411" s="34">
        <f t="shared" si="46"/>
        <v>0.19505562597723675</v>
      </c>
      <c r="I411" s="36">
        <f t="shared" si="47"/>
        <v>0.19170622423667727</v>
      </c>
    </row>
    <row r="412" spans="2:9" x14ac:dyDescent="0.35">
      <c r="B412" s="16">
        <f t="shared" si="48"/>
        <v>33.583333333333194</v>
      </c>
      <c r="C412" s="17">
        <f t="shared" si="44"/>
        <v>33.583333333333194</v>
      </c>
      <c r="D412" s="1" cm="1">
        <f t="array" ref="D412">_xlfn.XLOOKUP(_xlfn.FLOOR.MATH(C412),'Mortality Tables'!$B$4:$B$124,_xlfn.XLOOKUP(mortality_table,'Mortality Tables'!$B$3:$G$3,'Mortality Tables'!$B$4:$G$124,0,0),0,0)</f>
        <v>6.3599999999999996E-4</v>
      </c>
      <c r="E412" s="1">
        <f t="shared" si="45"/>
        <v>5.2999999999999994E-5</v>
      </c>
      <c r="F412" s="1">
        <f t="shared" si="49"/>
        <v>0.99994700000000003</v>
      </c>
      <c r="G412" s="1">
        <f t="shared" si="50"/>
        <v>0.98277638928068611</v>
      </c>
      <c r="H412" s="34">
        <f t="shared" si="46"/>
        <v>0.19426416970313848</v>
      </c>
      <c r="I412" s="36">
        <f t="shared" si="47"/>
        <v>0.1909182392674609</v>
      </c>
    </row>
    <row r="413" spans="2:9" x14ac:dyDescent="0.35">
      <c r="B413" s="16">
        <f t="shared" si="48"/>
        <v>33.666666666666529</v>
      </c>
      <c r="C413" s="17">
        <f t="shared" si="44"/>
        <v>33.666666666666529</v>
      </c>
      <c r="D413" s="1" cm="1">
        <f t="array" ref="D413">_xlfn.XLOOKUP(_xlfn.FLOOR.MATH(C413),'Mortality Tables'!$B$4:$B$124,_xlfn.XLOOKUP(mortality_table,'Mortality Tables'!$B$3:$G$3,'Mortality Tables'!$B$4:$G$124,0,0),0,0)</f>
        <v>6.3599999999999996E-4</v>
      </c>
      <c r="E413" s="1">
        <f t="shared" si="45"/>
        <v>5.2999999999999994E-5</v>
      </c>
      <c r="F413" s="1">
        <f t="shared" si="49"/>
        <v>0.99994700000000003</v>
      </c>
      <c r="G413" s="1">
        <f t="shared" si="50"/>
        <v>0.98272430213205431</v>
      </c>
      <c r="H413" s="34">
        <f t="shared" si="46"/>
        <v>0.19347592483619994</v>
      </c>
      <c r="I413" s="36">
        <f t="shared" si="47"/>
        <v>0.19013349321400838</v>
      </c>
    </row>
    <row r="414" spans="2:9" x14ac:dyDescent="0.35">
      <c r="B414" s="16">
        <f t="shared" si="48"/>
        <v>33.749999999999865</v>
      </c>
      <c r="C414" s="17">
        <f t="shared" si="44"/>
        <v>33.749999999999865</v>
      </c>
      <c r="D414" s="1" cm="1">
        <f t="array" ref="D414">_xlfn.XLOOKUP(_xlfn.FLOOR.MATH(C414),'Mortality Tables'!$B$4:$B$124,_xlfn.XLOOKUP(mortality_table,'Mortality Tables'!$B$3:$G$3,'Mortality Tables'!$B$4:$G$124,0,0),0,0)</f>
        <v>6.3599999999999996E-4</v>
      </c>
      <c r="E414" s="1">
        <f t="shared" si="45"/>
        <v>5.2999999999999994E-5</v>
      </c>
      <c r="F414" s="1">
        <f t="shared" si="49"/>
        <v>0.99994700000000003</v>
      </c>
      <c r="G414" s="1">
        <f t="shared" si="50"/>
        <v>0.98267221774404134</v>
      </c>
      <c r="H414" s="34">
        <f t="shared" si="46"/>
        <v>0.19269087834583906</v>
      </c>
      <c r="I414" s="36">
        <f t="shared" si="47"/>
        <v>0.18935197276315294</v>
      </c>
    </row>
    <row r="415" spans="2:9" x14ac:dyDescent="0.35">
      <c r="B415" s="16">
        <f t="shared" si="48"/>
        <v>33.833333333333201</v>
      </c>
      <c r="C415" s="17">
        <f t="shared" si="44"/>
        <v>33.833333333333201</v>
      </c>
      <c r="D415" s="1" cm="1">
        <f t="array" ref="D415">_xlfn.XLOOKUP(_xlfn.FLOOR.MATH(C415),'Mortality Tables'!$B$4:$B$124,_xlfn.XLOOKUP(mortality_table,'Mortality Tables'!$B$3:$G$3,'Mortality Tables'!$B$4:$G$124,0,0),0,0)</f>
        <v>6.3599999999999996E-4</v>
      </c>
      <c r="E415" s="1">
        <f t="shared" si="45"/>
        <v>5.2999999999999994E-5</v>
      </c>
      <c r="F415" s="1">
        <f t="shared" si="49"/>
        <v>0.99994700000000003</v>
      </c>
      <c r="G415" s="1">
        <f t="shared" si="50"/>
        <v>0.9826201361165009</v>
      </c>
      <c r="H415" s="34">
        <f t="shared" si="46"/>
        <v>0.19190901725434653</v>
      </c>
      <c r="I415" s="36">
        <f t="shared" si="47"/>
        <v>0.1885736646564499</v>
      </c>
    </row>
    <row r="416" spans="2:9" x14ac:dyDescent="0.35">
      <c r="B416" s="16">
        <f t="shared" si="48"/>
        <v>33.916666666666536</v>
      </c>
      <c r="C416" s="17">
        <f t="shared" si="44"/>
        <v>33.916666666666536</v>
      </c>
      <c r="D416" s="1" cm="1">
        <f t="array" ref="D416">_xlfn.XLOOKUP(_xlfn.FLOOR.MATH(C416),'Mortality Tables'!$B$4:$B$124,_xlfn.XLOOKUP(mortality_table,'Mortality Tables'!$B$3:$G$3,'Mortality Tables'!$B$4:$G$124,0,0),0,0)</f>
        <v>6.3599999999999996E-4</v>
      </c>
      <c r="E416" s="1">
        <f t="shared" si="45"/>
        <v>5.2999999999999994E-5</v>
      </c>
      <c r="F416" s="1">
        <f t="shared" si="49"/>
        <v>0.99994700000000003</v>
      </c>
      <c r="G416" s="1">
        <f t="shared" si="50"/>
        <v>0.98256805724928675</v>
      </c>
      <c r="H416" s="34">
        <f t="shared" si="46"/>
        <v>0.19113032863667134</v>
      </c>
      <c r="I416" s="36">
        <f t="shared" si="47"/>
        <v>0.18779855568995188</v>
      </c>
    </row>
    <row r="417" spans="2:9" x14ac:dyDescent="0.35">
      <c r="B417" s="16">
        <f t="shared" si="48"/>
        <v>33.999999999999872</v>
      </c>
      <c r="C417" s="17">
        <f t="shared" si="44"/>
        <v>33.999999999999872</v>
      </c>
      <c r="D417" s="1" cm="1">
        <f t="array" ref="D417">_xlfn.XLOOKUP(_xlfn.FLOOR.MATH(C417),'Mortality Tables'!$B$4:$B$124,_xlfn.XLOOKUP(mortality_table,'Mortality Tables'!$B$3:$G$3,'Mortality Tables'!$B$4:$G$124,0,0),0,0)</f>
        <v>6.3599999999999996E-4</v>
      </c>
      <c r="E417" s="1">
        <f t="shared" si="45"/>
        <v>5.2999999999999994E-5</v>
      </c>
      <c r="F417" s="1">
        <f t="shared" si="49"/>
        <v>0.99994700000000003</v>
      </c>
      <c r="G417" s="1">
        <f t="shared" si="50"/>
        <v>0.98251598114225258</v>
      </c>
      <c r="H417" s="34">
        <f t="shared" si="46"/>
        <v>0.19035479962020702</v>
      </c>
      <c r="I417" s="36">
        <f t="shared" si="47"/>
        <v>0.18702663271398459</v>
      </c>
    </row>
    <row r="418" spans="2:9" x14ac:dyDescent="0.35">
      <c r="B418" s="16">
        <f t="shared" si="48"/>
        <v>34.083333333333208</v>
      </c>
      <c r="C418" s="17">
        <f t="shared" si="44"/>
        <v>34.083333333333208</v>
      </c>
      <c r="D418" s="1" cm="1">
        <f t="array" ref="D418">_xlfn.XLOOKUP(_xlfn.FLOOR.MATH(C418),'Mortality Tables'!$B$4:$B$124,_xlfn.XLOOKUP(mortality_table,'Mortality Tables'!$B$3:$G$3,'Mortality Tables'!$B$4:$G$124,0,0),0,0)</f>
        <v>6.6E-4</v>
      </c>
      <c r="E418" s="1">
        <f t="shared" si="45"/>
        <v>5.4999999999999995E-5</v>
      </c>
      <c r="F418" s="1">
        <f t="shared" si="49"/>
        <v>0.99994499999999997</v>
      </c>
      <c r="G418" s="1">
        <f t="shared" si="50"/>
        <v>0.98246390779525206</v>
      </c>
      <c r="H418" s="34">
        <f t="shared" si="46"/>
        <v>0.18958241738457893</v>
      </c>
      <c r="I418" s="36">
        <f t="shared" si="47"/>
        <v>0.18625788263292395</v>
      </c>
    </row>
    <row r="419" spans="2:9" x14ac:dyDescent="0.35">
      <c r="B419" s="16">
        <f t="shared" si="48"/>
        <v>34.166666666666544</v>
      </c>
      <c r="C419" s="17">
        <f t="shared" si="44"/>
        <v>34.166666666666544</v>
      </c>
      <c r="D419" s="1" cm="1">
        <f t="array" ref="D419">_xlfn.XLOOKUP(_xlfn.FLOOR.MATH(C419),'Mortality Tables'!$B$4:$B$124,_xlfn.XLOOKUP(mortality_table,'Mortality Tables'!$B$3:$G$3,'Mortality Tables'!$B$4:$G$124,0,0),0,0)</f>
        <v>6.6E-4</v>
      </c>
      <c r="E419" s="1">
        <f t="shared" si="45"/>
        <v>5.4999999999999995E-5</v>
      </c>
      <c r="F419" s="1">
        <f t="shared" si="49"/>
        <v>0.99994499999999997</v>
      </c>
      <c r="G419" s="1">
        <f t="shared" si="50"/>
        <v>0.98240987228032328</v>
      </c>
      <c r="H419" s="34">
        <f t="shared" si="46"/>
        <v>0.18881316916143231</v>
      </c>
      <c r="I419" s="36">
        <f t="shared" si="47"/>
        <v>0.18549192140072579</v>
      </c>
    </row>
    <row r="420" spans="2:9" x14ac:dyDescent="0.35">
      <c r="B420" s="16">
        <f t="shared" si="48"/>
        <v>34.249999999999879</v>
      </c>
      <c r="C420" s="17">
        <f t="shared" si="44"/>
        <v>34.249999999999879</v>
      </c>
      <c r="D420" s="1" cm="1">
        <f t="array" ref="D420">_xlfn.XLOOKUP(_xlfn.FLOOR.MATH(C420),'Mortality Tables'!$B$4:$B$124,_xlfn.XLOOKUP(mortality_table,'Mortality Tables'!$B$3:$G$3,'Mortality Tables'!$B$4:$G$124,0,0),0,0)</f>
        <v>6.6E-4</v>
      </c>
      <c r="E420" s="1">
        <f t="shared" si="45"/>
        <v>5.4999999999999995E-5</v>
      </c>
      <c r="F420" s="1">
        <f t="shared" si="49"/>
        <v>0.99994499999999997</v>
      </c>
      <c r="G420" s="1">
        <f t="shared" si="50"/>
        <v>0.98235583973734786</v>
      </c>
      <c r="H420" s="34">
        <f t="shared" si="46"/>
        <v>0.18804704223422114</v>
      </c>
      <c r="I420" s="36">
        <f t="shared" si="47"/>
        <v>0.18472911008412282</v>
      </c>
    </row>
    <row r="421" spans="2:9" x14ac:dyDescent="0.35">
      <c r="B421" s="16">
        <f t="shared" si="48"/>
        <v>34.333333333333215</v>
      </c>
      <c r="C421" s="17">
        <f t="shared" si="44"/>
        <v>34.333333333333215</v>
      </c>
      <c r="D421" s="1" cm="1">
        <f t="array" ref="D421">_xlfn.XLOOKUP(_xlfn.FLOOR.MATH(C421),'Mortality Tables'!$B$4:$B$124,_xlfn.XLOOKUP(mortality_table,'Mortality Tables'!$B$3:$G$3,'Mortality Tables'!$B$4:$G$124,0,0),0,0)</f>
        <v>6.6E-4</v>
      </c>
      <c r="E421" s="1">
        <f t="shared" si="45"/>
        <v>5.4999999999999995E-5</v>
      </c>
      <c r="F421" s="1">
        <f t="shared" si="49"/>
        <v>0.99994499999999997</v>
      </c>
      <c r="G421" s="1">
        <f t="shared" si="50"/>
        <v>0.98230181016616225</v>
      </c>
      <c r="H421" s="34">
        <f t="shared" si="46"/>
        <v>0.18728402393799798</v>
      </c>
      <c r="I421" s="36">
        <f t="shared" si="47"/>
        <v>0.18396943572949828</v>
      </c>
    </row>
    <row r="422" spans="2:9" x14ac:dyDescent="0.35">
      <c r="B422" s="16">
        <f t="shared" si="48"/>
        <v>34.416666666666551</v>
      </c>
      <c r="C422" s="17">
        <f t="shared" si="44"/>
        <v>34.416666666666551</v>
      </c>
      <c r="D422" s="1" cm="1">
        <f t="array" ref="D422">_xlfn.XLOOKUP(_xlfn.FLOOR.MATH(C422),'Mortality Tables'!$B$4:$B$124,_xlfn.XLOOKUP(mortality_table,'Mortality Tables'!$B$3:$G$3,'Mortality Tables'!$B$4:$G$124,0,0),0,0)</f>
        <v>6.6E-4</v>
      </c>
      <c r="E422" s="1">
        <f t="shared" si="45"/>
        <v>5.4999999999999995E-5</v>
      </c>
      <c r="F422" s="1">
        <f t="shared" si="49"/>
        <v>0.99994499999999997</v>
      </c>
      <c r="G422" s="1">
        <f t="shared" si="50"/>
        <v>0.98224778356660303</v>
      </c>
      <c r="H422" s="34">
        <f t="shared" si="46"/>
        <v>0.18652410165920455</v>
      </c>
      <c r="I422" s="36">
        <f t="shared" si="47"/>
        <v>0.18321288543650541</v>
      </c>
    </row>
    <row r="423" spans="2:9" x14ac:dyDescent="0.35">
      <c r="B423" s="16">
        <f t="shared" si="48"/>
        <v>34.499999999999886</v>
      </c>
      <c r="C423" s="17">
        <f t="shared" si="44"/>
        <v>34.499999999999886</v>
      </c>
      <c r="D423" s="1" cm="1">
        <f t="array" ref="D423">_xlfn.XLOOKUP(_xlfn.FLOOR.MATH(C423),'Mortality Tables'!$B$4:$B$124,_xlfn.XLOOKUP(mortality_table,'Mortality Tables'!$B$3:$G$3,'Mortality Tables'!$B$4:$G$124,0,0),0,0)</f>
        <v>6.6E-4</v>
      </c>
      <c r="E423" s="1">
        <f t="shared" si="45"/>
        <v>5.4999999999999995E-5</v>
      </c>
      <c r="F423" s="1">
        <f t="shared" si="49"/>
        <v>0.99994499999999997</v>
      </c>
      <c r="G423" s="1">
        <f t="shared" si="50"/>
        <v>0.98219375993850688</v>
      </c>
      <c r="H423" s="34">
        <f t="shared" si="46"/>
        <v>0.1857672628354633</v>
      </c>
      <c r="I423" s="36">
        <f t="shared" si="47"/>
        <v>0.18245944635784855</v>
      </c>
    </row>
    <row r="424" spans="2:9" x14ac:dyDescent="0.35">
      <c r="B424" s="16">
        <f t="shared" si="48"/>
        <v>34.583333333333222</v>
      </c>
      <c r="C424" s="17">
        <f t="shared" si="44"/>
        <v>34.583333333333222</v>
      </c>
      <c r="D424" s="1" cm="1">
        <f t="array" ref="D424">_xlfn.XLOOKUP(_xlfn.FLOOR.MATH(C424),'Mortality Tables'!$B$4:$B$124,_xlfn.XLOOKUP(mortality_table,'Mortality Tables'!$B$3:$G$3,'Mortality Tables'!$B$4:$G$124,0,0),0,0)</f>
        <v>6.6E-4</v>
      </c>
      <c r="E424" s="1">
        <f t="shared" si="45"/>
        <v>5.4999999999999995E-5</v>
      </c>
      <c r="F424" s="1">
        <f t="shared" si="49"/>
        <v>0.99994499999999997</v>
      </c>
      <c r="G424" s="1">
        <f t="shared" si="50"/>
        <v>0.98213973928171028</v>
      </c>
      <c r="H424" s="34">
        <f t="shared" si="46"/>
        <v>0.1850134949553697</v>
      </c>
      <c r="I424" s="36">
        <f t="shared" si="47"/>
        <v>0.18170910569906482</v>
      </c>
    </row>
    <row r="425" spans="2:9" x14ac:dyDescent="0.35">
      <c r="B425" s="16">
        <f t="shared" si="48"/>
        <v>34.666666666666558</v>
      </c>
      <c r="C425" s="17">
        <f t="shared" si="44"/>
        <v>34.666666666666558</v>
      </c>
      <c r="D425" s="1" cm="1">
        <f t="array" ref="D425">_xlfn.XLOOKUP(_xlfn.FLOOR.MATH(C425),'Mortality Tables'!$B$4:$B$124,_xlfn.XLOOKUP(mortality_table,'Mortality Tables'!$B$3:$G$3,'Mortality Tables'!$B$4:$G$124,0,0),0,0)</f>
        <v>6.6E-4</v>
      </c>
      <c r="E425" s="1">
        <f t="shared" si="45"/>
        <v>5.4999999999999995E-5</v>
      </c>
      <c r="F425" s="1">
        <f t="shared" si="49"/>
        <v>0.99994499999999997</v>
      </c>
      <c r="G425" s="1">
        <f t="shared" si="50"/>
        <v>0.98208572159604979</v>
      </c>
      <c r="H425" s="34">
        <f t="shared" si="46"/>
        <v>0.1842627855582854</v>
      </c>
      <c r="I425" s="36">
        <f t="shared" si="47"/>
        <v>0.18096185071830689</v>
      </c>
    </row>
    <row r="426" spans="2:9" x14ac:dyDescent="0.35">
      <c r="B426" s="16">
        <f t="shared" si="48"/>
        <v>34.749999999999893</v>
      </c>
      <c r="C426" s="17">
        <f t="shared" si="44"/>
        <v>34.749999999999893</v>
      </c>
      <c r="D426" s="1" cm="1">
        <f t="array" ref="D426">_xlfn.XLOOKUP(_xlfn.FLOOR.MATH(C426),'Mortality Tables'!$B$4:$B$124,_xlfn.XLOOKUP(mortality_table,'Mortality Tables'!$B$3:$G$3,'Mortality Tables'!$B$4:$G$124,0,0),0,0)</f>
        <v>6.6E-4</v>
      </c>
      <c r="E426" s="1">
        <f t="shared" si="45"/>
        <v>5.4999999999999995E-5</v>
      </c>
      <c r="F426" s="1">
        <f t="shared" si="49"/>
        <v>0.99994499999999997</v>
      </c>
      <c r="G426" s="1">
        <f t="shared" si="50"/>
        <v>0.98203170688136199</v>
      </c>
      <c r="H426" s="34">
        <f t="shared" si="46"/>
        <v>0.18351512223413219</v>
      </c>
      <c r="I426" s="36">
        <f t="shared" si="47"/>
        <v>0.18021766872612663</v>
      </c>
    </row>
    <row r="427" spans="2:9" x14ac:dyDescent="0.35">
      <c r="B427" s="16">
        <f t="shared" si="48"/>
        <v>34.833333333333229</v>
      </c>
      <c r="C427" s="17">
        <f t="shared" si="44"/>
        <v>34.833333333333229</v>
      </c>
      <c r="D427" s="1" cm="1">
        <f t="array" ref="D427">_xlfn.XLOOKUP(_xlfn.FLOOR.MATH(C427),'Mortality Tables'!$B$4:$B$124,_xlfn.XLOOKUP(mortality_table,'Mortality Tables'!$B$3:$G$3,'Mortality Tables'!$B$4:$G$124,0,0),0,0)</f>
        <v>6.6E-4</v>
      </c>
      <c r="E427" s="1">
        <f t="shared" si="45"/>
        <v>5.4999999999999995E-5</v>
      </c>
      <c r="F427" s="1">
        <f t="shared" si="49"/>
        <v>0.99994499999999997</v>
      </c>
      <c r="G427" s="1">
        <f t="shared" si="50"/>
        <v>0.98197769513748345</v>
      </c>
      <c r="H427" s="34">
        <f t="shared" si="46"/>
        <v>0.1827704926231869</v>
      </c>
      <c r="I427" s="36">
        <f t="shared" si="47"/>
        <v>0.17947654708525948</v>
      </c>
    </row>
    <row r="428" spans="2:9" x14ac:dyDescent="0.35">
      <c r="B428" s="16">
        <f t="shared" si="48"/>
        <v>34.916666666666565</v>
      </c>
      <c r="C428" s="17">
        <f t="shared" si="44"/>
        <v>34.916666666666565</v>
      </c>
      <c r="D428" s="1" cm="1">
        <f t="array" ref="D428">_xlfn.XLOOKUP(_xlfn.FLOOR.MATH(C428),'Mortality Tables'!$B$4:$B$124,_xlfn.XLOOKUP(mortality_table,'Mortality Tables'!$B$3:$G$3,'Mortality Tables'!$B$4:$G$124,0,0),0,0)</f>
        <v>6.6E-4</v>
      </c>
      <c r="E428" s="1">
        <f t="shared" si="45"/>
        <v>5.4999999999999995E-5</v>
      </c>
      <c r="F428" s="1">
        <f t="shared" si="49"/>
        <v>0.99994499999999997</v>
      </c>
      <c r="G428" s="1">
        <f t="shared" si="50"/>
        <v>0.98192368636425087</v>
      </c>
      <c r="H428" s="34">
        <f t="shared" si="46"/>
        <v>0.1820288844158772</v>
      </c>
      <c r="I428" s="36">
        <f t="shared" si="47"/>
        <v>0.17873847321041028</v>
      </c>
    </row>
    <row r="429" spans="2:9" x14ac:dyDescent="0.35">
      <c r="B429" s="16">
        <f t="shared" si="48"/>
        <v>34.999999999999901</v>
      </c>
      <c r="C429" s="17">
        <f t="shared" si="44"/>
        <v>34.999999999999901</v>
      </c>
      <c r="D429" s="1" cm="1">
        <f t="array" ref="D429">_xlfn.XLOOKUP(_xlfn.FLOOR.MATH(C429),'Mortality Tables'!$B$4:$B$124,_xlfn.XLOOKUP(mortality_table,'Mortality Tables'!$B$3:$G$3,'Mortality Tables'!$B$4:$G$124,0,0),0,0)</f>
        <v>6.6E-4</v>
      </c>
      <c r="E429" s="1">
        <f t="shared" si="45"/>
        <v>5.4999999999999995E-5</v>
      </c>
      <c r="F429" s="1">
        <f t="shared" si="49"/>
        <v>0.99994499999999997</v>
      </c>
      <c r="G429" s="1">
        <f t="shared" si="50"/>
        <v>0.98186968056150081</v>
      </c>
      <c r="H429" s="34">
        <f t="shared" si="46"/>
        <v>0.18129028535257782</v>
      </c>
      <c r="I429" s="36">
        <f t="shared" si="47"/>
        <v>0.17800343456803891</v>
      </c>
    </row>
    <row r="430" spans="2:9" x14ac:dyDescent="0.35">
      <c r="B430" s="16">
        <f t="shared" si="48"/>
        <v>35.083333333333236</v>
      </c>
      <c r="C430" s="17">
        <f t="shared" si="44"/>
        <v>35.083333333333236</v>
      </c>
      <c r="D430" s="1" cm="1">
        <f t="array" ref="D430">_xlfn.XLOOKUP(_xlfn.FLOOR.MATH(C430),'Mortality Tables'!$B$4:$B$124,_xlfn.XLOOKUP(mortality_table,'Mortality Tables'!$B$3:$G$3,'Mortality Tables'!$B$4:$G$124,0,0),0,0)</f>
        <v>6.8900000000000005E-4</v>
      </c>
      <c r="E430" s="1">
        <f t="shared" si="45"/>
        <v>5.7416666666666669E-5</v>
      </c>
      <c r="F430" s="1">
        <f t="shared" si="49"/>
        <v>0.9999425833333333</v>
      </c>
      <c r="G430" s="1">
        <f t="shared" si="50"/>
        <v>0.98181567772906986</v>
      </c>
      <c r="H430" s="34">
        <f t="shared" si="46"/>
        <v>0.18055468322340829</v>
      </c>
      <c r="I430" s="36">
        <f t="shared" si="47"/>
        <v>0.17727141867614812</v>
      </c>
    </row>
    <row r="431" spans="2:9" x14ac:dyDescent="0.35">
      <c r="B431" s="16">
        <f t="shared" si="48"/>
        <v>35.166666666666572</v>
      </c>
      <c r="C431" s="17">
        <f t="shared" si="44"/>
        <v>35.166666666666572</v>
      </c>
      <c r="D431" s="1" cm="1">
        <f t="array" ref="D431">_xlfn.XLOOKUP(_xlfn.FLOOR.MATH(C431),'Mortality Tables'!$B$4:$B$124,_xlfn.XLOOKUP(mortality_table,'Mortality Tables'!$B$3:$G$3,'Mortality Tables'!$B$4:$G$124,0,0),0,0)</f>
        <v>6.8900000000000005E-4</v>
      </c>
      <c r="E431" s="1">
        <f t="shared" si="45"/>
        <v>5.7416666666666669E-5</v>
      </c>
      <c r="F431" s="1">
        <f t="shared" si="49"/>
        <v>0.9999425833333333</v>
      </c>
      <c r="G431" s="1">
        <f t="shared" si="50"/>
        <v>0.98175930514557352</v>
      </c>
      <c r="H431" s="34">
        <f t="shared" si="46"/>
        <v>0.17982206586803051</v>
      </c>
      <c r="I431" s="36">
        <f t="shared" si="47"/>
        <v>0.1765419864364392</v>
      </c>
    </row>
    <row r="432" spans="2:9" x14ac:dyDescent="0.35">
      <c r="B432" s="16">
        <f t="shared" si="48"/>
        <v>35.249999999999908</v>
      </c>
      <c r="C432" s="17">
        <f t="shared" si="44"/>
        <v>35.249999999999908</v>
      </c>
      <c r="D432" s="1" cm="1">
        <f t="array" ref="D432">_xlfn.XLOOKUP(_xlfn.FLOOR.MATH(C432),'Mortality Tables'!$B$4:$B$124,_xlfn.XLOOKUP(mortality_table,'Mortality Tables'!$B$3:$G$3,'Mortality Tables'!$B$4:$G$124,0,0),0,0)</f>
        <v>6.8900000000000005E-4</v>
      </c>
      <c r="E432" s="1">
        <f t="shared" si="45"/>
        <v>5.7416666666666669E-5</v>
      </c>
      <c r="F432" s="1">
        <f t="shared" si="49"/>
        <v>0.9999425833333333</v>
      </c>
      <c r="G432" s="1">
        <f t="shared" si="50"/>
        <v>0.98170293579880308</v>
      </c>
      <c r="H432" s="34">
        <f t="shared" si="46"/>
        <v>0.17909242117544844</v>
      </c>
      <c r="I432" s="36">
        <f t="shared" si="47"/>
        <v>0.17581555564725346</v>
      </c>
    </row>
    <row r="433" spans="2:9" x14ac:dyDescent="0.35">
      <c r="B433" s="16">
        <f t="shared" si="48"/>
        <v>35.333333333333243</v>
      </c>
      <c r="C433" s="17">
        <f t="shared" si="44"/>
        <v>35.333333333333243</v>
      </c>
      <c r="D433" s="1" cm="1">
        <f t="array" ref="D433">_xlfn.XLOOKUP(_xlfn.FLOOR.MATH(C433),'Mortality Tables'!$B$4:$B$124,_xlfn.XLOOKUP(mortality_table,'Mortality Tables'!$B$3:$G$3,'Mortality Tables'!$B$4:$G$124,0,0),0,0)</f>
        <v>6.8900000000000005E-4</v>
      </c>
      <c r="E433" s="1">
        <f t="shared" si="45"/>
        <v>5.7416666666666669E-5</v>
      </c>
      <c r="F433" s="1">
        <f t="shared" si="49"/>
        <v>0.9999425833333333</v>
      </c>
      <c r="G433" s="1">
        <f t="shared" si="50"/>
        <v>0.98164656968857256</v>
      </c>
      <c r="H433" s="34">
        <f t="shared" si="46"/>
        <v>0.17836573708380732</v>
      </c>
      <c r="I433" s="36">
        <f t="shared" si="47"/>
        <v>0.17509211395829327</v>
      </c>
    </row>
    <row r="434" spans="2:9" x14ac:dyDescent="0.35">
      <c r="B434" s="16">
        <f t="shared" si="48"/>
        <v>35.416666666666579</v>
      </c>
      <c r="C434" s="17">
        <f t="shared" si="44"/>
        <v>35.416666666666579</v>
      </c>
      <c r="D434" s="1" cm="1">
        <f t="array" ref="D434">_xlfn.XLOOKUP(_xlfn.FLOOR.MATH(C434),'Mortality Tables'!$B$4:$B$124,_xlfn.XLOOKUP(mortality_table,'Mortality Tables'!$B$3:$G$3,'Mortality Tables'!$B$4:$G$124,0,0),0,0)</f>
        <v>6.8900000000000005E-4</v>
      </c>
      <c r="E434" s="1">
        <f t="shared" si="45"/>
        <v>5.7416666666666669E-5</v>
      </c>
      <c r="F434" s="1">
        <f t="shared" si="49"/>
        <v>0.9999425833333333</v>
      </c>
      <c r="G434" s="1">
        <f t="shared" si="50"/>
        <v>0.98159020681469622</v>
      </c>
      <c r="H434" s="34">
        <f t="shared" si="46"/>
        <v>0.17764200158019453</v>
      </c>
      <c r="I434" s="36">
        <f t="shared" si="47"/>
        <v>0.17437164907007974</v>
      </c>
    </row>
    <row r="435" spans="2:9" x14ac:dyDescent="0.35">
      <c r="B435" s="16">
        <f t="shared" si="48"/>
        <v>35.499999999999915</v>
      </c>
      <c r="C435" s="17">
        <f t="shared" si="44"/>
        <v>35.499999999999915</v>
      </c>
      <c r="D435" s="1" cm="1">
        <f t="array" ref="D435">_xlfn.XLOOKUP(_xlfn.FLOOR.MATH(C435),'Mortality Tables'!$B$4:$B$124,_xlfn.XLOOKUP(mortality_table,'Mortality Tables'!$B$3:$G$3,'Mortality Tables'!$B$4:$G$124,0,0),0,0)</f>
        <v>6.8900000000000005E-4</v>
      </c>
      <c r="E435" s="1">
        <f t="shared" si="45"/>
        <v>5.7416666666666669E-5</v>
      </c>
      <c r="F435" s="1">
        <f t="shared" si="49"/>
        <v>0.9999425833333333</v>
      </c>
      <c r="G435" s="1">
        <f t="shared" si="50"/>
        <v>0.98153384717698822</v>
      </c>
      <c r="H435" s="34">
        <f t="shared" si="46"/>
        <v>0.17692120270044095</v>
      </c>
      <c r="I435" s="36">
        <f t="shared" si="47"/>
        <v>0.17365414873374357</v>
      </c>
    </row>
    <row r="436" spans="2:9" x14ac:dyDescent="0.35">
      <c r="B436" s="16">
        <f t="shared" si="48"/>
        <v>35.58333333333325</v>
      </c>
      <c r="C436" s="17">
        <f t="shared" si="44"/>
        <v>35.58333333333325</v>
      </c>
      <c r="D436" s="1" cm="1">
        <f t="array" ref="D436">_xlfn.XLOOKUP(_xlfn.FLOOR.MATH(C436),'Mortality Tables'!$B$4:$B$124,_xlfn.XLOOKUP(mortality_table,'Mortality Tables'!$B$3:$G$3,'Mortality Tables'!$B$4:$G$124,0,0),0,0)</f>
        <v>6.8900000000000005E-4</v>
      </c>
      <c r="E436" s="1">
        <f t="shared" si="45"/>
        <v>5.7416666666666669E-5</v>
      </c>
      <c r="F436" s="1">
        <f t="shared" si="49"/>
        <v>0.9999425833333333</v>
      </c>
      <c r="G436" s="1">
        <f t="shared" si="50"/>
        <v>0.98147749077526281</v>
      </c>
      <c r="H436" s="34">
        <f t="shared" si="46"/>
        <v>0.17620332852892331</v>
      </c>
      <c r="I436" s="36">
        <f t="shared" si="47"/>
        <v>0.17293960075081694</v>
      </c>
    </row>
    <row r="437" spans="2:9" x14ac:dyDescent="0.35">
      <c r="B437" s="16">
        <f t="shared" si="48"/>
        <v>35.666666666666586</v>
      </c>
      <c r="C437" s="17">
        <f t="shared" si="44"/>
        <v>35.666666666666586</v>
      </c>
      <c r="D437" s="1" cm="1">
        <f t="array" ref="D437">_xlfn.XLOOKUP(_xlfn.FLOOR.MATH(C437),'Mortality Tables'!$B$4:$B$124,_xlfn.XLOOKUP(mortality_table,'Mortality Tables'!$B$3:$G$3,'Mortality Tables'!$B$4:$G$124,0,0),0,0)</f>
        <v>6.8900000000000005E-4</v>
      </c>
      <c r="E437" s="1">
        <f t="shared" si="45"/>
        <v>5.7416666666666669E-5</v>
      </c>
      <c r="F437" s="1">
        <f t="shared" si="49"/>
        <v>0.9999425833333333</v>
      </c>
      <c r="G437" s="1">
        <f t="shared" si="50"/>
        <v>0.98142113760933414</v>
      </c>
      <c r="H437" s="34">
        <f t="shared" si="46"/>
        <v>0.1754883671983668</v>
      </c>
      <c r="I437" s="36">
        <f t="shared" si="47"/>
        <v>0.17222799297302571</v>
      </c>
    </row>
    <row r="438" spans="2:9" x14ac:dyDescent="0.35">
      <c r="B438" s="16">
        <f t="shared" si="48"/>
        <v>35.749999999999922</v>
      </c>
      <c r="C438" s="17">
        <f t="shared" si="44"/>
        <v>35.749999999999922</v>
      </c>
      <c r="D438" s="1" cm="1">
        <f t="array" ref="D438">_xlfn.XLOOKUP(_xlfn.FLOOR.MATH(C438),'Mortality Tables'!$B$4:$B$124,_xlfn.XLOOKUP(mortality_table,'Mortality Tables'!$B$3:$G$3,'Mortality Tables'!$B$4:$G$124,0,0),0,0)</f>
        <v>6.8900000000000005E-4</v>
      </c>
      <c r="E438" s="1">
        <f t="shared" si="45"/>
        <v>5.7416666666666669E-5</v>
      </c>
      <c r="F438" s="1">
        <f t="shared" si="49"/>
        <v>0.9999425833333333</v>
      </c>
      <c r="G438" s="1">
        <f t="shared" si="50"/>
        <v>0.98136478767901636</v>
      </c>
      <c r="H438" s="34">
        <f t="shared" si="46"/>
        <v>0.17477630688964943</v>
      </c>
      <c r="I438" s="36">
        <f t="shared" si="47"/>
        <v>0.17151931330208342</v>
      </c>
    </row>
    <row r="439" spans="2:9" x14ac:dyDescent="0.35">
      <c r="B439" s="16">
        <f t="shared" si="48"/>
        <v>35.833333333333258</v>
      </c>
      <c r="C439" s="17">
        <f t="shared" si="44"/>
        <v>35.833333333333258</v>
      </c>
      <c r="D439" s="1" cm="1">
        <f t="array" ref="D439">_xlfn.XLOOKUP(_xlfn.FLOOR.MATH(C439),'Mortality Tables'!$B$4:$B$124,_xlfn.XLOOKUP(mortality_table,'Mortality Tables'!$B$3:$G$3,'Mortality Tables'!$B$4:$G$124,0,0),0,0)</f>
        <v>6.8900000000000005E-4</v>
      </c>
      <c r="E439" s="1">
        <f t="shared" si="45"/>
        <v>5.7416666666666669E-5</v>
      </c>
      <c r="F439" s="1">
        <f t="shared" si="49"/>
        <v>0.9999425833333333</v>
      </c>
      <c r="G439" s="1">
        <f t="shared" si="50"/>
        <v>0.98130844098412373</v>
      </c>
      <c r="H439" s="34">
        <f t="shared" si="46"/>
        <v>0.17406713583160632</v>
      </c>
      <c r="I439" s="36">
        <f t="shared" si="47"/>
        <v>0.17081354968948531</v>
      </c>
    </row>
    <row r="440" spans="2:9" x14ac:dyDescent="0.35">
      <c r="B440" s="16">
        <f t="shared" si="48"/>
        <v>35.916666666666593</v>
      </c>
      <c r="C440" s="17">
        <f t="shared" si="44"/>
        <v>35.916666666666593</v>
      </c>
      <c r="D440" s="1" cm="1">
        <f t="array" ref="D440">_xlfn.XLOOKUP(_xlfn.FLOOR.MATH(C440),'Mortality Tables'!$B$4:$B$124,_xlfn.XLOOKUP(mortality_table,'Mortality Tables'!$B$3:$G$3,'Mortality Tables'!$B$4:$G$124,0,0),0,0)</f>
        <v>6.8900000000000005E-4</v>
      </c>
      <c r="E440" s="1">
        <f t="shared" si="45"/>
        <v>5.7416666666666669E-5</v>
      </c>
      <c r="F440" s="1">
        <f t="shared" si="49"/>
        <v>0.9999425833333333</v>
      </c>
      <c r="G440" s="1">
        <f t="shared" si="50"/>
        <v>0.98125209752447051</v>
      </c>
      <c r="H440" s="34">
        <f t="shared" si="46"/>
        <v>0.17336084230083515</v>
      </c>
      <c r="I440" s="36">
        <f t="shared" si="47"/>
        <v>0.17011069013630345</v>
      </c>
    </row>
    <row r="441" spans="2:9" x14ac:dyDescent="0.35">
      <c r="B441" s="16">
        <f t="shared" si="48"/>
        <v>35.999999999999929</v>
      </c>
      <c r="C441" s="17">
        <f t="shared" si="44"/>
        <v>35.999999999999929</v>
      </c>
      <c r="D441" s="1" cm="1">
        <f t="array" ref="D441">_xlfn.XLOOKUP(_xlfn.FLOOR.MATH(C441),'Mortality Tables'!$B$4:$B$124,_xlfn.XLOOKUP(mortality_table,'Mortality Tables'!$B$3:$G$3,'Mortality Tables'!$B$4:$G$124,0,0),0,0)</f>
        <v>6.8900000000000005E-4</v>
      </c>
      <c r="E441" s="1">
        <f t="shared" si="45"/>
        <v>5.7416666666666669E-5</v>
      </c>
      <c r="F441" s="1">
        <f t="shared" si="49"/>
        <v>0.9999425833333333</v>
      </c>
      <c r="G441" s="1">
        <f t="shared" si="50"/>
        <v>0.98119575729987096</v>
      </c>
      <c r="H441" s="34">
        <f t="shared" si="46"/>
        <v>0.17265741462150247</v>
      </c>
      <c r="I441" s="36">
        <f t="shared" si="47"/>
        <v>0.16941072269298293</v>
      </c>
    </row>
    <row r="442" spans="2:9" x14ac:dyDescent="0.35">
      <c r="B442" s="16">
        <f t="shared" si="48"/>
        <v>36.083333333333265</v>
      </c>
      <c r="C442" s="17">
        <f t="shared" si="44"/>
        <v>36.083333333333265</v>
      </c>
      <c r="D442" s="1" cm="1">
        <f t="array" ref="D442">_xlfn.XLOOKUP(_xlfn.FLOOR.MATH(C442),'Mortality Tables'!$B$4:$B$124,_xlfn.XLOOKUP(mortality_table,'Mortality Tables'!$B$3:$G$3,'Mortality Tables'!$B$4:$G$124,0,0),0,0)</f>
        <v>7.2400000000000003E-4</v>
      </c>
      <c r="E442" s="1">
        <f t="shared" si="45"/>
        <v>6.0333333333333334E-5</v>
      </c>
      <c r="F442" s="1">
        <f t="shared" si="49"/>
        <v>0.99993966666666667</v>
      </c>
      <c r="G442" s="1">
        <f t="shared" si="50"/>
        <v>0.98113942031013934</v>
      </c>
      <c r="H442" s="34">
        <f t="shared" si="46"/>
        <v>0.17195684116515048</v>
      </c>
      <c r="I442" s="36">
        <f t="shared" si="47"/>
        <v>0.16871363545913845</v>
      </c>
    </row>
    <row r="443" spans="2:9" x14ac:dyDescent="0.35">
      <c r="B443" s="16">
        <f t="shared" si="48"/>
        <v>36.1666666666666</v>
      </c>
      <c r="C443" s="17">
        <f t="shared" si="44"/>
        <v>36.1666666666666</v>
      </c>
      <c r="D443" s="1" cm="1">
        <f t="array" ref="D443">_xlfn.XLOOKUP(_xlfn.FLOOR.MATH(C443),'Mortality Tables'!$B$4:$B$124,_xlfn.XLOOKUP(mortality_table,'Mortality Tables'!$B$3:$G$3,'Mortality Tables'!$B$4:$G$124,0,0),0,0)</f>
        <v>7.2400000000000003E-4</v>
      </c>
      <c r="E443" s="1">
        <f t="shared" si="45"/>
        <v>6.0333333333333334E-5</v>
      </c>
      <c r="F443" s="1">
        <f t="shared" si="49"/>
        <v>0.99993966666666667</v>
      </c>
      <c r="G443" s="1">
        <f t="shared" si="50"/>
        <v>0.98108022489844726</v>
      </c>
      <c r="H443" s="34">
        <f t="shared" si="46"/>
        <v>0.17125911035050501</v>
      </c>
      <c r="I443" s="36">
        <f t="shared" si="47"/>
        <v>0.16801892649858144</v>
      </c>
    </row>
    <row r="444" spans="2:9" x14ac:dyDescent="0.35">
      <c r="B444" s="16">
        <f t="shared" si="48"/>
        <v>36.249999999999936</v>
      </c>
      <c r="C444" s="17">
        <f t="shared" si="44"/>
        <v>36.249999999999936</v>
      </c>
      <c r="D444" s="1" cm="1">
        <f t="array" ref="D444">_xlfn.XLOOKUP(_xlfn.FLOOR.MATH(C444),'Mortality Tables'!$B$4:$B$124,_xlfn.XLOOKUP(mortality_table,'Mortality Tables'!$B$3:$G$3,'Mortality Tables'!$B$4:$G$124,0,0),0,0)</f>
        <v>7.2400000000000003E-4</v>
      </c>
      <c r="E444" s="1">
        <f t="shared" si="45"/>
        <v>6.0333333333333334E-5</v>
      </c>
      <c r="F444" s="1">
        <f t="shared" si="49"/>
        <v>0.99993966666666667</v>
      </c>
      <c r="G444" s="1">
        <f t="shared" si="50"/>
        <v>0.98102103305821176</v>
      </c>
      <c r="H444" s="34">
        <f t="shared" si="46"/>
        <v>0.17056421064328398</v>
      </c>
      <c r="I444" s="36">
        <f t="shared" si="47"/>
        <v>0.16732707812803288</v>
      </c>
    </row>
    <row r="445" spans="2:9" x14ac:dyDescent="0.35">
      <c r="B445" s="16">
        <f t="shared" si="48"/>
        <v>36.333333333333272</v>
      </c>
      <c r="C445" s="17">
        <f t="shared" si="44"/>
        <v>36.333333333333272</v>
      </c>
      <c r="D445" s="1" cm="1">
        <f t="array" ref="D445">_xlfn.XLOOKUP(_xlfn.FLOOR.MATH(C445),'Mortality Tables'!$B$4:$B$124,_xlfn.XLOOKUP(mortality_table,'Mortality Tables'!$B$3:$G$3,'Mortality Tables'!$B$4:$G$124,0,0),0,0)</f>
        <v>7.2400000000000003E-4</v>
      </c>
      <c r="E445" s="1">
        <f t="shared" si="45"/>
        <v>6.0333333333333334E-5</v>
      </c>
      <c r="F445" s="1">
        <f t="shared" si="49"/>
        <v>0.99993966666666667</v>
      </c>
      <c r="G445" s="1">
        <f t="shared" si="50"/>
        <v>0.98096184478921722</v>
      </c>
      <c r="H445" s="34">
        <f t="shared" si="46"/>
        <v>0.16987213055600672</v>
      </c>
      <c r="I445" s="36">
        <f t="shared" si="47"/>
        <v>0.16663807856849511</v>
      </c>
    </row>
    <row r="446" spans="2:9" x14ac:dyDescent="0.35">
      <c r="B446" s="16">
        <f t="shared" si="48"/>
        <v>36.416666666666607</v>
      </c>
      <c r="C446" s="17">
        <f t="shared" si="44"/>
        <v>36.416666666666607</v>
      </c>
      <c r="D446" s="1" cm="1">
        <f t="array" ref="D446">_xlfn.XLOOKUP(_xlfn.FLOOR.MATH(C446),'Mortality Tables'!$B$4:$B$124,_xlfn.XLOOKUP(mortality_table,'Mortality Tables'!$B$3:$G$3,'Mortality Tables'!$B$4:$G$124,0,0),0,0)</f>
        <v>7.2400000000000003E-4</v>
      </c>
      <c r="E446" s="1">
        <f t="shared" si="45"/>
        <v>6.0333333333333334E-5</v>
      </c>
      <c r="F446" s="1">
        <f t="shared" si="49"/>
        <v>0.99993966666666667</v>
      </c>
      <c r="G446" s="1">
        <f t="shared" si="50"/>
        <v>0.98090266009124827</v>
      </c>
      <c r="H446" s="34">
        <f t="shared" si="46"/>
        <v>0.16918285864780408</v>
      </c>
      <c r="I446" s="36">
        <f t="shared" si="47"/>
        <v>0.16595191608947266</v>
      </c>
    </row>
    <row r="447" spans="2:9" x14ac:dyDescent="0.35">
      <c r="B447" s="16">
        <f t="shared" si="48"/>
        <v>36.499999999999943</v>
      </c>
      <c r="C447" s="17">
        <f t="shared" si="44"/>
        <v>36.499999999999943</v>
      </c>
      <c r="D447" s="1" cm="1">
        <f t="array" ref="D447">_xlfn.XLOOKUP(_xlfn.FLOOR.MATH(C447),'Mortality Tables'!$B$4:$B$124,_xlfn.XLOOKUP(mortality_table,'Mortality Tables'!$B$3:$G$3,'Mortality Tables'!$B$4:$G$124,0,0),0,0)</f>
        <v>7.2400000000000003E-4</v>
      </c>
      <c r="E447" s="1">
        <f t="shared" si="45"/>
        <v>6.0333333333333334E-5</v>
      </c>
      <c r="F447" s="1">
        <f t="shared" si="49"/>
        <v>0.99993966666666667</v>
      </c>
      <c r="G447" s="1">
        <f t="shared" si="50"/>
        <v>0.98084347896408941</v>
      </c>
      <c r="H447" s="34">
        <f t="shared" si="46"/>
        <v>0.16849638352422927</v>
      </c>
      <c r="I447" s="36">
        <f t="shared" si="47"/>
        <v>0.16526857900877251</v>
      </c>
    </row>
    <row r="448" spans="2:9" x14ac:dyDescent="0.35">
      <c r="B448" s="16">
        <f t="shared" si="48"/>
        <v>36.583333333333279</v>
      </c>
      <c r="C448" s="17">
        <f t="shared" si="44"/>
        <v>36.583333333333279</v>
      </c>
      <c r="D448" s="1" cm="1">
        <f t="array" ref="D448">_xlfn.XLOOKUP(_xlfn.FLOOR.MATH(C448),'Mortality Tables'!$B$4:$B$124,_xlfn.XLOOKUP(mortality_table,'Mortality Tables'!$B$3:$G$3,'Mortality Tables'!$B$4:$G$124,0,0),0,0)</f>
        <v>7.2400000000000003E-4</v>
      </c>
      <c r="E448" s="1">
        <f t="shared" si="45"/>
        <v>6.0333333333333334E-5</v>
      </c>
      <c r="F448" s="1">
        <f t="shared" si="49"/>
        <v>0.99993966666666667</v>
      </c>
      <c r="G448" s="1">
        <f t="shared" si="50"/>
        <v>0.98078430140752526</v>
      </c>
      <c r="H448" s="34">
        <f t="shared" si="46"/>
        <v>0.16781269383706957</v>
      </c>
      <c r="I448" s="36">
        <f t="shared" si="47"/>
        <v>0.1645880556923052</v>
      </c>
    </row>
    <row r="449" spans="2:9" x14ac:dyDescent="0.35">
      <c r="B449" s="16">
        <f t="shared" si="48"/>
        <v>36.666666666666615</v>
      </c>
      <c r="C449" s="17">
        <f t="shared" si="44"/>
        <v>36.666666666666615</v>
      </c>
      <c r="D449" s="1" cm="1">
        <f t="array" ref="D449">_xlfn.XLOOKUP(_xlfn.FLOOR.MATH(C449),'Mortality Tables'!$B$4:$B$124,_xlfn.XLOOKUP(mortality_table,'Mortality Tables'!$B$3:$G$3,'Mortality Tables'!$B$4:$G$124,0,0),0,0)</f>
        <v>7.2400000000000003E-4</v>
      </c>
      <c r="E449" s="1">
        <f t="shared" si="45"/>
        <v>6.0333333333333334E-5</v>
      </c>
      <c r="F449" s="1">
        <f t="shared" si="49"/>
        <v>0.99993966666666667</v>
      </c>
      <c r="G449" s="1">
        <f t="shared" si="50"/>
        <v>0.98072512742134033</v>
      </c>
      <c r="H449" s="34">
        <f t="shared" si="46"/>
        <v>0.16713177828415859</v>
      </c>
      <c r="I449" s="36">
        <f t="shared" si="47"/>
        <v>0.16391033455388665</v>
      </c>
    </row>
    <row r="450" spans="2:9" x14ac:dyDescent="0.35">
      <c r="B450" s="16">
        <f t="shared" si="48"/>
        <v>36.74999999999995</v>
      </c>
      <c r="C450" s="17">
        <f t="shared" si="44"/>
        <v>36.74999999999995</v>
      </c>
      <c r="D450" s="1" cm="1">
        <f t="array" ref="D450">_xlfn.XLOOKUP(_xlfn.FLOOR.MATH(C450),'Mortality Tables'!$B$4:$B$124,_xlfn.XLOOKUP(mortality_table,'Mortality Tables'!$B$3:$G$3,'Mortality Tables'!$B$4:$G$124,0,0),0,0)</f>
        <v>7.2400000000000003E-4</v>
      </c>
      <c r="E450" s="1">
        <f t="shared" si="45"/>
        <v>6.0333333333333334E-5</v>
      </c>
      <c r="F450" s="1">
        <f t="shared" si="49"/>
        <v>0.99993966666666667</v>
      </c>
      <c r="G450" s="1">
        <f t="shared" si="50"/>
        <v>0.98066595700531922</v>
      </c>
      <c r="H450" s="34">
        <f t="shared" si="46"/>
        <v>0.16645362560918969</v>
      </c>
      <c r="I450" s="36">
        <f t="shared" si="47"/>
        <v>0.16323540405504111</v>
      </c>
    </row>
    <row r="451" spans="2:9" x14ac:dyDescent="0.35">
      <c r="B451" s="16">
        <f t="shared" si="48"/>
        <v>36.833333333333286</v>
      </c>
      <c r="C451" s="17">
        <f t="shared" si="44"/>
        <v>36.833333333333286</v>
      </c>
      <c r="D451" s="1" cm="1">
        <f t="array" ref="D451">_xlfn.XLOOKUP(_xlfn.FLOOR.MATH(C451),'Mortality Tables'!$B$4:$B$124,_xlfn.XLOOKUP(mortality_table,'Mortality Tables'!$B$3:$G$3,'Mortality Tables'!$B$4:$G$124,0,0),0,0)</f>
        <v>7.2400000000000003E-4</v>
      </c>
      <c r="E451" s="1">
        <f t="shared" si="45"/>
        <v>6.0333333333333334E-5</v>
      </c>
      <c r="F451" s="1">
        <f t="shared" si="49"/>
        <v>0.99993966666666667</v>
      </c>
      <c r="G451" s="1">
        <f t="shared" si="50"/>
        <v>0.98060679015924657</v>
      </c>
      <c r="H451" s="34">
        <f t="shared" si="46"/>
        <v>0.16577822460152958</v>
      </c>
      <c r="I451" s="36">
        <f t="shared" si="47"/>
        <v>0.16256325270480457</v>
      </c>
    </row>
    <row r="452" spans="2:9" x14ac:dyDescent="0.35">
      <c r="B452" s="16">
        <f t="shared" si="48"/>
        <v>36.916666666666622</v>
      </c>
      <c r="C452" s="17">
        <f t="shared" si="44"/>
        <v>36.916666666666622</v>
      </c>
      <c r="D452" s="1" cm="1">
        <f t="array" ref="D452">_xlfn.XLOOKUP(_xlfn.FLOOR.MATH(C452),'Mortality Tables'!$B$4:$B$124,_xlfn.XLOOKUP(mortality_table,'Mortality Tables'!$B$3:$G$3,'Mortality Tables'!$B$4:$G$124,0,0),0,0)</f>
        <v>7.2400000000000003E-4</v>
      </c>
      <c r="E452" s="1">
        <f t="shared" si="45"/>
        <v>6.0333333333333334E-5</v>
      </c>
      <c r="F452" s="1">
        <f t="shared" si="49"/>
        <v>0.99993966666666667</v>
      </c>
      <c r="G452" s="1">
        <f t="shared" si="50"/>
        <v>0.98054762688290698</v>
      </c>
      <c r="H452" s="34">
        <f t="shared" si="46"/>
        <v>0.16510556409603327</v>
      </c>
      <c r="I452" s="36">
        <f t="shared" si="47"/>
        <v>0.16189386905952913</v>
      </c>
    </row>
    <row r="453" spans="2:9" x14ac:dyDescent="0.35">
      <c r="B453" s="16">
        <f t="shared" si="48"/>
        <v>36.999999999999957</v>
      </c>
      <c r="C453" s="17">
        <f t="shared" si="44"/>
        <v>36.999999999999957</v>
      </c>
      <c r="D453" s="1" cm="1">
        <f t="array" ref="D453">_xlfn.XLOOKUP(_xlfn.FLOOR.MATH(C453),'Mortality Tables'!$B$4:$B$124,_xlfn.XLOOKUP(mortality_table,'Mortality Tables'!$B$3:$G$3,'Mortality Tables'!$B$4:$G$124,0,0),0,0)</f>
        <v>7.6499999999999995E-4</v>
      </c>
      <c r="E453" s="1">
        <f t="shared" si="45"/>
        <v>6.3749999999999991E-5</v>
      </c>
      <c r="F453" s="1">
        <f t="shared" si="49"/>
        <v>0.99993624999999997</v>
      </c>
      <c r="G453" s="1">
        <f t="shared" si="50"/>
        <v>0.98048846717608507</v>
      </c>
      <c r="H453" s="34">
        <f t="shared" si="46"/>
        <v>0.16443563297285926</v>
      </c>
      <c r="I453" s="36">
        <f t="shared" si="47"/>
        <v>0.1612272417226881</v>
      </c>
    </row>
    <row r="454" spans="2:9" x14ac:dyDescent="0.35">
      <c r="B454" s="16">
        <f t="shared" si="48"/>
        <v>37.083333333333293</v>
      </c>
      <c r="C454" s="17">
        <f t="shared" si="44"/>
        <v>37.083333333333293</v>
      </c>
      <c r="D454" s="1" cm="1">
        <f t="array" ref="D454">_xlfn.XLOOKUP(_xlfn.FLOOR.MATH(C454),'Mortality Tables'!$B$4:$B$124,_xlfn.XLOOKUP(mortality_table,'Mortality Tables'!$B$3:$G$3,'Mortality Tables'!$B$4:$G$124,0,0),0,0)</f>
        <v>7.6499999999999995E-4</v>
      </c>
      <c r="E454" s="1">
        <f t="shared" si="45"/>
        <v>6.3749999999999991E-5</v>
      </c>
      <c r="F454" s="1">
        <f t="shared" si="49"/>
        <v>0.99993624999999997</v>
      </c>
      <c r="G454" s="1">
        <f t="shared" si="50"/>
        <v>0.98042596103630253</v>
      </c>
      <c r="H454" s="34">
        <f t="shared" si="46"/>
        <v>0.16376842015728593</v>
      </c>
      <c r="I454" s="36">
        <f t="shared" si="47"/>
        <v>0.16056281072010403</v>
      </c>
    </row>
    <row r="455" spans="2:9" x14ac:dyDescent="0.35">
      <c r="B455" s="16">
        <f t="shared" si="48"/>
        <v>37.166666666666629</v>
      </c>
      <c r="C455" s="17">
        <f t="shared" si="44"/>
        <v>37.166666666666629</v>
      </c>
      <c r="D455" s="1" cm="1">
        <f t="array" ref="D455">_xlfn.XLOOKUP(_xlfn.FLOOR.MATH(C455),'Mortality Tables'!$B$4:$B$124,_xlfn.XLOOKUP(mortality_table,'Mortality Tables'!$B$3:$G$3,'Mortality Tables'!$B$4:$G$124,0,0),0,0)</f>
        <v>7.6499999999999995E-4</v>
      </c>
      <c r="E455" s="1">
        <f t="shared" si="45"/>
        <v>6.3749999999999991E-5</v>
      </c>
      <c r="F455" s="1">
        <f t="shared" si="49"/>
        <v>0.99993624999999997</v>
      </c>
      <c r="G455" s="1">
        <f t="shared" si="50"/>
        <v>0.9803634588812864</v>
      </c>
      <c r="H455" s="34">
        <f t="shared" si="46"/>
        <v>0.16310391461952833</v>
      </c>
      <c r="I455" s="36">
        <f t="shared" si="47"/>
        <v>0.1599011178934788</v>
      </c>
    </row>
    <row r="456" spans="2:9" x14ac:dyDescent="0.35">
      <c r="B456" s="16">
        <f t="shared" si="48"/>
        <v>37.249999999999964</v>
      </c>
      <c r="C456" s="17">
        <f t="shared" si="44"/>
        <v>37.249999999999964</v>
      </c>
      <c r="D456" s="1" cm="1">
        <f t="array" ref="D456">_xlfn.XLOOKUP(_xlfn.FLOOR.MATH(C456),'Mortality Tables'!$B$4:$B$124,_xlfn.XLOOKUP(mortality_table,'Mortality Tables'!$B$3:$G$3,'Mortality Tables'!$B$4:$G$124,0,0),0,0)</f>
        <v>7.6499999999999995E-4</v>
      </c>
      <c r="E456" s="1">
        <f t="shared" si="45"/>
        <v>6.3749999999999991E-5</v>
      </c>
      <c r="F456" s="1">
        <f t="shared" si="49"/>
        <v>0.99993624999999997</v>
      </c>
      <c r="G456" s="1">
        <f t="shared" si="50"/>
        <v>0.98030096071078265</v>
      </c>
      <c r="H456" s="34">
        <f t="shared" si="46"/>
        <v>0.16244210537455592</v>
      </c>
      <c r="I456" s="36">
        <f t="shared" si="47"/>
        <v>0.15924215195855937</v>
      </c>
    </row>
    <row r="457" spans="2:9" x14ac:dyDescent="0.35">
      <c r="B457" s="16">
        <f t="shared" si="48"/>
        <v>37.3333333333333</v>
      </c>
      <c r="C457" s="17">
        <f t="shared" ref="C457:C520" si="51">current_age+B457</f>
        <v>37.3333333333333</v>
      </c>
      <c r="D457" s="1" cm="1">
        <f t="array" ref="D457">_xlfn.XLOOKUP(_xlfn.FLOOR.MATH(C457),'Mortality Tables'!$B$4:$B$124,_xlfn.XLOOKUP(mortality_table,'Mortality Tables'!$B$3:$G$3,'Mortality Tables'!$B$4:$G$124,0,0),0,0)</f>
        <v>7.6499999999999995E-4</v>
      </c>
      <c r="E457" s="1">
        <f t="shared" ref="E457:E520" si="52">$F$5*D457</f>
        <v>6.3749999999999991E-5</v>
      </c>
      <c r="F457" s="1">
        <f t="shared" si="49"/>
        <v>0.99993624999999997</v>
      </c>
      <c r="G457" s="1">
        <f t="shared" si="50"/>
        <v>0.98023846652453728</v>
      </c>
      <c r="H457" s="34">
        <f t="shared" ref="H457:H520" si="53">(1+interest_rate)^-(B457)</f>
        <v>0.16178298148191095</v>
      </c>
      <c r="I457" s="36">
        <f t="shared" ref="I457:I520" si="54">IF(current_age+B457&lt;=$C$5,G457*H457,0)</f>
        <v>0.15858590167759601</v>
      </c>
    </row>
    <row r="458" spans="2:9" x14ac:dyDescent="0.35">
      <c r="B458" s="16">
        <f t="shared" ref="B458:B521" si="55">B457+$F$5</f>
        <v>37.416666666666636</v>
      </c>
      <c r="C458" s="17">
        <f t="shared" si="51"/>
        <v>37.416666666666636</v>
      </c>
      <c r="D458" s="1" cm="1">
        <f t="array" ref="D458">_xlfn.XLOOKUP(_xlfn.FLOOR.MATH(C458),'Mortality Tables'!$B$4:$B$124,_xlfn.XLOOKUP(mortality_table,'Mortality Tables'!$B$3:$G$3,'Mortality Tables'!$B$4:$G$124,0,0),0,0)</f>
        <v>7.6499999999999995E-4</v>
      </c>
      <c r="E458" s="1">
        <f t="shared" si="52"/>
        <v>6.3749999999999991E-5</v>
      </c>
      <c r="F458" s="1">
        <f t="shared" si="49"/>
        <v>0.99993624999999997</v>
      </c>
      <c r="G458" s="1">
        <f t="shared" si="50"/>
        <v>0.98017597632229636</v>
      </c>
      <c r="H458" s="34">
        <f t="shared" si="53"/>
        <v>0.16112653204552749</v>
      </c>
      <c r="I458" s="36">
        <f t="shared" si="54"/>
        <v>0.15793235585915066</v>
      </c>
    </row>
    <row r="459" spans="2:9" x14ac:dyDescent="0.35">
      <c r="B459" s="16">
        <f t="shared" si="55"/>
        <v>37.499999999999972</v>
      </c>
      <c r="C459" s="17">
        <f t="shared" si="51"/>
        <v>37.499999999999972</v>
      </c>
      <c r="D459" s="1" cm="1">
        <f t="array" ref="D459">_xlfn.XLOOKUP(_xlfn.FLOOR.MATH(C459),'Mortality Tables'!$B$4:$B$124,_xlfn.XLOOKUP(mortality_table,'Mortality Tables'!$B$3:$G$3,'Mortality Tables'!$B$4:$G$124,0,0),0,0)</f>
        <v>7.6499999999999995E-4</v>
      </c>
      <c r="E459" s="1">
        <f t="shared" si="52"/>
        <v>6.3749999999999991E-5</v>
      </c>
      <c r="F459" s="1">
        <f t="shared" si="49"/>
        <v>0.99993624999999997</v>
      </c>
      <c r="G459" s="1">
        <f t="shared" si="50"/>
        <v>0.98011349010380577</v>
      </c>
      <c r="H459" s="34">
        <f t="shared" si="53"/>
        <v>0.16047274621355145</v>
      </c>
      <c r="I459" s="36">
        <f t="shared" si="54"/>
        <v>0.15728150335790619</v>
      </c>
    </row>
    <row r="460" spans="2:9" x14ac:dyDescent="0.35">
      <c r="B460" s="16">
        <f t="shared" si="55"/>
        <v>37.583333333333307</v>
      </c>
      <c r="C460" s="17">
        <f t="shared" si="51"/>
        <v>37.583333333333307</v>
      </c>
      <c r="D460" s="1" cm="1">
        <f t="array" ref="D460">_xlfn.XLOOKUP(_xlfn.FLOOR.MATH(C460),'Mortality Tables'!$B$4:$B$124,_xlfn.XLOOKUP(mortality_table,'Mortality Tables'!$B$3:$G$3,'Mortality Tables'!$B$4:$G$124,0,0),0,0)</f>
        <v>7.6499999999999995E-4</v>
      </c>
      <c r="E460" s="1">
        <f t="shared" si="52"/>
        <v>6.3749999999999991E-5</v>
      </c>
      <c r="F460" s="1">
        <f t="shared" si="49"/>
        <v>0.99993624999999997</v>
      </c>
      <c r="G460" s="1">
        <f t="shared" si="50"/>
        <v>0.98005100786881161</v>
      </c>
      <c r="H460" s="34">
        <f t="shared" si="53"/>
        <v>0.15982161317816126</v>
      </c>
      <c r="I460" s="36">
        <f t="shared" si="54"/>
        <v>0.1566333330744763</v>
      </c>
    </row>
    <row r="461" spans="2:9" x14ac:dyDescent="0.35">
      <c r="B461" s="16">
        <f t="shared" si="55"/>
        <v>37.666666666666643</v>
      </c>
      <c r="C461" s="17">
        <f t="shared" si="51"/>
        <v>37.666666666666643</v>
      </c>
      <c r="D461" s="1" cm="1">
        <f t="array" ref="D461">_xlfn.XLOOKUP(_xlfn.FLOOR.MATH(C461),'Mortality Tables'!$B$4:$B$124,_xlfn.XLOOKUP(mortality_table,'Mortality Tables'!$B$3:$G$3,'Mortality Tables'!$B$4:$G$124,0,0),0,0)</f>
        <v>7.6499999999999995E-4</v>
      </c>
      <c r="E461" s="1">
        <f t="shared" si="52"/>
        <v>6.3749999999999991E-5</v>
      </c>
      <c r="F461" s="1">
        <f t="shared" si="49"/>
        <v>0.99993624999999997</v>
      </c>
      <c r="G461" s="1">
        <f t="shared" si="50"/>
        <v>0.97998852961705996</v>
      </c>
      <c r="H461" s="34">
        <f t="shared" si="53"/>
        <v>0.15917312217538893</v>
      </c>
      <c r="I461" s="36">
        <f t="shared" si="54"/>
        <v>0.15598783395521604</v>
      </c>
    </row>
    <row r="462" spans="2:9" x14ac:dyDescent="0.35">
      <c r="B462" s="16">
        <f t="shared" si="55"/>
        <v>37.749999999999979</v>
      </c>
      <c r="C462" s="17">
        <f t="shared" si="51"/>
        <v>37.749999999999979</v>
      </c>
      <c r="D462" s="1" cm="1">
        <f t="array" ref="D462">_xlfn.XLOOKUP(_xlfn.FLOOR.MATH(C462),'Mortality Tables'!$B$4:$B$124,_xlfn.XLOOKUP(mortality_table,'Mortality Tables'!$B$3:$G$3,'Mortality Tables'!$B$4:$G$124,0,0),0,0)</f>
        <v>7.6499999999999995E-4</v>
      </c>
      <c r="E462" s="1">
        <f t="shared" si="52"/>
        <v>6.3749999999999991E-5</v>
      </c>
      <c r="F462" s="1">
        <f t="shared" si="49"/>
        <v>0.99993624999999997</v>
      </c>
      <c r="G462" s="1">
        <f t="shared" si="50"/>
        <v>0.9799260553482968</v>
      </c>
      <c r="H462" s="34">
        <f t="shared" si="53"/>
        <v>0.15852726248494237</v>
      </c>
      <c r="I462" s="36">
        <f t="shared" si="54"/>
        <v>0.15534499499203361</v>
      </c>
    </row>
    <row r="463" spans="2:9" x14ac:dyDescent="0.35">
      <c r="B463" s="16">
        <f t="shared" si="55"/>
        <v>37.833333333333314</v>
      </c>
      <c r="C463" s="17">
        <f t="shared" si="51"/>
        <v>37.833333333333314</v>
      </c>
      <c r="D463" s="1" cm="1">
        <f t="array" ref="D463">_xlfn.XLOOKUP(_xlfn.FLOOR.MATH(C463),'Mortality Tables'!$B$4:$B$124,_xlfn.XLOOKUP(mortality_table,'Mortality Tables'!$B$3:$G$3,'Mortality Tables'!$B$4:$G$124,0,0),0,0)</f>
        <v>7.6499999999999995E-4</v>
      </c>
      <c r="E463" s="1">
        <f t="shared" si="52"/>
        <v>6.3749999999999991E-5</v>
      </c>
      <c r="F463" s="1">
        <f t="shared" si="49"/>
        <v>0.99993624999999997</v>
      </c>
      <c r="G463" s="1">
        <f t="shared" si="50"/>
        <v>0.97986358506226834</v>
      </c>
      <c r="H463" s="34">
        <f t="shared" si="53"/>
        <v>0.15788402343002797</v>
      </c>
      <c r="I463" s="36">
        <f t="shared" si="54"/>
        <v>0.15470480522220237</v>
      </c>
    </row>
    <row r="464" spans="2:9" x14ac:dyDescent="0.35">
      <c r="B464" s="16">
        <f t="shared" si="55"/>
        <v>37.91666666666665</v>
      </c>
      <c r="C464" s="17">
        <f t="shared" si="51"/>
        <v>37.91666666666665</v>
      </c>
      <c r="D464" s="1" cm="1">
        <f t="array" ref="D464">_xlfn.XLOOKUP(_xlfn.FLOOR.MATH(C464),'Mortality Tables'!$B$4:$B$124,_xlfn.XLOOKUP(mortality_table,'Mortality Tables'!$B$3:$G$3,'Mortality Tables'!$B$4:$G$124,0,0),0,0)</f>
        <v>7.6499999999999995E-4</v>
      </c>
      <c r="E464" s="1">
        <f t="shared" si="52"/>
        <v>6.3749999999999991E-5</v>
      </c>
      <c r="F464" s="1">
        <f t="shared" si="49"/>
        <v>0.99993624999999997</v>
      </c>
      <c r="G464" s="1">
        <f t="shared" si="50"/>
        <v>0.97980111875872056</v>
      </c>
      <c r="H464" s="34">
        <f t="shared" si="53"/>
        <v>0.15724339437717433</v>
      </c>
      <c r="I464" s="36">
        <f t="shared" si="54"/>
        <v>0.15406725372817412</v>
      </c>
    </row>
    <row r="465" spans="2:9" x14ac:dyDescent="0.35">
      <c r="B465" s="16">
        <f t="shared" si="55"/>
        <v>37.999999999999986</v>
      </c>
      <c r="C465" s="17">
        <f t="shared" si="51"/>
        <v>37.999999999999986</v>
      </c>
      <c r="D465" s="1" cm="1">
        <f t="array" ref="D465">_xlfn.XLOOKUP(_xlfn.FLOOR.MATH(C465),'Mortality Tables'!$B$4:$B$124,_xlfn.XLOOKUP(mortality_table,'Mortality Tables'!$B$3:$G$3,'Mortality Tables'!$B$4:$G$124,0,0),0,0)</f>
        <v>8.1300000000000003E-4</v>
      </c>
      <c r="E465" s="1">
        <f t="shared" si="52"/>
        <v>6.7749999999999993E-5</v>
      </c>
      <c r="F465" s="1">
        <f t="shared" si="49"/>
        <v>0.99993224999999997</v>
      </c>
      <c r="G465" s="1">
        <f t="shared" si="50"/>
        <v>0.97973865643739966</v>
      </c>
      <c r="H465" s="34">
        <f t="shared" si="53"/>
        <v>0.15660536473605621</v>
      </c>
      <c r="I465" s="36">
        <f t="shared" si="54"/>
        <v>0.15343232963739264</v>
      </c>
    </row>
    <row r="466" spans="2:9" x14ac:dyDescent="0.35">
      <c r="B466" s="16">
        <f t="shared" si="55"/>
        <v>38.083333333333321</v>
      </c>
      <c r="C466" s="17">
        <f t="shared" si="51"/>
        <v>38.083333333333321</v>
      </c>
      <c r="D466" s="1" cm="1">
        <f t="array" ref="D466">_xlfn.XLOOKUP(_xlfn.FLOOR.MATH(C466),'Mortality Tables'!$B$4:$B$124,_xlfn.XLOOKUP(mortality_table,'Mortality Tables'!$B$3:$G$3,'Mortality Tables'!$B$4:$G$124,0,0),0,0)</f>
        <v>8.1300000000000003E-4</v>
      </c>
      <c r="E466" s="1">
        <f t="shared" si="52"/>
        <v>6.7749999999999993E-5</v>
      </c>
      <c r="F466" s="1">
        <f t="shared" si="49"/>
        <v>0.99993224999999997</v>
      </c>
      <c r="G466" s="1">
        <f t="shared" si="50"/>
        <v>0.97967227914342603</v>
      </c>
      <c r="H466" s="34">
        <f t="shared" si="53"/>
        <v>0.15596992395931969</v>
      </c>
      <c r="I466" s="36">
        <f t="shared" si="54"/>
        <v>0.15279941088305357</v>
      </c>
    </row>
    <row r="467" spans="2:9" x14ac:dyDescent="0.35">
      <c r="B467" s="16">
        <f t="shared" si="55"/>
        <v>38.166666666666657</v>
      </c>
      <c r="C467" s="17">
        <f t="shared" si="51"/>
        <v>38.166666666666657</v>
      </c>
      <c r="D467" s="1" cm="1">
        <f t="array" ref="D467">_xlfn.XLOOKUP(_xlfn.FLOOR.MATH(C467),'Mortality Tables'!$B$4:$B$124,_xlfn.XLOOKUP(mortality_table,'Mortality Tables'!$B$3:$G$3,'Mortality Tables'!$B$4:$G$124,0,0),0,0)</f>
        <v>8.1300000000000003E-4</v>
      </c>
      <c r="E467" s="1">
        <f t="shared" si="52"/>
        <v>6.7749999999999993E-5</v>
      </c>
      <c r="F467" s="1">
        <f t="shared" si="49"/>
        <v>0.99993224999999997</v>
      </c>
      <c r="G467" s="1">
        <f t="shared" si="50"/>
        <v>0.97960590634651401</v>
      </c>
      <c r="H467" s="34">
        <f t="shared" si="53"/>
        <v>0.15533706154240773</v>
      </c>
      <c r="I467" s="36">
        <f t="shared" si="54"/>
        <v>0.15216910296145456</v>
      </c>
    </row>
    <row r="468" spans="2:9" x14ac:dyDescent="0.35">
      <c r="B468" s="16">
        <f t="shared" si="55"/>
        <v>38.249999999999993</v>
      </c>
      <c r="C468" s="17">
        <f t="shared" si="51"/>
        <v>38.249999999999993</v>
      </c>
      <c r="D468" s="1" cm="1">
        <f t="array" ref="D468">_xlfn.XLOOKUP(_xlfn.FLOOR.MATH(C468),'Mortality Tables'!$B$4:$B$124,_xlfn.XLOOKUP(mortality_table,'Mortality Tables'!$B$3:$G$3,'Mortality Tables'!$B$4:$G$124,0,0),0,0)</f>
        <v>8.1300000000000003E-4</v>
      </c>
      <c r="E468" s="1">
        <f t="shared" si="52"/>
        <v>6.7749999999999993E-5</v>
      </c>
      <c r="F468" s="1">
        <f t="shared" si="49"/>
        <v>0.99993224999999997</v>
      </c>
      <c r="G468" s="1">
        <f t="shared" si="50"/>
        <v>0.97953953804635896</v>
      </c>
      <c r="H468" s="34">
        <f t="shared" si="53"/>
        <v>0.1547067670233864</v>
      </c>
      <c r="I468" s="36">
        <f t="shared" si="54"/>
        <v>0.15154139510273359</v>
      </c>
    </row>
    <row r="469" spans="2:9" x14ac:dyDescent="0.35">
      <c r="B469" s="16">
        <f t="shared" si="55"/>
        <v>38.333333333333329</v>
      </c>
      <c r="C469" s="17">
        <f t="shared" si="51"/>
        <v>38.333333333333329</v>
      </c>
      <c r="D469" s="1" cm="1">
        <f t="array" ref="D469">_xlfn.XLOOKUP(_xlfn.FLOOR.MATH(C469),'Mortality Tables'!$B$4:$B$124,_xlfn.XLOOKUP(mortality_table,'Mortality Tables'!$B$3:$G$3,'Mortality Tables'!$B$4:$G$124,0,0),0,0)</f>
        <v>8.1300000000000003E-4</v>
      </c>
      <c r="E469" s="1">
        <f t="shared" si="52"/>
        <v>6.7749999999999993E-5</v>
      </c>
      <c r="F469" s="1">
        <f t="shared" si="49"/>
        <v>0.99993224999999997</v>
      </c>
      <c r="G469" s="1">
        <f t="shared" si="50"/>
        <v>0.97947317424265634</v>
      </c>
      <c r="H469" s="34">
        <f t="shared" si="53"/>
        <v>0.15407902998277209</v>
      </c>
      <c r="I469" s="36">
        <f t="shared" si="54"/>
        <v>0.15091627658145521</v>
      </c>
    </row>
    <row r="470" spans="2:9" x14ac:dyDescent="0.35">
      <c r="B470" s="16">
        <f t="shared" si="55"/>
        <v>38.416666666666664</v>
      </c>
      <c r="C470" s="17">
        <f t="shared" si="51"/>
        <v>38.416666666666664</v>
      </c>
      <c r="D470" s="1" cm="1">
        <f t="array" ref="D470">_xlfn.XLOOKUP(_xlfn.FLOOR.MATH(C470),'Mortality Tables'!$B$4:$B$124,_xlfn.XLOOKUP(mortality_table,'Mortality Tables'!$B$3:$G$3,'Mortality Tables'!$B$4:$G$124,0,0),0,0)</f>
        <v>8.1300000000000003E-4</v>
      </c>
      <c r="E470" s="1">
        <f t="shared" si="52"/>
        <v>6.7749999999999993E-5</v>
      </c>
      <c r="F470" s="1">
        <f t="shared" si="49"/>
        <v>0.99993224999999997</v>
      </c>
      <c r="G470" s="1">
        <f t="shared" si="50"/>
        <v>0.9794068149351014</v>
      </c>
      <c r="H470" s="34">
        <f t="shared" si="53"/>
        <v>0.15345384004335927</v>
      </c>
      <c r="I470" s="36">
        <f t="shared" si="54"/>
        <v>0.15029373671642701</v>
      </c>
    </row>
    <row r="471" spans="2:9" x14ac:dyDescent="0.35">
      <c r="B471" s="16">
        <f t="shared" si="55"/>
        <v>38.5</v>
      </c>
      <c r="C471" s="17">
        <f t="shared" si="51"/>
        <v>38.5</v>
      </c>
      <c r="D471" s="1" cm="1">
        <f t="array" ref="D471">_xlfn.XLOOKUP(_xlfn.FLOOR.MATH(C471),'Mortality Tables'!$B$4:$B$124,_xlfn.XLOOKUP(mortality_table,'Mortality Tables'!$B$3:$G$3,'Mortality Tables'!$B$4:$G$124,0,0),0,0)</f>
        <v>8.1300000000000003E-4</v>
      </c>
      <c r="E471" s="1">
        <f t="shared" si="52"/>
        <v>6.7749999999999993E-5</v>
      </c>
      <c r="F471" s="1">
        <f t="shared" si="49"/>
        <v>0.99993224999999997</v>
      </c>
      <c r="G471" s="1">
        <f t="shared" si="50"/>
        <v>0.97934046012338949</v>
      </c>
      <c r="H471" s="34">
        <f t="shared" si="53"/>
        <v>0.15283118687004879</v>
      </c>
      <c r="I471" s="36">
        <f t="shared" si="54"/>
        <v>0.14967376487051731</v>
      </c>
    </row>
    <row r="472" spans="2:9" x14ac:dyDescent="0.35">
      <c r="B472" s="16">
        <f t="shared" si="55"/>
        <v>38.583333333333336</v>
      </c>
      <c r="C472" s="17">
        <f t="shared" si="51"/>
        <v>38.583333333333336</v>
      </c>
      <c r="D472" s="1" cm="1">
        <f t="array" ref="D472">_xlfn.XLOOKUP(_xlfn.FLOOR.MATH(C472),'Mortality Tables'!$B$4:$B$124,_xlfn.XLOOKUP(mortality_table,'Mortality Tables'!$B$3:$G$3,'Mortality Tables'!$B$4:$G$124,0,0),0,0)</f>
        <v>8.1300000000000003E-4</v>
      </c>
      <c r="E472" s="1">
        <f t="shared" si="52"/>
        <v>6.7749999999999993E-5</v>
      </c>
      <c r="F472" s="1">
        <f t="shared" si="49"/>
        <v>0.99993224999999997</v>
      </c>
      <c r="G472" s="1">
        <f t="shared" si="50"/>
        <v>0.97927410980721608</v>
      </c>
      <c r="H472" s="34">
        <f t="shared" si="53"/>
        <v>0.15221106016967714</v>
      </c>
      <c r="I472" s="36">
        <f t="shared" si="54"/>
        <v>0.14905635045047319</v>
      </c>
    </row>
    <row r="473" spans="2:9" x14ac:dyDescent="0.35">
      <c r="B473" s="16">
        <f t="shared" si="55"/>
        <v>38.666666666666671</v>
      </c>
      <c r="C473" s="17">
        <f t="shared" si="51"/>
        <v>38.666666666666671</v>
      </c>
      <c r="D473" s="1" cm="1">
        <f t="array" ref="D473">_xlfn.XLOOKUP(_xlfn.FLOOR.MATH(C473),'Mortality Tables'!$B$4:$B$124,_xlfn.XLOOKUP(mortality_table,'Mortality Tables'!$B$3:$G$3,'Mortality Tables'!$B$4:$G$124,0,0),0,0)</f>
        <v>8.1300000000000003E-4</v>
      </c>
      <c r="E473" s="1">
        <f t="shared" si="52"/>
        <v>6.7749999999999993E-5</v>
      </c>
      <c r="F473" s="1">
        <f t="shared" si="49"/>
        <v>0.99993224999999997</v>
      </c>
      <c r="G473" s="1">
        <f t="shared" si="50"/>
        <v>0.97920776398627662</v>
      </c>
      <c r="H473" s="34">
        <f t="shared" si="53"/>
        <v>0.15159344969084637</v>
      </c>
      <c r="I473" s="36">
        <f t="shared" si="54"/>
        <v>0.14844148290673978</v>
      </c>
    </row>
    <row r="474" spans="2:9" x14ac:dyDescent="0.35">
      <c r="B474" s="16">
        <f t="shared" si="55"/>
        <v>38.750000000000007</v>
      </c>
      <c r="C474" s="17">
        <f t="shared" si="51"/>
        <v>38.750000000000007</v>
      </c>
      <c r="D474" s="1" cm="1">
        <f t="array" ref="D474">_xlfn.XLOOKUP(_xlfn.FLOOR.MATH(C474),'Mortality Tables'!$B$4:$B$124,_xlfn.XLOOKUP(mortality_table,'Mortality Tables'!$B$3:$G$3,'Mortality Tables'!$B$4:$G$124,0,0),0,0)</f>
        <v>8.1300000000000003E-4</v>
      </c>
      <c r="E474" s="1">
        <f t="shared" si="52"/>
        <v>6.7749999999999993E-5</v>
      </c>
      <c r="F474" s="1">
        <f t="shared" si="49"/>
        <v>0.99993224999999997</v>
      </c>
      <c r="G474" s="1">
        <f t="shared" si="50"/>
        <v>0.97914142266026649</v>
      </c>
      <c r="H474" s="34">
        <f t="shared" si="53"/>
        <v>0.15097834522375442</v>
      </c>
      <c r="I474" s="36">
        <f t="shared" si="54"/>
        <v>0.14782915173327976</v>
      </c>
    </row>
    <row r="475" spans="2:9" x14ac:dyDescent="0.35">
      <c r="B475" s="16">
        <f t="shared" si="55"/>
        <v>38.833333333333343</v>
      </c>
      <c r="C475" s="17">
        <f t="shared" si="51"/>
        <v>38.833333333333343</v>
      </c>
      <c r="D475" s="1" cm="1">
        <f t="array" ref="D475">_xlfn.XLOOKUP(_xlfn.FLOOR.MATH(C475),'Mortality Tables'!$B$4:$B$124,_xlfn.XLOOKUP(mortality_table,'Mortality Tables'!$B$3:$G$3,'Mortality Tables'!$B$4:$G$124,0,0),0,0)</f>
        <v>8.1300000000000003E-4</v>
      </c>
      <c r="E475" s="1">
        <f t="shared" si="52"/>
        <v>6.7749999999999993E-5</v>
      </c>
      <c r="F475" s="1">
        <f t="shared" ref="F475:F538" si="56">1-E475</f>
        <v>0.99993224999999997</v>
      </c>
      <c r="G475" s="1">
        <f t="shared" ref="G475:G538" si="57">G474*F474</f>
        <v>0.97907508582888125</v>
      </c>
      <c r="H475" s="34">
        <f t="shared" si="53"/>
        <v>0.15036573660002642</v>
      </c>
      <c r="I475" s="36">
        <f t="shared" si="54"/>
        <v>0.14721934646739382</v>
      </c>
    </row>
    <row r="476" spans="2:9" x14ac:dyDescent="0.35">
      <c r="B476" s="16">
        <f t="shared" si="55"/>
        <v>38.916666666666679</v>
      </c>
      <c r="C476" s="17">
        <f t="shared" si="51"/>
        <v>38.916666666666679</v>
      </c>
      <c r="D476" s="1" cm="1">
        <f t="array" ref="D476">_xlfn.XLOOKUP(_xlfn.FLOOR.MATH(C476),'Mortality Tables'!$B$4:$B$124,_xlfn.XLOOKUP(mortality_table,'Mortality Tables'!$B$3:$G$3,'Mortality Tables'!$B$4:$G$124,0,0),0,0)</f>
        <v>8.1300000000000003E-4</v>
      </c>
      <c r="E476" s="1">
        <f t="shared" si="52"/>
        <v>6.7749999999999993E-5</v>
      </c>
      <c r="F476" s="1">
        <f t="shared" si="56"/>
        <v>0.99993224999999997</v>
      </c>
      <c r="G476" s="1">
        <f t="shared" si="57"/>
        <v>0.97900875349181626</v>
      </c>
      <c r="H476" s="34">
        <f t="shared" si="53"/>
        <v>0.14975561369254675</v>
      </c>
      <c r="I476" s="36">
        <f t="shared" si="54"/>
        <v>0.14661205668954216</v>
      </c>
    </row>
    <row r="477" spans="2:9" x14ac:dyDescent="0.35">
      <c r="B477" s="16">
        <f t="shared" si="55"/>
        <v>39.000000000000014</v>
      </c>
      <c r="C477" s="17">
        <f t="shared" si="51"/>
        <v>39.000000000000014</v>
      </c>
      <c r="D477" s="1" cm="1">
        <f t="array" ref="D477">_xlfn.XLOOKUP(_xlfn.FLOOR.MATH(C477),'Mortality Tables'!$B$4:$B$124,_xlfn.XLOOKUP(mortality_table,'Mortality Tables'!$B$3:$G$3,'Mortality Tables'!$B$4:$G$124,0,0),0,0)</f>
        <v>8.7000000000000001E-4</v>
      </c>
      <c r="E477" s="1">
        <f t="shared" si="52"/>
        <v>7.25E-5</v>
      </c>
      <c r="F477" s="1">
        <f t="shared" si="56"/>
        <v>0.99992749999999997</v>
      </c>
      <c r="G477" s="1">
        <f t="shared" si="57"/>
        <v>0.97894242564876721</v>
      </c>
      <c r="H477" s="34">
        <f t="shared" si="53"/>
        <v>0.14914796641529141</v>
      </c>
      <c r="I477" s="36">
        <f t="shared" si="54"/>
        <v>0.14600727202316624</v>
      </c>
    </row>
    <row r="478" spans="2:9" x14ac:dyDescent="0.35">
      <c r="B478" s="16">
        <f t="shared" si="55"/>
        <v>39.08333333333335</v>
      </c>
      <c r="C478" s="17">
        <f t="shared" si="51"/>
        <v>39.08333333333335</v>
      </c>
      <c r="D478" s="1" cm="1">
        <f t="array" ref="D478">_xlfn.XLOOKUP(_xlfn.FLOOR.MATH(C478),'Mortality Tables'!$B$4:$B$124,_xlfn.XLOOKUP(mortality_table,'Mortality Tables'!$B$3:$G$3,'Mortality Tables'!$B$4:$G$124,0,0),0,0)</f>
        <v>8.7000000000000001E-4</v>
      </c>
      <c r="E478" s="1">
        <f t="shared" si="52"/>
        <v>7.25E-5</v>
      </c>
      <c r="F478" s="1">
        <f t="shared" si="56"/>
        <v>0.99992749999999997</v>
      </c>
      <c r="G478" s="1">
        <f t="shared" si="57"/>
        <v>0.97887145232290762</v>
      </c>
      <c r="H478" s="34">
        <f t="shared" si="53"/>
        <v>0.14854278472316143</v>
      </c>
      <c r="I478" s="36">
        <f t="shared" si="54"/>
        <v>0.14540429141405004</v>
      </c>
    </row>
    <row r="479" spans="2:9" x14ac:dyDescent="0.35">
      <c r="B479" s="16">
        <f t="shared" si="55"/>
        <v>39.166666666666686</v>
      </c>
      <c r="C479" s="17">
        <f t="shared" si="51"/>
        <v>39.166666666666686</v>
      </c>
      <c r="D479" s="1" cm="1">
        <f t="array" ref="D479">_xlfn.XLOOKUP(_xlfn.FLOOR.MATH(C479),'Mortality Tables'!$B$4:$B$124,_xlfn.XLOOKUP(mortality_table,'Mortality Tables'!$B$3:$G$3,'Mortality Tables'!$B$4:$G$124,0,0),0,0)</f>
        <v>8.7000000000000001E-4</v>
      </c>
      <c r="E479" s="1">
        <f t="shared" si="52"/>
        <v>7.25E-5</v>
      </c>
      <c r="F479" s="1">
        <f t="shared" si="56"/>
        <v>0.99992749999999997</v>
      </c>
      <c r="G479" s="1">
        <f t="shared" si="57"/>
        <v>0.97880048414261422</v>
      </c>
      <c r="H479" s="34">
        <f t="shared" si="53"/>
        <v>0.14794005861181667</v>
      </c>
      <c r="I479" s="36">
        <f t="shared" si="54"/>
        <v>0.14480380099333287</v>
      </c>
    </row>
    <row r="480" spans="2:9" x14ac:dyDescent="0.35">
      <c r="B480" s="16">
        <f t="shared" si="55"/>
        <v>39.250000000000021</v>
      </c>
      <c r="C480" s="17">
        <f t="shared" si="51"/>
        <v>39.250000000000021</v>
      </c>
      <c r="D480" s="1" cm="1">
        <f t="array" ref="D480">_xlfn.XLOOKUP(_xlfn.FLOOR.MATH(C480),'Mortality Tables'!$B$4:$B$124,_xlfn.XLOOKUP(mortality_table,'Mortality Tables'!$B$3:$G$3,'Mortality Tables'!$B$4:$G$124,0,0),0,0)</f>
        <v>8.7000000000000001E-4</v>
      </c>
      <c r="E480" s="1">
        <f t="shared" si="52"/>
        <v>7.25E-5</v>
      </c>
      <c r="F480" s="1">
        <f t="shared" si="56"/>
        <v>0.99992749999999997</v>
      </c>
      <c r="G480" s="1">
        <f t="shared" si="57"/>
        <v>0.97872952110751388</v>
      </c>
      <c r="H480" s="34">
        <f t="shared" si="53"/>
        <v>0.14733977811751064</v>
      </c>
      <c r="I480" s="36">
        <f t="shared" si="54"/>
        <v>0.14420579047703855</v>
      </c>
    </row>
    <row r="481" spans="2:9" x14ac:dyDescent="0.35">
      <c r="B481" s="16">
        <f t="shared" si="55"/>
        <v>39.333333333333357</v>
      </c>
      <c r="C481" s="17">
        <f t="shared" si="51"/>
        <v>39.333333333333357</v>
      </c>
      <c r="D481" s="1" cm="1">
        <f t="array" ref="D481">_xlfn.XLOOKUP(_xlfn.FLOOR.MATH(C481),'Mortality Tables'!$B$4:$B$124,_xlfn.XLOOKUP(mortality_table,'Mortality Tables'!$B$3:$G$3,'Mortality Tables'!$B$4:$G$124,0,0),0,0)</f>
        <v>8.7000000000000001E-4</v>
      </c>
      <c r="E481" s="1">
        <f t="shared" si="52"/>
        <v>7.25E-5</v>
      </c>
      <c r="F481" s="1">
        <f t="shared" si="56"/>
        <v>0.99992749999999997</v>
      </c>
      <c r="G481" s="1">
        <f t="shared" si="57"/>
        <v>0.97865856321723355</v>
      </c>
      <c r="H481" s="34">
        <f t="shared" si="53"/>
        <v>0.14674193331692562</v>
      </c>
      <c r="I481" s="36">
        <f t="shared" si="54"/>
        <v>0.14361024962366151</v>
      </c>
    </row>
    <row r="482" spans="2:9" x14ac:dyDescent="0.35">
      <c r="B482" s="16">
        <f t="shared" si="55"/>
        <v>39.416666666666693</v>
      </c>
      <c r="C482" s="17">
        <f t="shared" si="51"/>
        <v>39.416666666666693</v>
      </c>
      <c r="D482" s="1" cm="1">
        <f t="array" ref="D482">_xlfn.XLOOKUP(_xlfn.FLOOR.MATH(C482),'Mortality Tables'!$B$4:$B$124,_xlfn.XLOOKUP(mortality_table,'Mortality Tables'!$B$3:$G$3,'Mortality Tables'!$B$4:$G$124,0,0),0,0)</f>
        <v>8.7000000000000001E-4</v>
      </c>
      <c r="E482" s="1">
        <f t="shared" si="52"/>
        <v>7.25E-5</v>
      </c>
      <c r="F482" s="1">
        <f t="shared" si="56"/>
        <v>0.99992749999999997</v>
      </c>
      <c r="G482" s="1">
        <f t="shared" si="57"/>
        <v>0.9785876104714003</v>
      </c>
      <c r="H482" s="34">
        <f t="shared" si="53"/>
        <v>0.14614651432700862</v>
      </c>
      <c r="I482" s="36">
        <f t="shared" si="54"/>
        <v>0.14301716823399163</v>
      </c>
    </row>
    <row r="483" spans="2:9" x14ac:dyDescent="0.35">
      <c r="B483" s="16">
        <f t="shared" si="55"/>
        <v>39.500000000000028</v>
      </c>
      <c r="C483" s="17">
        <f t="shared" si="51"/>
        <v>39.500000000000028</v>
      </c>
      <c r="D483" s="1" cm="1">
        <f t="array" ref="D483">_xlfn.XLOOKUP(_xlfn.FLOOR.MATH(C483),'Mortality Tables'!$B$4:$B$124,_xlfn.XLOOKUP(mortality_table,'Mortality Tables'!$B$3:$G$3,'Mortality Tables'!$B$4:$G$124,0,0),0,0)</f>
        <v>8.7000000000000001E-4</v>
      </c>
      <c r="E483" s="1">
        <f t="shared" si="52"/>
        <v>7.25E-5</v>
      </c>
      <c r="F483" s="1">
        <f t="shared" si="56"/>
        <v>0.99992749999999997</v>
      </c>
      <c r="G483" s="1">
        <f t="shared" si="57"/>
        <v>0.97851666286964112</v>
      </c>
      <c r="H483" s="34">
        <f t="shared" si="53"/>
        <v>0.14555351130480818</v>
      </c>
      <c r="I483" s="36">
        <f t="shared" si="54"/>
        <v>0.14242653615093948</v>
      </c>
    </row>
    <row r="484" spans="2:9" x14ac:dyDescent="0.35">
      <c r="B484" s="16">
        <f t="shared" si="55"/>
        <v>39.583333333333364</v>
      </c>
      <c r="C484" s="17">
        <f t="shared" si="51"/>
        <v>39.583333333333364</v>
      </c>
      <c r="D484" s="1" cm="1">
        <f t="array" ref="D484">_xlfn.XLOOKUP(_xlfn.FLOOR.MATH(C484),'Mortality Tables'!$B$4:$B$124,_xlfn.XLOOKUP(mortality_table,'Mortality Tables'!$B$3:$G$3,'Mortality Tables'!$B$4:$G$124,0,0),0,0)</f>
        <v>8.7000000000000001E-4</v>
      </c>
      <c r="E484" s="1">
        <f t="shared" si="52"/>
        <v>7.25E-5</v>
      </c>
      <c r="F484" s="1">
        <f t="shared" si="56"/>
        <v>0.99992749999999997</v>
      </c>
      <c r="G484" s="1">
        <f t="shared" si="57"/>
        <v>0.97844572041158306</v>
      </c>
      <c r="H484" s="34">
        <f t="shared" si="53"/>
        <v>0.14496291444731138</v>
      </c>
      <c r="I484" s="36">
        <f t="shared" si="54"/>
        <v>0.14183834325936226</v>
      </c>
    </row>
    <row r="485" spans="2:9" x14ac:dyDescent="0.35">
      <c r="B485" s="16">
        <f t="shared" si="55"/>
        <v>39.6666666666667</v>
      </c>
      <c r="C485" s="17">
        <f t="shared" si="51"/>
        <v>39.6666666666667</v>
      </c>
      <c r="D485" s="1" cm="1">
        <f t="array" ref="D485">_xlfn.XLOOKUP(_xlfn.FLOOR.MATH(C485),'Mortality Tables'!$B$4:$B$124,_xlfn.XLOOKUP(mortality_table,'Mortality Tables'!$B$3:$G$3,'Mortality Tables'!$B$4:$G$124,0,0),0,0)</f>
        <v>8.7000000000000001E-4</v>
      </c>
      <c r="E485" s="1">
        <f t="shared" si="52"/>
        <v>7.25E-5</v>
      </c>
      <c r="F485" s="1">
        <f t="shared" si="56"/>
        <v>0.99992749999999997</v>
      </c>
      <c r="G485" s="1">
        <f t="shared" si="57"/>
        <v>0.97837478309685322</v>
      </c>
      <c r="H485" s="34">
        <f t="shared" si="53"/>
        <v>0.14437471399128207</v>
      </c>
      <c r="I485" s="36">
        <f t="shared" si="54"/>
        <v>0.14125257948589082</v>
      </c>
    </row>
    <row r="486" spans="2:9" x14ac:dyDescent="0.35">
      <c r="B486" s="16">
        <f t="shared" si="55"/>
        <v>39.750000000000036</v>
      </c>
      <c r="C486" s="17">
        <f t="shared" si="51"/>
        <v>39.750000000000036</v>
      </c>
      <c r="D486" s="1" cm="1">
        <f t="array" ref="D486">_xlfn.XLOOKUP(_xlfn.FLOOR.MATH(C486),'Mortality Tables'!$B$4:$B$124,_xlfn.XLOOKUP(mortality_table,'Mortality Tables'!$B$3:$G$3,'Mortality Tables'!$B$4:$G$124,0,0),0,0)</f>
        <v>8.7000000000000001E-4</v>
      </c>
      <c r="E486" s="1">
        <f t="shared" si="52"/>
        <v>7.25E-5</v>
      </c>
      <c r="F486" s="1">
        <f t="shared" si="56"/>
        <v>0.99992749999999997</v>
      </c>
      <c r="G486" s="1">
        <f t="shared" si="57"/>
        <v>0.97830385092507866</v>
      </c>
      <c r="H486" s="34">
        <f t="shared" si="53"/>
        <v>0.1437889002130992</v>
      </c>
      <c r="I486" s="36">
        <f t="shared" si="54"/>
        <v>0.14066923479875681</v>
      </c>
    </row>
    <row r="487" spans="2:9" x14ac:dyDescent="0.35">
      <c r="B487" s="16">
        <f t="shared" si="55"/>
        <v>39.833333333333371</v>
      </c>
      <c r="C487" s="17">
        <f t="shared" si="51"/>
        <v>39.833333333333371</v>
      </c>
      <c r="D487" s="1" cm="1">
        <f t="array" ref="D487">_xlfn.XLOOKUP(_xlfn.FLOOR.MATH(C487),'Mortality Tables'!$B$4:$B$124,_xlfn.XLOOKUP(mortality_table,'Mortality Tables'!$B$3:$G$3,'Mortality Tables'!$B$4:$G$124,0,0),0,0)</f>
        <v>8.7000000000000001E-4</v>
      </c>
      <c r="E487" s="1">
        <f t="shared" si="52"/>
        <v>7.25E-5</v>
      </c>
      <c r="F487" s="1">
        <f t="shared" si="56"/>
        <v>0.99992749999999997</v>
      </c>
      <c r="G487" s="1">
        <f t="shared" si="57"/>
        <v>0.97823292389588656</v>
      </c>
      <c r="H487" s="34">
        <f t="shared" si="53"/>
        <v>0.14320546342859639</v>
      </c>
      <c r="I487" s="36">
        <f t="shared" si="54"/>
        <v>0.14008829920762131</v>
      </c>
    </row>
    <row r="488" spans="2:9" x14ac:dyDescent="0.35">
      <c r="B488" s="16">
        <f t="shared" si="55"/>
        <v>39.916666666666707</v>
      </c>
      <c r="C488" s="17">
        <f t="shared" si="51"/>
        <v>39.916666666666707</v>
      </c>
      <c r="D488" s="1" cm="1">
        <f t="array" ref="D488">_xlfn.XLOOKUP(_xlfn.FLOOR.MATH(C488),'Mortality Tables'!$B$4:$B$124,_xlfn.XLOOKUP(mortality_table,'Mortality Tables'!$B$3:$G$3,'Mortality Tables'!$B$4:$G$124,0,0),0,0)</f>
        <v>8.7000000000000001E-4</v>
      </c>
      <c r="E488" s="1">
        <f t="shared" si="52"/>
        <v>7.25E-5</v>
      </c>
      <c r="F488" s="1">
        <f t="shared" si="56"/>
        <v>0.99992749999999997</v>
      </c>
      <c r="G488" s="1">
        <f t="shared" si="57"/>
        <v>0.97816200200890413</v>
      </c>
      <c r="H488" s="34">
        <f t="shared" si="53"/>
        <v>0.14262439399290144</v>
      </c>
      <c r="I488" s="36">
        <f t="shared" si="54"/>
        <v>0.13950976276340318</v>
      </c>
    </row>
    <row r="489" spans="2:9" x14ac:dyDescent="0.35">
      <c r="B489" s="16">
        <f t="shared" si="55"/>
        <v>40.000000000000043</v>
      </c>
      <c r="C489" s="17">
        <f t="shared" si="51"/>
        <v>40.000000000000043</v>
      </c>
      <c r="D489" s="1" cm="1">
        <f t="array" ref="D489">_xlfn.XLOOKUP(_xlfn.FLOOR.MATH(C489),'Mortality Tables'!$B$4:$B$124,_xlfn.XLOOKUP(mortality_table,'Mortality Tables'!$B$3:$G$3,'Mortality Tables'!$B$4:$G$124,0,0),0,0)</f>
        <v>9.3700000000000001E-4</v>
      </c>
      <c r="E489" s="1">
        <f t="shared" si="52"/>
        <v>7.8083333333333325E-5</v>
      </c>
      <c r="F489" s="1">
        <f t="shared" si="56"/>
        <v>0.99992191666666663</v>
      </c>
      <c r="G489" s="1">
        <f t="shared" si="57"/>
        <v>0.97809108526375843</v>
      </c>
      <c r="H489" s="34">
        <f t="shared" si="53"/>
        <v>0.14204568230027734</v>
      </c>
      <c r="I489" s="36">
        <f t="shared" si="54"/>
        <v>0.13893361555810929</v>
      </c>
    </row>
    <row r="490" spans="2:9" x14ac:dyDescent="0.35">
      <c r="B490" s="16">
        <f t="shared" si="55"/>
        <v>40.083333333333378</v>
      </c>
      <c r="C490" s="17">
        <f t="shared" si="51"/>
        <v>40.083333333333378</v>
      </c>
      <c r="D490" s="1" cm="1">
        <f t="array" ref="D490">_xlfn.XLOOKUP(_xlfn.FLOOR.MATH(C490),'Mortality Tables'!$B$4:$B$124,_xlfn.XLOOKUP(mortality_table,'Mortality Tables'!$B$3:$G$3,'Mortality Tables'!$B$4:$G$124,0,0),0,0)</f>
        <v>9.3700000000000001E-4</v>
      </c>
      <c r="E490" s="1">
        <f t="shared" si="52"/>
        <v>7.8083333333333325E-5</v>
      </c>
      <c r="F490" s="1">
        <f t="shared" si="56"/>
        <v>0.99992191666666663</v>
      </c>
      <c r="G490" s="1">
        <f t="shared" si="57"/>
        <v>0.9780147126515174</v>
      </c>
      <c r="H490" s="34">
        <f t="shared" si="53"/>
        <v>0.14146931878396307</v>
      </c>
      <c r="I490" s="36">
        <f t="shared" si="54"/>
        <v>0.13835907515950355</v>
      </c>
    </row>
    <row r="491" spans="2:9" x14ac:dyDescent="0.35">
      <c r="B491" s="16">
        <f t="shared" si="55"/>
        <v>40.166666666666714</v>
      </c>
      <c r="C491" s="17">
        <f t="shared" si="51"/>
        <v>40.166666666666714</v>
      </c>
      <c r="D491" s="1" cm="1">
        <f t="array" ref="D491">_xlfn.XLOOKUP(_xlfn.FLOOR.MATH(C491),'Mortality Tables'!$B$4:$B$124,_xlfn.XLOOKUP(mortality_table,'Mortality Tables'!$B$3:$G$3,'Mortality Tables'!$B$4:$G$124,0,0),0,0)</f>
        <v>9.3700000000000001E-4</v>
      </c>
      <c r="E491" s="1">
        <f t="shared" si="52"/>
        <v>7.8083333333333325E-5</v>
      </c>
      <c r="F491" s="1">
        <f t="shared" si="56"/>
        <v>0.99992191666666663</v>
      </c>
      <c r="G491" s="1">
        <f t="shared" si="57"/>
        <v>0.97793834600270446</v>
      </c>
      <c r="H491" s="34">
        <f t="shared" si="53"/>
        <v>0.14089529391601568</v>
      </c>
      <c r="I491" s="36">
        <f t="shared" si="54"/>
        <v>0.13778691069179327</v>
      </c>
    </row>
    <row r="492" spans="2:9" x14ac:dyDescent="0.35">
      <c r="B492" s="16">
        <f t="shared" si="55"/>
        <v>40.25000000000005</v>
      </c>
      <c r="C492" s="17">
        <f t="shared" si="51"/>
        <v>40.25000000000005</v>
      </c>
      <c r="D492" s="1" cm="1">
        <f t="array" ref="D492">_xlfn.XLOOKUP(_xlfn.FLOOR.MATH(C492),'Mortality Tables'!$B$4:$B$124,_xlfn.XLOOKUP(mortality_table,'Mortality Tables'!$B$3:$G$3,'Mortality Tables'!$B$4:$G$124,0,0),0,0)</f>
        <v>9.3700000000000001E-4</v>
      </c>
      <c r="E492" s="1">
        <f t="shared" si="52"/>
        <v>7.8083333333333325E-5</v>
      </c>
      <c r="F492" s="1">
        <f t="shared" si="56"/>
        <v>0.99992191666666663</v>
      </c>
      <c r="G492" s="1">
        <f t="shared" si="57"/>
        <v>0.97786198531685409</v>
      </c>
      <c r="H492" s="34">
        <f t="shared" si="53"/>
        <v>0.14032359820715279</v>
      </c>
      <c r="I492" s="36">
        <f t="shared" si="54"/>
        <v>0.13721711232965098</v>
      </c>
    </row>
    <row r="493" spans="2:9" x14ac:dyDescent="0.35">
      <c r="B493" s="16">
        <f t="shared" si="55"/>
        <v>40.333333333333385</v>
      </c>
      <c r="C493" s="17">
        <f t="shared" si="51"/>
        <v>40.333333333333385</v>
      </c>
      <c r="D493" s="1" cm="1">
        <f t="array" ref="D493">_xlfn.XLOOKUP(_xlfn.FLOOR.MATH(C493),'Mortality Tables'!$B$4:$B$124,_xlfn.XLOOKUP(mortality_table,'Mortality Tables'!$B$3:$G$3,'Mortality Tables'!$B$4:$G$124,0,0),0,0)</f>
        <v>9.3700000000000001E-4</v>
      </c>
      <c r="E493" s="1">
        <f t="shared" si="52"/>
        <v>7.8083333333333325E-5</v>
      </c>
      <c r="F493" s="1">
        <f t="shared" si="56"/>
        <v>0.99992191666666663</v>
      </c>
      <c r="G493" s="1">
        <f t="shared" si="57"/>
        <v>0.97778563059350054</v>
      </c>
      <c r="H493" s="34">
        <f t="shared" si="53"/>
        <v>0.13975422220659561</v>
      </c>
      <c r="I493" s="36">
        <f t="shared" si="54"/>
        <v>0.13664967028838029</v>
      </c>
    </row>
    <row r="494" spans="2:9" x14ac:dyDescent="0.35">
      <c r="B494" s="16">
        <f t="shared" si="55"/>
        <v>40.416666666666721</v>
      </c>
      <c r="C494" s="17">
        <f t="shared" si="51"/>
        <v>40.416666666666721</v>
      </c>
      <c r="D494" s="1" cm="1">
        <f t="array" ref="D494">_xlfn.XLOOKUP(_xlfn.FLOOR.MATH(C494),'Mortality Tables'!$B$4:$B$124,_xlfn.XLOOKUP(mortality_table,'Mortality Tables'!$B$3:$G$3,'Mortality Tables'!$B$4:$G$124,0,0),0,0)</f>
        <v>9.3700000000000001E-4</v>
      </c>
      <c r="E494" s="1">
        <f t="shared" si="52"/>
        <v>7.8083333333333325E-5</v>
      </c>
      <c r="F494" s="1">
        <f t="shared" si="56"/>
        <v>0.99992191666666663</v>
      </c>
      <c r="G494" s="1">
        <f t="shared" si="57"/>
        <v>0.97770928183217831</v>
      </c>
      <c r="H494" s="34">
        <f t="shared" si="53"/>
        <v>0.1391871565019128</v>
      </c>
      <c r="I494" s="36">
        <f t="shared" si="54"/>
        <v>0.13608457482374817</v>
      </c>
    </row>
    <row r="495" spans="2:9" x14ac:dyDescent="0.35">
      <c r="B495" s="16">
        <f t="shared" si="55"/>
        <v>40.500000000000057</v>
      </c>
      <c r="C495" s="17">
        <f t="shared" si="51"/>
        <v>40.500000000000057</v>
      </c>
      <c r="D495" s="1" cm="1">
        <f t="array" ref="D495">_xlfn.XLOOKUP(_xlfn.FLOOR.MATH(C495),'Mortality Tables'!$B$4:$B$124,_xlfn.XLOOKUP(mortality_table,'Mortality Tables'!$B$3:$G$3,'Mortality Tables'!$B$4:$G$124,0,0),0,0)</f>
        <v>9.3700000000000001E-4</v>
      </c>
      <c r="E495" s="1">
        <f t="shared" si="52"/>
        <v>7.8083333333333325E-5</v>
      </c>
      <c r="F495" s="1">
        <f t="shared" si="56"/>
        <v>0.99992191666666663</v>
      </c>
      <c r="G495" s="1">
        <f t="shared" si="57"/>
        <v>0.97763293903242188</v>
      </c>
      <c r="H495" s="34">
        <f t="shared" si="53"/>
        <v>0.13862239171886473</v>
      </c>
      <c r="I495" s="36">
        <f t="shared" si="54"/>
        <v>0.13552181623181739</v>
      </c>
    </row>
    <row r="496" spans="2:9" x14ac:dyDescent="0.35">
      <c r="B496" s="16">
        <f t="shared" si="55"/>
        <v>40.583333333333393</v>
      </c>
      <c r="C496" s="17">
        <f t="shared" si="51"/>
        <v>40.583333333333393</v>
      </c>
      <c r="D496" s="1" cm="1">
        <f t="array" ref="D496">_xlfn.XLOOKUP(_xlfn.FLOOR.MATH(C496),'Mortality Tables'!$B$4:$B$124,_xlfn.XLOOKUP(mortality_table,'Mortality Tables'!$B$3:$G$3,'Mortality Tables'!$B$4:$G$124,0,0),0,0)</f>
        <v>9.3700000000000001E-4</v>
      </c>
      <c r="E496" s="1">
        <f t="shared" si="52"/>
        <v>7.8083333333333325E-5</v>
      </c>
      <c r="F496" s="1">
        <f t="shared" si="56"/>
        <v>0.99992191666666663</v>
      </c>
      <c r="G496" s="1">
        <f t="shared" si="57"/>
        <v>0.97755660219376572</v>
      </c>
      <c r="H496" s="34">
        <f t="shared" si="53"/>
        <v>0.13805991852124874</v>
      </c>
      <c r="I496" s="36">
        <f t="shared" si="54"/>
        <v>0.13496138484878006</v>
      </c>
    </row>
    <row r="497" spans="2:9" x14ac:dyDescent="0.35">
      <c r="B497" s="16">
        <f t="shared" si="55"/>
        <v>40.666666666666728</v>
      </c>
      <c r="C497" s="17">
        <f t="shared" si="51"/>
        <v>40.666666666666728</v>
      </c>
      <c r="D497" s="1" cm="1">
        <f t="array" ref="D497">_xlfn.XLOOKUP(_xlfn.FLOOR.MATH(C497),'Mortality Tables'!$B$4:$B$124,_xlfn.XLOOKUP(mortality_table,'Mortality Tables'!$B$3:$G$3,'Mortality Tables'!$B$4:$G$124,0,0),0,0)</f>
        <v>9.3700000000000001E-4</v>
      </c>
      <c r="E497" s="1">
        <f t="shared" si="52"/>
        <v>7.8083333333333325E-5</v>
      </c>
      <c r="F497" s="1">
        <f t="shared" si="56"/>
        <v>0.99992191666666663</v>
      </c>
      <c r="G497" s="1">
        <f t="shared" si="57"/>
        <v>0.97748027131574444</v>
      </c>
      <c r="H497" s="34">
        <f t="shared" si="53"/>
        <v>0.13749972761074464</v>
      </c>
      <c r="I497" s="36">
        <f t="shared" si="54"/>
        <v>0.13440327105079164</v>
      </c>
    </row>
    <row r="498" spans="2:9" x14ac:dyDescent="0.35">
      <c r="B498" s="16">
        <f t="shared" si="55"/>
        <v>40.750000000000064</v>
      </c>
      <c r="C498" s="17">
        <f t="shared" si="51"/>
        <v>40.750000000000064</v>
      </c>
      <c r="D498" s="1" cm="1">
        <f t="array" ref="D498">_xlfn.XLOOKUP(_xlfn.FLOOR.MATH(C498),'Mortality Tables'!$B$4:$B$124,_xlfn.XLOOKUP(mortality_table,'Mortality Tables'!$B$3:$G$3,'Mortality Tables'!$B$4:$G$124,0,0),0,0)</f>
        <v>9.3700000000000001E-4</v>
      </c>
      <c r="E498" s="1">
        <f t="shared" si="52"/>
        <v>7.8083333333333325E-5</v>
      </c>
      <c r="F498" s="1">
        <f t="shared" si="56"/>
        <v>0.99992191666666663</v>
      </c>
      <c r="G498" s="1">
        <f t="shared" si="57"/>
        <v>0.97740394639789252</v>
      </c>
      <c r="H498" s="34">
        <f t="shared" si="53"/>
        <v>0.13694180972676095</v>
      </c>
      <c r="I498" s="36">
        <f t="shared" si="54"/>
        <v>0.13384746525380545</v>
      </c>
    </row>
    <row r="499" spans="2:9" x14ac:dyDescent="0.35">
      <c r="B499" s="16">
        <f t="shared" si="55"/>
        <v>40.8333333333334</v>
      </c>
      <c r="C499" s="17">
        <f t="shared" si="51"/>
        <v>40.8333333333334</v>
      </c>
      <c r="D499" s="1" cm="1">
        <f t="array" ref="D499">_xlfn.XLOOKUP(_xlfn.FLOOR.MATH(C499),'Mortality Tables'!$B$4:$B$124,_xlfn.XLOOKUP(mortality_table,'Mortality Tables'!$B$3:$G$3,'Mortality Tables'!$B$4:$G$124,0,0),0,0)</f>
        <v>9.3700000000000001E-4</v>
      </c>
      <c r="E499" s="1">
        <f t="shared" si="52"/>
        <v>7.8083333333333325E-5</v>
      </c>
      <c r="F499" s="1">
        <f t="shared" si="56"/>
        <v>0.99992191666666663</v>
      </c>
      <c r="G499" s="1">
        <f t="shared" si="57"/>
        <v>0.97732762743974455</v>
      </c>
      <c r="H499" s="34">
        <f t="shared" si="53"/>
        <v>0.13638615564628209</v>
      </c>
      <c r="I499" s="36">
        <f t="shared" si="54"/>
        <v>0.13329395791340859</v>
      </c>
    </row>
    <row r="500" spans="2:9" x14ac:dyDescent="0.35">
      <c r="B500" s="16">
        <f t="shared" si="55"/>
        <v>40.916666666666735</v>
      </c>
      <c r="C500" s="17">
        <f t="shared" si="51"/>
        <v>40.916666666666735</v>
      </c>
      <c r="D500" s="1" cm="1">
        <f t="array" ref="D500">_xlfn.XLOOKUP(_xlfn.FLOOR.MATH(C500),'Mortality Tables'!$B$4:$B$124,_xlfn.XLOOKUP(mortality_table,'Mortality Tables'!$B$3:$G$3,'Mortality Tables'!$B$4:$G$124,0,0),0,0)</f>
        <v>9.3700000000000001E-4</v>
      </c>
      <c r="E500" s="1">
        <f t="shared" si="52"/>
        <v>7.8083333333333325E-5</v>
      </c>
      <c r="F500" s="1">
        <f t="shared" si="56"/>
        <v>0.99992191666666663</v>
      </c>
      <c r="G500" s="1">
        <f t="shared" si="57"/>
        <v>0.97725131444083524</v>
      </c>
      <c r="H500" s="34">
        <f t="shared" si="53"/>
        <v>0.13583275618371549</v>
      </c>
      <c r="I500" s="36">
        <f t="shared" si="54"/>
        <v>0.13274273952465745</v>
      </c>
    </row>
    <row r="501" spans="2:9" x14ac:dyDescent="0.35">
      <c r="B501" s="16">
        <f t="shared" si="55"/>
        <v>41.000000000000071</v>
      </c>
      <c r="C501" s="17">
        <f t="shared" si="51"/>
        <v>41.000000000000071</v>
      </c>
      <c r="D501" s="1" cm="1">
        <f t="array" ref="D501">_xlfn.XLOOKUP(_xlfn.FLOOR.MATH(C501),'Mortality Tables'!$B$4:$B$124,_xlfn.XLOOKUP(mortality_table,'Mortality Tables'!$B$3:$G$3,'Mortality Tables'!$B$4:$G$124,0,0),0,0)</f>
        <v>1.0139999999999999E-3</v>
      </c>
      <c r="E501" s="1">
        <f t="shared" si="52"/>
        <v>8.4499999999999994E-5</v>
      </c>
      <c r="F501" s="1">
        <f t="shared" si="56"/>
        <v>0.99991549999999996</v>
      </c>
      <c r="G501" s="1">
        <f t="shared" si="57"/>
        <v>0.97717500740069929</v>
      </c>
      <c r="H501" s="34">
        <f t="shared" si="53"/>
        <v>0.13528160219074009</v>
      </c>
      <c r="I501" s="36">
        <f t="shared" si="54"/>
        <v>0.13219380062191491</v>
      </c>
    </row>
    <row r="502" spans="2:9" x14ac:dyDescent="0.35">
      <c r="B502" s="16">
        <f t="shared" si="55"/>
        <v>41.083333333333407</v>
      </c>
      <c r="C502" s="17">
        <f t="shared" si="51"/>
        <v>41.083333333333407</v>
      </c>
      <c r="D502" s="1" cm="1">
        <f t="array" ref="D502">_xlfn.XLOOKUP(_xlfn.FLOOR.MATH(C502),'Mortality Tables'!$B$4:$B$124,_xlfn.XLOOKUP(mortality_table,'Mortality Tables'!$B$3:$G$3,'Mortality Tables'!$B$4:$G$124,0,0),0,0)</f>
        <v>1.0139999999999999E-3</v>
      </c>
      <c r="E502" s="1">
        <f t="shared" si="52"/>
        <v>8.4499999999999994E-5</v>
      </c>
      <c r="F502" s="1">
        <f t="shared" si="56"/>
        <v>0.99991549999999996</v>
      </c>
      <c r="G502" s="1">
        <f t="shared" si="57"/>
        <v>0.9770924361125739</v>
      </c>
      <c r="H502" s="34">
        <f t="shared" si="53"/>
        <v>0.13473268455615511</v>
      </c>
      <c r="I502" s="36">
        <f t="shared" si="54"/>
        <v>0.13164628697696057</v>
      </c>
    </row>
    <row r="503" spans="2:9" x14ac:dyDescent="0.35">
      <c r="B503" s="16">
        <f t="shared" si="55"/>
        <v>41.166666666666742</v>
      </c>
      <c r="C503" s="17">
        <f t="shared" si="51"/>
        <v>41.166666666666742</v>
      </c>
      <c r="D503" s="1" cm="1">
        <f t="array" ref="D503">_xlfn.XLOOKUP(_xlfn.FLOOR.MATH(C503),'Mortality Tables'!$B$4:$B$124,_xlfn.XLOOKUP(mortality_table,'Mortality Tables'!$B$3:$G$3,'Mortality Tables'!$B$4:$G$124,0,0),0,0)</f>
        <v>1.0139999999999999E-3</v>
      </c>
      <c r="E503" s="1">
        <f t="shared" si="52"/>
        <v>8.4499999999999994E-5</v>
      </c>
      <c r="F503" s="1">
        <f t="shared" si="56"/>
        <v>0.99991549999999996</v>
      </c>
      <c r="G503" s="1">
        <f t="shared" si="57"/>
        <v>0.97700987180172238</v>
      </c>
      <c r="H503" s="34">
        <f t="shared" si="53"/>
        <v>0.13418599420572905</v>
      </c>
      <c r="I503" s="36">
        <f t="shared" si="54"/>
        <v>0.131101040996526</v>
      </c>
    </row>
    <row r="504" spans="2:9" x14ac:dyDescent="0.35">
      <c r="B504" s="16">
        <f t="shared" si="55"/>
        <v>41.250000000000078</v>
      </c>
      <c r="C504" s="17">
        <f t="shared" si="51"/>
        <v>41.250000000000078</v>
      </c>
      <c r="D504" s="1" cm="1">
        <f t="array" ref="D504">_xlfn.XLOOKUP(_xlfn.FLOOR.MATH(C504),'Mortality Tables'!$B$4:$B$124,_xlfn.XLOOKUP(mortality_table,'Mortality Tables'!$B$3:$G$3,'Mortality Tables'!$B$4:$G$124,0,0),0,0)</f>
        <v>1.0139999999999999E-3</v>
      </c>
      <c r="E504" s="1">
        <f t="shared" si="52"/>
        <v>8.4499999999999994E-5</v>
      </c>
      <c r="F504" s="1">
        <f t="shared" si="56"/>
        <v>0.99991549999999996</v>
      </c>
      <c r="G504" s="1">
        <f t="shared" si="57"/>
        <v>0.9769273144675551</v>
      </c>
      <c r="H504" s="34">
        <f t="shared" si="53"/>
        <v>0.1336415221020501</v>
      </c>
      <c r="I504" s="36">
        <f t="shared" si="54"/>
        <v>0.13055805328851222</v>
      </c>
    </row>
    <row r="505" spans="2:9" x14ac:dyDescent="0.35">
      <c r="B505" s="16">
        <f t="shared" si="55"/>
        <v>41.333333333333414</v>
      </c>
      <c r="C505" s="17">
        <f t="shared" si="51"/>
        <v>41.333333333333414</v>
      </c>
      <c r="D505" s="1" cm="1">
        <f t="array" ref="D505">_xlfn.XLOOKUP(_xlfn.FLOOR.MATH(C505),'Mortality Tables'!$B$4:$B$124,_xlfn.XLOOKUP(mortality_table,'Mortality Tables'!$B$3:$G$3,'Mortality Tables'!$B$4:$G$124,0,0),0,0)</f>
        <v>1.0139999999999999E-3</v>
      </c>
      <c r="E505" s="1">
        <f t="shared" si="52"/>
        <v>8.4499999999999994E-5</v>
      </c>
      <c r="F505" s="1">
        <f t="shared" si="56"/>
        <v>0.99991549999999996</v>
      </c>
      <c r="G505" s="1">
        <f t="shared" si="57"/>
        <v>0.97684476410948251</v>
      </c>
      <c r="H505" s="34">
        <f t="shared" si="53"/>
        <v>0.1330992592443766</v>
      </c>
      <c r="I505" s="36">
        <f t="shared" si="54"/>
        <v>0.13001731449971993</v>
      </c>
    </row>
    <row r="506" spans="2:9" x14ac:dyDescent="0.35">
      <c r="B506" s="16">
        <f t="shared" si="55"/>
        <v>41.41666666666675</v>
      </c>
      <c r="C506" s="17">
        <f t="shared" si="51"/>
        <v>41.41666666666675</v>
      </c>
      <c r="D506" s="1" cm="1">
        <f t="array" ref="D506">_xlfn.XLOOKUP(_xlfn.FLOOR.MATH(C506),'Mortality Tables'!$B$4:$B$124,_xlfn.XLOOKUP(mortality_table,'Mortality Tables'!$B$3:$G$3,'Mortality Tables'!$B$4:$G$124,0,0),0,0)</f>
        <v>1.0139999999999999E-3</v>
      </c>
      <c r="E506" s="1">
        <f t="shared" si="52"/>
        <v>8.4499999999999994E-5</v>
      </c>
      <c r="F506" s="1">
        <f t="shared" si="56"/>
        <v>0.99991549999999996</v>
      </c>
      <c r="G506" s="1">
        <f t="shared" si="57"/>
        <v>0.97676222072691521</v>
      </c>
      <c r="H506" s="34">
        <f t="shared" si="53"/>
        <v>0.13255919666848817</v>
      </c>
      <c r="I506" s="36">
        <f t="shared" si="54"/>
        <v>0.12947881531568842</v>
      </c>
    </row>
    <row r="507" spans="2:9" x14ac:dyDescent="0.35">
      <c r="B507" s="16">
        <f t="shared" si="55"/>
        <v>41.500000000000085</v>
      </c>
      <c r="C507" s="17">
        <f t="shared" si="51"/>
        <v>41.500000000000085</v>
      </c>
      <c r="D507" s="1" cm="1">
        <f t="array" ref="D507">_xlfn.XLOOKUP(_xlfn.FLOOR.MATH(C507),'Mortality Tables'!$B$4:$B$124,_xlfn.XLOOKUP(mortality_table,'Mortality Tables'!$B$3:$G$3,'Mortality Tables'!$B$4:$G$124,0,0),0,0)</f>
        <v>1.0139999999999999E-3</v>
      </c>
      <c r="E507" s="1">
        <f t="shared" si="52"/>
        <v>8.4499999999999994E-5</v>
      </c>
      <c r="F507" s="1">
        <f t="shared" si="56"/>
        <v>0.99991549999999996</v>
      </c>
      <c r="G507" s="1">
        <f t="shared" si="57"/>
        <v>0.97667968431926377</v>
      </c>
      <c r="H507" s="34">
        <f t="shared" si="53"/>
        <v>0.13202132544653764</v>
      </c>
      <c r="I507" s="36">
        <f t="shared" si="54"/>
        <v>0.12894254646053516</v>
      </c>
    </row>
    <row r="508" spans="2:9" x14ac:dyDescent="0.35">
      <c r="B508" s="16">
        <f t="shared" si="55"/>
        <v>41.583333333333421</v>
      </c>
      <c r="C508" s="17">
        <f t="shared" si="51"/>
        <v>41.583333333333421</v>
      </c>
      <c r="D508" s="1" cm="1">
        <f t="array" ref="D508">_xlfn.XLOOKUP(_xlfn.FLOOR.MATH(C508),'Mortality Tables'!$B$4:$B$124,_xlfn.XLOOKUP(mortality_table,'Mortality Tables'!$B$3:$G$3,'Mortality Tables'!$B$4:$G$124,0,0),0,0)</f>
        <v>1.0139999999999999E-3</v>
      </c>
      <c r="E508" s="1">
        <f t="shared" si="52"/>
        <v>8.4499999999999994E-5</v>
      </c>
      <c r="F508" s="1">
        <f t="shared" si="56"/>
        <v>0.99991549999999996</v>
      </c>
      <c r="G508" s="1">
        <f t="shared" si="57"/>
        <v>0.97659715488593879</v>
      </c>
      <c r="H508" s="34">
        <f t="shared" si="53"/>
        <v>0.13148563668690336</v>
      </c>
      <c r="I508" s="36">
        <f t="shared" si="54"/>
        <v>0.12840849869679602</v>
      </c>
    </row>
    <row r="509" spans="2:9" x14ac:dyDescent="0.35">
      <c r="B509" s="16">
        <f t="shared" si="55"/>
        <v>41.666666666666757</v>
      </c>
      <c r="C509" s="17">
        <f t="shared" si="51"/>
        <v>41.666666666666757</v>
      </c>
      <c r="D509" s="1" cm="1">
        <f t="array" ref="D509">_xlfn.XLOOKUP(_xlfn.FLOOR.MATH(C509),'Mortality Tables'!$B$4:$B$124,_xlfn.XLOOKUP(mortality_table,'Mortality Tables'!$B$3:$G$3,'Mortality Tables'!$B$4:$G$124,0,0),0,0)</f>
        <v>1.0139999999999999E-3</v>
      </c>
      <c r="E509" s="1">
        <f t="shared" si="52"/>
        <v>8.4499999999999994E-5</v>
      </c>
      <c r="F509" s="1">
        <f t="shared" si="56"/>
        <v>0.99991549999999996</v>
      </c>
      <c r="G509" s="1">
        <f t="shared" si="57"/>
        <v>0.97651463242635084</v>
      </c>
      <c r="H509" s="34">
        <f t="shared" si="53"/>
        <v>0.13095212153404229</v>
      </c>
      <c r="I509" s="36">
        <f t="shared" si="54"/>
        <v>0.12787666282526614</v>
      </c>
    </row>
    <row r="510" spans="2:9" x14ac:dyDescent="0.35">
      <c r="B510" s="16">
        <f t="shared" si="55"/>
        <v>41.750000000000092</v>
      </c>
      <c r="C510" s="17">
        <f t="shared" si="51"/>
        <v>41.750000000000092</v>
      </c>
      <c r="D510" s="1" cm="1">
        <f t="array" ref="D510">_xlfn.XLOOKUP(_xlfn.FLOOR.MATH(C510),'Mortality Tables'!$B$4:$B$124,_xlfn.XLOOKUP(mortality_table,'Mortality Tables'!$B$3:$G$3,'Mortality Tables'!$B$4:$G$124,0,0),0,0)</f>
        <v>1.0139999999999999E-3</v>
      </c>
      <c r="E510" s="1">
        <f t="shared" si="52"/>
        <v>8.4499999999999994E-5</v>
      </c>
      <c r="F510" s="1">
        <f t="shared" si="56"/>
        <v>0.99991549999999996</v>
      </c>
      <c r="G510" s="1">
        <f t="shared" si="57"/>
        <v>0.97643211693991072</v>
      </c>
      <c r="H510" s="34">
        <f t="shared" si="53"/>
        <v>0.13042077116834358</v>
      </c>
      <c r="I510" s="36">
        <f t="shared" si="54"/>
        <v>0.12734702968484141</v>
      </c>
    </row>
    <row r="511" spans="2:9" x14ac:dyDescent="0.35">
      <c r="B511" s="16">
        <f t="shared" si="55"/>
        <v>41.833333333333428</v>
      </c>
      <c r="C511" s="17">
        <f t="shared" si="51"/>
        <v>41.833333333333428</v>
      </c>
      <c r="D511" s="1" cm="1">
        <f t="array" ref="D511">_xlfn.XLOOKUP(_xlfn.FLOOR.MATH(C511),'Mortality Tables'!$B$4:$B$124,_xlfn.XLOOKUP(mortality_table,'Mortality Tables'!$B$3:$G$3,'Mortality Tables'!$B$4:$G$124,0,0),0,0)</f>
        <v>1.0139999999999999E-3</v>
      </c>
      <c r="E511" s="1">
        <f t="shared" si="52"/>
        <v>8.4499999999999994E-5</v>
      </c>
      <c r="F511" s="1">
        <f t="shared" si="56"/>
        <v>0.99991549999999996</v>
      </c>
      <c r="G511" s="1">
        <f t="shared" si="57"/>
        <v>0.97634960842602925</v>
      </c>
      <c r="H511" s="34">
        <f t="shared" si="53"/>
        <v>0.12989157680598271</v>
      </c>
      <c r="I511" s="36">
        <f t="shared" si="54"/>
        <v>0.12681959015236072</v>
      </c>
    </row>
    <row r="512" spans="2:9" x14ac:dyDescent="0.35">
      <c r="B512" s="16">
        <f t="shared" si="55"/>
        <v>41.916666666666764</v>
      </c>
      <c r="C512" s="17">
        <f t="shared" si="51"/>
        <v>41.916666666666764</v>
      </c>
      <c r="D512" s="1" cm="1">
        <f t="array" ref="D512">_xlfn.XLOOKUP(_xlfn.FLOOR.MATH(C512),'Mortality Tables'!$B$4:$B$124,_xlfn.XLOOKUP(mortality_table,'Mortality Tables'!$B$3:$G$3,'Mortality Tables'!$B$4:$G$124,0,0),0,0)</f>
        <v>1.0139999999999999E-3</v>
      </c>
      <c r="E512" s="1">
        <f t="shared" si="52"/>
        <v>8.4499999999999994E-5</v>
      </c>
      <c r="F512" s="1">
        <f t="shared" si="56"/>
        <v>0.99991549999999996</v>
      </c>
      <c r="G512" s="1">
        <f t="shared" si="57"/>
        <v>0.97626710688411722</v>
      </c>
      <c r="H512" s="34">
        <f t="shared" si="53"/>
        <v>0.12936452969877643</v>
      </c>
      <c r="I512" s="36">
        <f t="shared" si="54"/>
        <v>0.12629433514244892</v>
      </c>
    </row>
    <row r="513" spans="2:9" x14ac:dyDescent="0.35">
      <c r="B513" s="16">
        <f t="shared" si="55"/>
        <v>42.000000000000099</v>
      </c>
      <c r="C513" s="17">
        <f t="shared" si="51"/>
        <v>42.000000000000099</v>
      </c>
      <c r="D513" s="1" cm="1">
        <f t="array" ref="D513">_xlfn.XLOOKUP(_xlfn.FLOOR.MATH(C513),'Mortality Tables'!$B$4:$B$124,_xlfn.XLOOKUP(mortality_table,'Mortality Tables'!$B$3:$G$3,'Mortality Tables'!$B$4:$G$124,0,0),0,0)</f>
        <v>1.1039999999999999E-3</v>
      </c>
      <c r="E513" s="1">
        <f t="shared" si="52"/>
        <v>9.1999999999999987E-5</v>
      </c>
      <c r="F513" s="1">
        <f t="shared" si="56"/>
        <v>0.99990800000000002</v>
      </c>
      <c r="G513" s="1">
        <f t="shared" si="57"/>
        <v>0.97618461231358544</v>
      </c>
      <c r="H513" s="34">
        <f t="shared" si="53"/>
        <v>0.12883962113403805</v>
      </c>
      <c r="I513" s="36">
        <f t="shared" si="54"/>
        <v>0.12577125560736016</v>
      </c>
    </row>
    <row r="514" spans="2:9" x14ac:dyDescent="0.35">
      <c r="B514" s="16">
        <f t="shared" si="55"/>
        <v>42.083333333333435</v>
      </c>
      <c r="C514" s="17">
        <f t="shared" si="51"/>
        <v>42.083333333333435</v>
      </c>
      <c r="D514" s="1" cm="1">
        <f t="array" ref="D514">_xlfn.XLOOKUP(_xlfn.FLOOR.MATH(C514),'Mortality Tables'!$B$4:$B$124,_xlfn.XLOOKUP(mortality_table,'Mortality Tables'!$B$3:$G$3,'Mortality Tables'!$B$4:$G$124,0,0),0,0)</f>
        <v>1.1039999999999999E-3</v>
      </c>
      <c r="E514" s="1">
        <f t="shared" si="52"/>
        <v>9.1999999999999987E-5</v>
      </c>
      <c r="F514" s="1">
        <f t="shared" si="56"/>
        <v>0.99990800000000002</v>
      </c>
      <c r="G514" s="1">
        <f t="shared" si="57"/>
        <v>0.97609480332925258</v>
      </c>
      <c r="H514" s="34">
        <f t="shared" si="53"/>
        <v>0.12831684243443325</v>
      </c>
      <c r="I514" s="36">
        <f t="shared" si="54"/>
        <v>0.12524940307986882</v>
      </c>
    </row>
    <row r="515" spans="2:9" x14ac:dyDescent="0.35">
      <c r="B515" s="16">
        <f t="shared" si="55"/>
        <v>42.166666666666771</v>
      </c>
      <c r="C515" s="17">
        <f t="shared" si="51"/>
        <v>42.166666666666771</v>
      </c>
      <c r="D515" s="1" cm="1">
        <f t="array" ref="D515">_xlfn.XLOOKUP(_xlfn.FLOOR.MATH(C515),'Mortality Tables'!$B$4:$B$124,_xlfn.XLOOKUP(mortality_table,'Mortality Tables'!$B$3:$G$3,'Mortality Tables'!$B$4:$G$124,0,0),0,0)</f>
        <v>1.1039999999999999E-3</v>
      </c>
      <c r="E515" s="1">
        <f t="shared" si="52"/>
        <v>9.1999999999999987E-5</v>
      </c>
      <c r="F515" s="1">
        <f t="shared" si="56"/>
        <v>0.99990800000000002</v>
      </c>
      <c r="G515" s="1">
        <f t="shared" si="57"/>
        <v>0.97600500260734635</v>
      </c>
      <c r="H515" s="34">
        <f t="shared" si="53"/>
        <v>0.12779618495783698</v>
      </c>
      <c r="I515" s="36">
        <f t="shared" si="54"/>
        <v>0.1247297158329826</v>
      </c>
    </row>
    <row r="516" spans="2:9" x14ac:dyDescent="0.35">
      <c r="B516" s="16">
        <f t="shared" si="55"/>
        <v>42.250000000000107</v>
      </c>
      <c r="C516" s="17">
        <f t="shared" si="51"/>
        <v>42.250000000000107</v>
      </c>
      <c r="D516" s="1" cm="1">
        <f t="array" ref="D516">_xlfn.XLOOKUP(_xlfn.FLOOR.MATH(C516),'Mortality Tables'!$B$4:$B$124,_xlfn.XLOOKUP(mortality_table,'Mortality Tables'!$B$3:$G$3,'Mortality Tables'!$B$4:$G$124,0,0),0,0)</f>
        <v>1.1039999999999999E-3</v>
      </c>
      <c r="E516" s="1">
        <f t="shared" si="52"/>
        <v>9.1999999999999987E-5</v>
      </c>
      <c r="F516" s="1">
        <f t="shared" si="56"/>
        <v>0.99990800000000002</v>
      </c>
      <c r="G516" s="1">
        <f t="shared" si="57"/>
        <v>0.97591521014710647</v>
      </c>
      <c r="H516" s="34">
        <f t="shared" si="53"/>
        <v>0.12727764009719039</v>
      </c>
      <c r="I516" s="36">
        <f t="shared" si="54"/>
        <v>0.12421218488247734</v>
      </c>
    </row>
    <row r="517" spans="2:9" x14ac:dyDescent="0.35">
      <c r="B517" s="16">
        <f t="shared" si="55"/>
        <v>42.333333333333442</v>
      </c>
      <c r="C517" s="17">
        <f t="shared" si="51"/>
        <v>42.333333333333442</v>
      </c>
      <c r="D517" s="1" cm="1">
        <f t="array" ref="D517">_xlfn.XLOOKUP(_xlfn.FLOOR.MATH(C517),'Mortality Tables'!$B$4:$B$124,_xlfn.XLOOKUP(mortality_table,'Mortality Tables'!$B$3:$G$3,'Mortality Tables'!$B$4:$G$124,0,0),0,0)</f>
        <v>1.1039999999999999E-3</v>
      </c>
      <c r="E517" s="1">
        <f t="shared" si="52"/>
        <v>9.1999999999999987E-5</v>
      </c>
      <c r="F517" s="1">
        <f t="shared" si="56"/>
        <v>0.99990800000000002</v>
      </c>
      <c r="G517" s="1">
        <f t="shared" si="57"/>
        <v>0.975825425947773</v>
      </c>
      <c r="H517" s="34">
        <f t="shared" si="53"/>
        <v>0.12676119928035848</v>
      </c>
      <c r="I517" s="36">
        <f t="shared" si="54"/>
        <v>0.12369680128140635</v>
      </c>
    </row>
    <row r="518" spans="2:9" x14ac:dyDescent="0.35">
      <c r="B518" s="16">
        <f t="shared" si="55"/>
        <v>42.416666666666778</v>
      </c>
      <c r="C518" s="17">
        <f t="shared" si="51"/>
        <v>42.416666666666778</v>
      </c>
      <c r="D518" s="1" cm="1">
        <f t="array" ref="D518">_xlfn.XLOOKUP(_xlfn.FLOOR.MATH(C518),'Mortality Tables'!$B$4:$B$124,_xlfn.XLOOKUP(mortality_table,'Mortality Tables'!$B$3:$G$3,'Mortality Tables'!$B$4:$G$124,0,0),0,0)</f>
        <v>1.1039999999999999E-3</v>
      </c>
      <c r="E518" s="1">
        <f t="shared" si="52"/>
        <v>9.1999999999999987E-5</v>
      </c>
      <c r="F518" s="1">
        <f t="shared" si="56"/>
        <v>0.99990800000000002</v>
      </c>
      <c r="G518" s="1">
        <f t="shared" si="57"/>
        <v>0.97573565000858586</v>
      </c>
      <c r="H518" s="34">
        <f t="shared" si="53"/>
        <v>0.12624685396998855</v>
      </c>
      <c r="I518" s="36">
        <f t="shared" si="54"/>
        <v>0.1231835561199458</v>
      </c>
    </row>
    <row r="519" spans="2:9" x14ac:dyDescent="0.35">
      <c r="B519" s="16">
        <f t="shared" si="55"/>
        <v>42.500000000000114</v>
      </c>
      <c r="C519" s="17">
        <f t="shared" si="51"/>
        <v>42.500000000000114</v>
      </c>
      <c r="D519" s="1" cm="1">
        <f t="array" ref="D519">_xlfn.XLOOKUP(_xlfn.FLOOR.MATH(C519),'Mortality Tables'!$B$4:$B$124,_xlfn.XLOOKUP(mortality_table,'Mortality Tables'!$B$3:$G$3,'Mortality Tables'!$B$4:$G$124,0,0),0,0)</f>
        <v>1.1039999999999999E-3</v>
      </c>
      <c r="E519" s="1">
        <f t="shared" si="52"/>
        <v>9.1999999999999987E-5</v>
      </c>
      <c r="F519" s="1">
        <f t="shared" si="56"/>
        <v>0.99990800000000002</v>
      </c>
      <c r="G519" s="1">
        <f t="shared" si="57"/>
        <v>0.97564588232878513</v>
      </c>
      <c r="H519" s="34">
        <f t="shared" si="53"/>
        <v>0.125734595663369</v>
      </c>
      <c r="I519" s="36">
        <f t="shared" si="54"/>
        <v>0.12267244052524069</v>
      </c>
    </row>
    <row r="520" spans="2:9" x14ac:dyDescent="0.35">
      <c r="B520" s="16">
        <f t="shared" si="55"/>
        <v>42.583333333333449</v>
      </c>
      <c r="C520" s="17">
        <f t="shared" si="51"/>
        <v>42.583333333333449</v>
      </c>
      <c r="D520" s="1" cm="1">
        <f t="array" ref="D520">_xlfn.XLOOKUP(_xlfn.FLOOR.MATH(C520),'Mortality Tables'!$B$4:$B$124,_xlfn.XLOOKUP(mortality_table,'Mortality Tables'!$B$3:$G$3,'Mortality Tables'!$B$4:$G$124,0,0),0,0)</f>
        <v>1.1039999999999999E-3</v>
      </c>
      <c r="E520" s="1">
        <f t="shared" si="52"/>
        <v>9.1999999999999987E-5</v>
      </c>
      <c r="F520" s="1">
        <f t="shared" si="56"/>
        <v>0.99990800000000002</v>
      </c>
      <c r="G520" s="1">
        <f t="shared" si="57"/>
        <v>0.97555612290761085</v>
      </c>
      <c r="H520" s="34">
        <f t="shared" si="53"/>
        <v>0.12522441589228872</v>
      </c>
      <c r="I520" s="36">
        <f t="shared" si="54"/>
        <v>0.1221634456612514</v>
      </c>
    </row>
    <row r="521" spans="2:9" x14ac:dyDescent="0.35">
      <c r="B521" s="16">
        <f t="shared" si="55"/>
        <v>42.666666666666785</v>
      </c>
      <c r="C521" s="17">
        <f t="shared" ref="C521:C584" si="58">current_age+B521</f>
        <v>42.666666666666785</v>
      </c>
      <c r="D521" s="1" cm="1">
        <f t="array" ref="D521">_xlfn.XLOOKUP(_xlfn.FLOOR.MATH(C521),'Mortality Tables'!$B$4:$B$124,_xlfn.XLOOKUP(mortality_table,'Mortality Tables'!$B$3:$G$3,'Mortality Tables'!$B$4:$G$124,0,0),0,0)</f>
        <v>1.1039999999999999E-3</v>
      </c>
      <c r="E521" s="1">
        <f t="shared" ref="E521:E584" si="59">$F$5*D521</f>
        <v>9.1999999999999987E-5</v>
      </c>
      <c r="F521" s="1">
        <f t="shared" si="56"/>
        <v>0.99990800000000002</v>
      </c>
      <c r="G521" s="1">
        <f t="shared" si="57"/>
        <v>0.9754663717443034</v>
      </c>
      <c r="H521" s="34">
        <f t="shared" ref="H521:H584" si="60">(1+interest_rate)^-(B521)</f>
        <v>0.12471630622289724</v>
      </c>
      <c r="I521" s="36">
        <f t="shared" ref="I521:I584" si="61">IF(current_age+B521&lt;=$C$5,G521*H521,0)</f>
        <v>0.12165656272860106</v>
      </c>
    </row>
    <row r="522" spans="2:9" x14ac:dyDescent="0.35">
      <c r="B522" s="16">
        <f t="shared" ref="B522:B585" si="62">B521+$F$5</f>
        <v>42.750000000000121</v>
      </c>
      <c r="C522" s="17">
        <f t="shared" si="58"/>
        <v>42.750000000000121</v>
      </c>
      <c r="D522" s="1" cm="1">
        <f t="array" ref="D522">_xlfn.XLOOKUP(_xlfn.FLOOR.MATH(C522),'Mortality Tables'!$B$4:$B$124,_xlfn.XLOOKUP(mortality_table,'Mortality Tables'!$B$3:$G$3,'Mortality Tables'!$B$4:$G$124,0,0),0,0)</f>
        <v>1.1039999999999999E-3</v>
      </c>
      <c r="E522" s="1">
        <f t="shared" si="59"/>
        <v>9.1999999999999987E-5</v>
      </c>
      <c r="F522" s="1">
        <f t="shared" si="56"/>
        <v>0.99990800000000002</v>
      </c>
      <c r="G522" s="1">
        <f t="shared" si="57"/>
        <v>0.97537662883810294</v>
      </c>
      <c r="H522" s="34">
        <f t="shared" si="60"/>
        <v>0.12421025825556514</v>
      </c>
      <c r="I522" s="36">
        <f t="shared" si="61"/>
        <v>0.12115178296442328</v>
      </c>
    </row>
    <row r="523" spans="2:9" x14ac:dyDescent="0.35">
      <c r="B523" s="16">
        <f t="shared" si="62"/>
        <v>42.833333333333456</v>
      </c>
      <c r="C523" s="17">
        <f t="shared" si="58"/>
        <v>42.833333333333456</v>
      </c>
      <c r="D523" s="1" cm="1">
        <f t="array" ref="D523">_xlfn.XLOOKUP(_xlfn.FLOOR.MATH(C523),'Mortality Tables'!$B$4:$B$124,_xlfn.XLOOKUP(mortality_table,'Mortality Tables'!$B$3:$G$3,'Mortality Tables'!$B$4:$G$124,0,0),0,0)</f>
        <v>1.1039999999999999E-3</v>
      </c>
      <c r="E523" s="1">
        <f t="shared" si="59"/>
        <v>9.1999999999999987E-5</v>
      </c>
      <c r="F523" s="1">
        <f t="shared" si="56"/>
        <v>0.99990800000000002</v>
      </c>
      <c r="G523" s="1">
        <f t="shared" si="57"/>
        <v>0.97528689418824988</v>
      </c>
      <c r="H523" s="34">
        <f t="shared" si="60"/>
        <v>0.12370626362474531</v>
      </c>
      <c r="I523" s="36">
        <f t="shared" si="61"/>
        <v>0.12064909764221073</v>
      </c>
    </row>
    <row r="524" spans="2:9" x14ac:dyDescent="0.35">
      <c r="B524" s="16">
        <f t="shared" si="62"/>
        <v>42.916666666666792</v>
      </c>
      <c r="C524" s="17">
        <f t="shared" si="58"/>
        <v>42.916666666666792</v>
      </c>
      <c r="D524" s="1" cm="1">
        <f t="array" ref="D524">_xlfn.XLOOKUP(_xlfn.FLOOR.MATH(C524),'Mortality Tables'!$B$4:$B$124,_xlfn.XLOOKUP(mortality_table,'Mortality Tables'!$B$3:$G$3,'Mortality Tables'!$B$4:$G$124,0,0),0,0)</f>
        <v>1.1039999999999999E-3</v>
      </c>
      <c r="E524" s="1">
        <f t="shared" si="59"/>
        <v>9.1999999999999987E-5</v>
      </c>
      <c r="F524" s="1">
        <f t="shared" si="56"/>
        <v>0.99990800000000002</v>
      </c>
      <c r="G524" s="1">
        <f t="shared" si="57"/>
        <v>0.97519716779398458</v>
      </c>
      <c r="H524" s="34">
        <f t="shared" si="60"/>
        <v>0.12320431399883457</v>
      </c>
      <c r="I524" s="36">
        <f t="shared" si="61"/>
        <v>0.12014849807166424</v>
      </c>
    </row>
    <row r="525" spans="2:9" x14ac:dyDescent="0.35">
      <c r="B525" s="16">
        <f t="shared" si="62"/>
        <v>43.000000000000128</v>
      </c>
      <c r="C525" s="17">
        <f t="shared" si="58"/>
        <v>43.000000000000128</v>
      </c>
      <c r="D525" s="1" cm="1">
        <f t="array" ref="D525">_xlfn.XLOOKUP(_xlfn.FLOOR.MATH(C525),'Mortality Tables'!$B$4:$B$124,_xlfn.XLOOKUP(mortality_table,'Mortality Tables'!$B$3:$G$3,'Mortality Tables'!$B$4:$G$124,0,0),0,0)</f>
        <v>1.2080000000000001E-3</v>
      </c>
      <c r="E525" s="1">
        <f t="shared" si="59"/>
        <v>1.0066666666666667E-4</v>
      </c>
      <c r="F525" s="1">
        <f t="shared" si="56"/>
        <v>0.99989933333333336</v>
      </c>
      <c r="G525" s="1">
        <f t="shared" si="57"/>
        <v>0.97510744965454754</v>
      </c>
      <c r="H525" s="34">
        <f t="shared" si="60"/>
        <v>0.12270440108003607</v>
      </c>
      <c r="I525" s="36">
        <f t="shared" si="61"/>
        <v>0.11964997559854268</v>
      </c>
    </row>
    <row r="526" spans="2:9" x14ac:dyDescent="0.35">
      <c r="B526" s="16">
        <f t="shared" si="62"/>
        <v>43.083333333333464</v>
      </c>
      <c r="C526" s="17">
        <f t="shared" si="58"/>
        <v>43.083333333333464</v>
      </c>
      <c r="D526" s="1" cm="1">
        <f t="array" ref="D526">_xlfn.XLOOKUP(_xlfn.FLOOR.MATH(C526),'Mortality Tables'!$B$4:$B$124,_xlfn.XLOOKUP(mortality_table,'Mortality Tables'!$B$3:$G$3,'Mortality Tables'!$B$4:$G$124,0,0),0,0)</f>
        <v>1.2080000000000001E-3</v>
      </c>
      <c r="E526" s="1">
        <f t="shared" si="59"/>
        <v>1.0066666666666667E-4</v>
      </c>
      <c r="F526" s="1">
        <f t="shared" si="56"/>
        <v>0.99989933333333336</v>
      </c>
      <c r="G526" s="1">
        <f t="shared" si="57"/>
        <v>0.97500928883794902</v>
      </c>
      <c r="H526" s="34">
        <f t="shared" si="60"/>
        <v>0.12220651660422197</v>
      </c>
      <c r="I526" s="36">
        <f t="shared" si="61"/>
        <v>0.11915248884564547</v>
      </c>
    </row>
    <row r="527" spans="2:9" x14ac:dyDescent="0.35">
      <c r="B527" s="16">
        <f t="shared" si="62"/>
        <v>43.166666666666799</v>
      </c>
      <c r="C527" s="17">
        <f t="shared" si="58"/>
        <v>43.166666666666799</v>
      </c>
      <c r="D527" s="1" cm="1">
        <f t="array" ref="D527">_xlfn.XLOOKUP(_xlfn.FLOOR.MATH(C527),'Mortality Tables'!$B$4:$B$124,_xlfn.XLOOKUP(mortality_table,'Mortality Tables'!$B$3:$G$3,'Mortality Tables'!$B$4:$G$124,0,0),0,0)</f>
        <v>1.2080000000000001E-3</v>
      </c>
      <c r="E527" s="1">
        <f t="shared" si="59"/>
        <v>1.0066666666666667E-4</v>
      </c>
      <c r="F527" s="1">
        <f t="shared" si="56"/>
        <v>0.99989933333333336</v>
      </c>
      <c r="G527" s="1">
        <f t="shared" si="57"/>
        <v>0.97491113790287265</v>
      </c>
      <c r="H527" s="34">
        <f t="shared" si="60"/>
        <v>0.12171065234079696</v>
      </c>
      <c r="I527" s="36">
        <f t="shared" si="61"/>
        <v>0.11865707056846729</v>
      </c>
    </row>
    <row r="528" spans="2:9" x14ac:dyDescent="0.35">
      <c r="B528" s="16">
        <f t="shared" si="62"/>
        <v>43.250000000000135</v>
      </c>
      <c r="C528" s="17">
        <f t="shared" si="58"/>
        <v>43.250000000000135</v>
      </c>
      <c r="D528" s="1" cm="1">
        <f t="array" ref="D528">_xlfn.XLOOKUP(_xlfn.FLOOR.MATH(C528),'Mortality Tables'!$B$4:$B$124,_xlfn.XLOOKUP(mortality_table,'Mortality Tables'!$B$3:$G$3,'Mortality Tables'!$B$4:$G$124,0,0),0,0)</f>
        <v>1.2080000000000001E-3</v>
      </c>
      <c r="E528" s="1">
        <f t="shared" si="59"/>
        <v>1.0066666666666667E-4</v>
      </c>
      <c r="F528" s="1">
        <f t="shared" si="56"/>
        <v>0.99989933333333336</v>
      </c>
      <c r="G528" s="1">
        <f t="shared" si="57"/>
        <v>0.97481299684832379</v>
      </c>
      <c r="H528" s="34">
        <f t="shared" si="60"/>
        <v>0.1212168000925621</v>
      </c>
      <c r="I528" s="36">
        <f t="shared" si="61"/>
        <v>0.11816371216659463</v>
      </c>
    </row>
    <row r="529" spans="2:9" x14ac:dyDescent="0.35">
      <c r="B529" s="16">
        <f t="shared" si="62"/>
        <v>43.333333333333471</v>
      </c>
      <c r="C529" s="17">
        <f t="shared" si="58"/>
        <v>43.333333333333471</v>
      </c>
      <c r="D529" s="1" cm="1">
        <f t="array" ref="D529">_xlfn.XLOOKUP(_xlfn.FLOOR.MATH(C529),'Mortality Tables'!$B$4:$B$124,_xlfn.XLOOKUP(mortality_table,'Mortality Tables'!$B$3:$G$3,'Mortality Tables'!$B$4:$G$124,0,0),0,0)</f>
        <v>1.2080000000000001E-3</v>
      </c>
      <c r="E529" s="1">
        <f t="shared" si="59"/>
        <v>1.0066666666666667E-4</v>
      </c>
      <c r="F529" s="1">
        <f t="shared" si="56"/>
        <v>0.99989933333333336</v>
      </c>
      <c r="G529" s="1">
        <f t="shared" si="57"/>
        <v>0.97471486567330778</v>
      </c>
      <c r="H529" s="34">
        <f t="shared" si="60"/>
        <v>0.12072495169557933</v>
      </c>
      <c r="I529" s="36">
        <f t="shared" si="61"/>
        <v>0.11767240507537317</v>
      </c>
    </row>
    <row r="530" spans="2:9" x14ac:dyDescent="0.35">
      <c r="B530" s="16">
        <f t="shared" si="62"/>
        <v>43.416666666666806</v>
      </c>
      <c r="C530" s="17">
        <f t="shared" si="58"/>
        <v>43.416666666666806</v>
      </c>
      <c r="D530" s="1" cm="1">
        <f t="array" ref="D530">_xlfn.XLOOKUP(_xlfn.FLOOR.MATH(C530),'Mortality Tables'!$B$4:$B$124,_xlfn.XLOOKUP(mortality_table,'Mortality Tables'!$B$3:$G$3,'Mortality Tables'!$B$4:$G$124,0,0),0,0)</f>
        <v>1.2080000000000001E-3</v>
      </c>
      <c r="E530" s="1">
        <f t="shared" si="59"/>
        <v>1.0066666666666667E-4</v>
      </c>
      <c r="F530" s="1">
        <f t="shared" si="56"/>
        <v>0.99989933333333336</v>
      </c>
      <c r="G530" s="1">
        <f t="shared" si="57"/>
        <v>0.97461674437682999</v>
      </c>
      <c r="H530" s="34">
        <f t="shared" si="60"/>
        <v>0.12023509901903653</v>
      </c>
      <c r="I530" s="36">
        <f t="shared" si="61"/>
        <v>0.11718314076575917</v>
      </c>
    </row>
    <row r="531" spans="2:9" x14ac:dyDescent="0.35">
      <c r="B531" s="16">
        <f t="shared" si="62"/>
        <v>43.500000000000142</v>
      </c>
      <c r="C531" s="17">
        <f t="shared" si="58"/>
        <v>43.500000000000142</v>
      </c>
      <c r="D531" s="1" cm="1">
        <f t="array" ref="D531">_xlfn.XLOOKUP(_xlfn.FLOOR.MATH(C531),'Mortality Tables'!$B$4:$B$124,_xlfn.XLOOKUP(mortality_table,'Mortality Tables'!$B$3:$G$3,'Mortality Tables'!$B$4:$G$124,0,0),0,0)</f>
        <v>1.2080000000000001E-3</v>
      </c>
      <c r="E531" s="1">
        <f t="shared" si="59"/>
        <v>1.0066666666666667E-4</v>
      </c>
      <c r="F531" s="1">
        <f t="shared" si="56"/>
        <v>0.99989933333333336</v>
      </c>
      <c r="G531" s="1">
        <f t="shared" si="57"/>
        <v>0.97451863295789609</v>
      </c>
      <c r="H531" s="34">
        <f t="shared" si="60"/>
        <v>0.11974723396511315</v>
      </c>
      <c r="I531" s="36">
        <f t="shared" si="61"/>
        <v>0.1166959107441714</v>
      </c>
    </row>
    <row r="532" spans="2:9" x14ac:dyDescent="0.35">
      <c r="B532" s="16">
        <f t="shared" si="62"/>
        <v>43.583333333333478</v>
      </c>
      <c r="C532" s="17">
        <f t="shared" si="58"/>
        <v>43.583333333333478</v>
      </c>
      <c r="D532" s="1" cm="1">
        <f t="array" ref="D532">_xlfn.XLOOKUP(_xlfn.FLOOR.MATH(C532),'Mortality Tables'!$B$4:$B$124,_xlfn.XLOOKUP(mortality_table,'Mortality Tables'!$B$3:$G$3,'Mortality Tables'!$B$4:$G$124,0,0),0,0)</f>
        <v>1.2080000000000001E-3</v>
      </c>
      <c r="E532" s="1">
        <f t="shared" si="59"/>
        <v>1.0066666666666667E-4</v>
      </c>
      <c r="F532" s="1">
        <f t="shared" si="56"/>
        <v>0.99989933333333336</v>
      </c>
      <c r="G532" s="1">
        <f t="shared" si="57"/>
        <v>0.97442053141551166</v>
      </c>
      <c r="H532" s="34">
        <f t="shared" si="60"/>
        <v>0.11926134846884624</v>
      </c>
      <c r="I532" s="36">
        <f t="shared" si="61"/>
        <v>0.11621070655234367</v>
      </c>
    </row>
    <row r="533" spans="2:9" x14ac:dyDescent="0.35">
      <c r="B533" s="16">
        <f t="shared" si="62"/>
        <v>43.666666666666814</v>
      </c>
      <c r="C533" s="17">
        <f t="shared" si="58"/>
        <v>43.666666666666814</v>
      </c>
      <c r="D533" s="1" cm="1">
        <f t="array" ref="D533">_xlfn.XLOOKUP(_xlfn.FLOOR.MATH(C533),'Mortality Tables'!$B$4:$B$124,_xlfn.XLOOKUP(mortality_table,'Mortality Tables'!$B$3:$G$3,'Mortality Tables'!$B$4:$G$124,0,0),0,0)</f>
        <v>1.2080000000000001E-3</v>
      </c>
      <c r="E533" s="1">
        <f t="shared" si="59"/>
        <v>1.0066666666666667E-4</v>
      </c>
      <c r="F533" s="1">
        <f t="shared" si="56"/>
        <v>0.99989933333333336</v>
      </c>
      <c r="G533" s="1">
        <f t="shared" si="57"/>
        <v>0.97432243974868249</v>
      </c>
      <c r="H533" s="34">
        <f t="shared" si="60"/>
        <v>0.11877743449799719</v>
      </c>
      <c r="I533" s="36">
        <f t="shared" si="61"/>
        <v>0.11572751976717795</v>
      </c>
    </row>
    <row r="534" spans="2:9" x14ac:dyDescent="0.35">
      <c r="B534" s="16">
        <f t="shared" si="62"/>
        <v>43.750000000000149</v>
      </c>
      <c r="C534" s="17">
        <f t="shared" si="58"/>
        <v>43.750000000000149</v>
      </c>
      <c r="D534" s="1" cm="1">
        <f t="array" ref="D534">_xlfn.XLOOKUP(_xlfn.FLOOR.MATH(C534),'Mortality Tables'!$B$4:$B$124,_xlfn.XLOOKUP(mortality_table,'Mortality Tables'!$B$3:$G$3,'Mortality Tables'!$B$4:$G$124,0,0),0,0)</f>
        <v>1.2080000000000001E-3</v>
      </c>
      <c r="E534" s="1">
        <f t="shared" si="59"/>
        <v>1.0066666666666667E-4</v>
      </c>
      <c r="F534" s="1">
        <f t="shared" si="56"/>
        <v>0.99989933333333336</v>
      </c>
      <c r="G534" s="1">
        <f t="shared" si="57"/>
        <v>0.97422435795641449</v>
      </c>
      <c r="H534" s="34">
        <f t="shared" si="60"/>
        <v>0.11829548405291904</v>
      </c>
      <c r="I534" s="36">
        <f t="shared" si="61"/>
        <v>0.11524634200059831</v>
      </c>
    </row>
    <row r="535" spans="2:9" x14ac:dyDescent="0.35">
      <c r="B535" s="16">
        <f t="shared" si="62"/>
        <v>43.833333333333485</v>
      </c>
      <c r="C535" s="17">
        <f t="shared" si="58"/>
        <v>43.833333333333485</v>
      </c>
      <c r="D535" s="1" cm="1">
        <f t="array" ref="D535">_xlfn.XLOOKUP(_xlfn.FLOOR.MATH(C535),'Mortality Tables'!$B$4:$B$124,_xlfn.XLOOKUP(mortality_table,'Mortality Tables'!$B$3:$G$3,'Mortality Tables'!$B$4:$G$124,0,0),0,0)</f>
        <v>1.2080000000000001E-3</v>
      </c>
      <c r="E535" s="1">
        <f t="shared" si="59"/>
        <v>1.0066666666666667E-4</v>
      </c>
      <c r="F535" s="1">
        <f t="shared" si="56"/>
        <v>0.99989933333333336</v>
      </c>
      <c r="G535" s="1">
        <f t="shared" si="57"/>
        <v>0.97412628603771356</v>
      </c>
      <c r="H535" s="34">
        <f t="shared" si="60"/>
        <v>0.11781548916642394</v>
      </c>
      <c r="I535" s="36">
        <f t="shared" si="61"/>
        <v>0.11476716489940503</v>
      </c>
    </row>
    <row r="536" spans="2:9" x14ac:dyDescent="0.35">
      <c r="B536" s="16">
        <f t="shared" si="62"/>
        <v>43.916666666666821</v>
      </c>
      <c r="C536" s="17">
        <f t="shared" si="58"/>
        <v>43.916666666666821</v>
      </c>
      <c r="D536" s="1" cm="1">
        <f t="array" ref="D536">_xlfn.XLOOKUP(_xlfn.FLOOR.MATH(C536),'Mortality Tables'!$B$4:$B$124,_xlfn.XLOOKUP(mortality_table,'Mortality Tables'!$B$3:$G$3,'Mortality Tables'!$B$4:$G$124,0,0),0,0)</f>
        <v>1.2080000000000001E-3</v>
      </c>
      <c r="E536" s="1">
        <f t="shared" si="59"/>
        <v>1.0066666666666667E-4</v>
      </c>
      <c r="F536" s="1">
        <f t="shared" si="56"/>
        <v>0.99989933333333336</v>
      </c>
      <c r="G536" s="1">
        <f t="shared" si="57"/>
        <v>0.97402822399158584</v>
      </c>
      <c r="H536" s="34">
        <f t="shared" si="60"/>
        <v>0.11733744190365179</v>
      </c>
      <c r="I536" s="36">
        <f t="shared" si="61"/>
        <v>0.11428998014512984</v>
      </c>
    </row>
    <row r="537" spans="2:9" x14ac:dyDescent="0.35">
      <c r="B537" s="16">
        <f t="shared" si="62"/>
        <v>44.000000000000156</v>
      </c>
      <c r="C537" s="17">
        <f t="shared" si="58"/>
        <v>44.000000000000156</v>
      </c>
      <c r="D537" s="1" cm="1">
        <f t="array" ref="D537">_xlfn.XLOOKUP(_xlfn.FLOOR.MATH(C537),'Mortality Tables'!$B$4:$B$124,_xlfn.XLOOKUP(mortality_table,'Mortality Tables'!$B$3:$G$3,'Mortality Tables'!$B$4:$G$124,0,0),0,0)</f>
        <v>1.3270000000000001E-3</v>
      </c>
      <c r="E537" s="1">
        <f t="shared" si="59"/>
        <v>1.1058333333333333E-4</v>
      </c>
      <c r="F537" s="1">
        <f t="shared" si="56"/>
        <v>0.99988941666666664</v>
      </c>
      <c r="G537" s="1">
        <f t="shared" si="57"/>
        <v>0.97393017181703734</v>
      </c>
      <c r="H537" s="34">
        <f t="shared" si="60"/>
        <v>0.11686133436193892</v>
      </c>
      <c r="I537" s="36">
        <f t="shared" si="61"/>
        <v>0.11381477945389142</v>
      </c>
    </row>
    <row r="538" spans="2:9" x14ac:dyDescent="0.35">
      <c r="B538" s="16">
        <f t="shared" si="62"/>
        <v>44.083333333333492</v>
      </c>
      <c r="C538" s="17">
        <f t="shared" si="58"/>
        <v>44.083333333333492</v>
      </c>
      <c r="D538" s="1" cm="1">
        <f t="array" ref="D538">_xlfn.XLOOKUP(_xlfn.FLOOR.MATH(C538),'Mortality Tables'!$B$4:$B$124,_xlfn.XLOOKUP(mortality_table,'Mortality Tables'!$B$3:$G$3,'Mortality Tables'!$B$4:$G$124,0,0),0,0)</f>
        <v>1.3270000000000001E-3</v>
      </c>
      <c r="E538" s="1">
        <f t="shared" si="59"/>
        <v>1.1058333333333333E-4</v>
      </c>
      <c r="F538" s="1">
        <f t="shared" si="56"/>
        <v>0.99988941666666664</v>
      </c>
      <c r="G538" s="1">
        <f t="shared" si="57"/>
        <v>0.9738224713722039</v>
      </c>
      <c r="H538" s="34">
        <f t="shared" si="60"/>
        <v>0.11638715867068741</v>
      </c>
      <c r="I538" s="36">
        <f t="shared" si="61"/>
        <v>0.11334043049267764</v>
      </c>
    </row>
    <row r="539" spans="2:9" x14ac:dyDescent="0.35">
      <c r="B539" s="16">
        <f t="shared" si="62"/>
        <v>44.166666666666828</v>
      </c>
      <c r="C539" s="17">
        <f t="shared" si="58"/>
        <v>44.166666666666828</v>
      </c>
      <c r="D539" s="1" cm="1">
        <f t="array" ref="D539">_xlfn.XLOOKUP(_xlfn.FLOOR.MATH(C539),'Mortality Tables'!$B$4:$B$124,_xlfn.XLOOKUP(mortality_table,'Mortality Tables'!$B$3:$G$3,'Mortality Tables'!$B$4:$G$124,0,0),0,0)</f>
        <v>1.3270000000000001E-3</v>
      </c>
      <c r="E539" s="1">
        <f t="shared" si="59"/>
        <v>1.1058333333333333E-4</v>
      </c>
      <c r="F539" s="1">
        <f t="shared" ref="F539:F602" si="63">1-E539</f>
        <v>0.99988941666666664</v>
      </c>
      <c r="G539" s="1">
        <f t="shared" ref="G539:G602" si="64">G538*F538</f>
        <v>0.97371478283724466</v>
      </c>
      <c r="H539" s="34">
        <f t="shared" si="60"/>
        <v>0.11591490699123502</v>
      </c>
      <c r="I539" s="36">
        <f t="shared" si="61"/>
        <v>0.11286805848856982</v>
      </c>
    </row>
    <row r="540" spans="2:9" x14ac:dyDescent="0.35">
      <c r="B540" s="16">
        <f t="shared" si="62"/>
        <v>44.250000000000163</v>
      </c>
      <c r="C540" s="17">
        <f t="shared" si="58"/>
        <v>44.250000000000163</v>
      </c>
      <c r="D540" s="1" cm="1">
        <f t="array" ref="D540">_xlfn.XLOOKUP(_xlfn.FLOOR.MATH(C540),'Mortality Tables'!$B$4:$B$124,_xlfn.XLOOKUP(mortality_table,'Mortality Tables'!$B$3:$G$3,'Mortality Tables'!$B$4:$G$124,0,0),0,0)</f>
        <v>1.3270000000000001E-3</v>
      </c>
      <c r="E540" s="1">
        <f t="shared" si="59"/>
        <v>1.1058333333333333E-4</v>
      </c>
      <c r="F540" s="1">
        <f t="shared" si="63"/>
        <v>0.99988941666666664</v>
      </c>
      <c r="G540" s="1">
        <f t="shared" si="64"/>
        <v>0.97360710621084257</v>
      </c>
      <c r="H540" s="34">
        <f t="shared" si="60"/>
        <v>0.11544457151672563</v>
      </c>
      <c r="I540" s="36">
        <f t="shared" si="61"/>
        <v>0.11239765520214991</v>
      </c>
    </row>
    <row r="541" spans="2:9" x14ac:dyDescent="0.35">
      <c r="B541" s="16">
        <f t="shared" si="62"/>
        <v>44.333333333333499</v>
      </c>
      <c r="C541" s="17">
        <f t="shared" si="58"/>
        <v>44.333333333333499</v>
      </c>
      <c r="D541" s="1" cm="1">
        <f t="array" ref="D541">_xlfn.XLOOKUP(_xlfn.FLOOR.MATH(C541),'Mortality Tables'!$B$4:$B$124,_xlfn.XLOOKUP(mortality_table,'Mortality Tables'!$B$3:$G$3,'Mortality Tables'!$B$4:$G$124,0,0),0,0)</f>
        <v>1.3270000000000001E-3</v>
      </c>
      <c r="E541" s="1">
        <f t="shared" si="59"/>
        <v>1.1058333333333333E-4</v>
      </c>
      <c r="F541" s="1">
        <f t="shared" si="63"/>
        <v>0.99988941666666664</v>
      </c>
      <c r="G541" s="1">
        <f t="shared" si="64"/>
        <v>0.97349944149168077</v>
      </c>
      <c r="H541" s="34">
        <f t="shared" si="60"/>
        <v>0.11497614447198014</v>
      </c>
      <c r="I541" s="36">
        <f t="shared" si="61"/>
        <v>0.11192921242833946</v>
      </c>
    </row>
    <row r="542" spans="2:9" x14ac:dyDescent="0.35">
      <c r="B542" s="16">
        <f t="shared" si="62"/>
        <v>44.416666666666835</v>
      </c>
      <c r="C542" s="17">
        <f t="shared" si="58"/>
        <v>44.416666666666835</v>
      </c>
      <c r="D542" s="1" cm="1">
        <f t="array" ref="D542">_xlfn.XLOOKUP(_xlfn.FLOOR.MATH(C542),'Mortality Tables'!$B$4:$B$124,_xlfn.XLOOKUP(mortality_table,'Mortality Tables'!$B$3:$G$3,'Mortality Tables'!$B$4:$G$124,0,0),0,0)</f>
        <v>1.3270000000000001E-3</v>
      </c>
      <c r="E542" s="1">
        <f t="shared" si="59"/>
        <v>1.1058333333333333E-4</v>
      </c>
      <c r="F542" s="1">
        <f t="shared" si="63"/>
        <v>0.99988941666666664</v>
      </c>
      <c r="G542" s="1">
        <f t="shared" si="64"/>
        <v>0.97339178867844245</v>
      </c>
      <c r="H542" s="34">
        <f t="shared" si="60"/>
        <v>0.11450961811336795</v>
      </c>
      <c r="I542" s="36">
        <f t="shared" si="61"/>
        <v>0.11146272199625661</v>
      </c>
    </row>
    <row r="543" spans="2:9" x14ac:dyDescent="0.35">
      <c r="B543" s="16">
        <f t="shared" si="62"/>
        <v>44.500000000000171</v>
      </c>
      <c r="C543" s="17">
        <f t="shared" si="58"/>
        <v>44.500000000000171</v>
      </c>
      <c r="D543" s="1" cm="1">
        <f t="array" ref="D543">_xlfn.XLOOKUP(_xlfn.FLOOR.MATH(C543),'Mortality Tables'!$B$4:$B$124,_xlfn.XLOOKUP(mortality_table,'Mortality Tables'!$B$3:$G$3,'Mortality Tables'!$B$4:$G$124,0,0),0,0)</f>
        <v>1.3270000000000001E-3</v>
      </c>
      <c r="E543" s="1">
        <f t="shared" si="59"/>
        <v>1.1058333333333333E-4</v>
      </c>
      <c r="F543" s="1">
        <f t="shared" si="63"/>
        <v>0.99988941666666664</v>
      </c>
      <c r="G543" s="1">
        <f t="shared" si="64"/>
        <v>0.97328414776981109</v>
      </c>
      <c r="H543" s="34">
        <f t="shared" si="60"/>
        <v>0.11404498472867902</v>
      </c>
      <c r="I543" s="36">
        <f t="shared" si="61"/>
        <v>0.11099817576907348</v>
      </c>
    </row>
    <row r="544" spans="2:9" x14ac:dyDescent="0.35">
      <c r="B544" s="16">
        <f t="shared" si="62"/>
        <v>44.583333333333506</v>
      </c>
      <c r="C544" s="17">
        <f t="shared" si="58"/>
        <v>44.583333333333506</v>
      </c>
      <c r="D544" s="1" cm="1">
        <f t="array" ref="D544">_xlfn.XLOOKUP(_xlfn.FLOOR.MATH(C544),'Mortality Tables'!$B$4:$B$124,_xlfn.XLOOKUP(mortality_table,'Mortality Tables'!$B$3:$G$3,'Mortality Tables'!$B$4:$G$124,0,0),0,0)</f>
        <v>1.3270000000000001E-3</v>
      </c>
      <c r="E544" s="1">
        <f t="shared" si="59"/>
        <v>1.1058333333333333E-4</v>
      </c>
      <c r="F544" s="1">
        <f t="shared" si="63"/>
        <v>0.99988941666666664</v>
      </c>
      <c r="G544" s="1">
        <f t="shared" si="64"/>
        <v>0.9731765187644702</v>
      </c>
      <c r="H544" s="34">
        <f t="shared" si="60"/>
        <v>0.11358223663699624</v>
      </c>
      <c r="I544" s="36">
        <f t="shared" si="61"/>
        <v>0.11053556564387426</v>
      </c>
    </row>
    <row r="545" spans="2:9" x14ac:dyDescent="0.35">
      <c r="B545" s="16">
        <f t="shared" si="62"/>
        <v>44.666666666666842</v>
      </c>
      <c r="C545" s="17">
        <f t="shared" si="58"/>
        <v>44.666666666666842</v>
      </c>
      <c r="D545" s="1" cm="1">
        <f t="array" ref="D545">_xlfn.XLOOKUP(_xlfn.FLOOR.MATH(C545),'Mortality Tables'!$B$4:$B$124,_xlfn.XLOOKUP(mortality_table,'Mortality Tables'!$B$3:$G$3,'Mortality Tables'!$B$4:$G$124,0,0),0,0)</f>
        <v>1.3270000000000001E-3</v>
      </c>
      <c r="E545" s="1">
        <f t="shared" si="59"/>
        <v>1.1058333333333333E-4</v>
      </c>
      <c r="F545" s="1">
        <f t="shared" si="63"/>
        <v>0.99988941666666664</v>
      </c>
      <c r="G545" s="1">
        <f t="shared" si="64"/>
        <v>0.97306890166110349</v>
      </c>
      <c r="H545" s="34">
        <f t="shared" si="60"/>
        <v>0.11312136618856865</v>
      </c>
      <c r="I545" s="36">
        <f t="shared" si="61"/>
        <v>0.11007488355151399</v>
      </c>
    </row>
    <row r="546" spans="2:9" x14ac:dyDescent="0.35">
      <c r="B546" s="16">
        <f t="shared" si="62"/>
        <v>44.750000000000178</v>
      </c>
      <c r="C546" s="17">
        <f t="shared" si="58"/>
        <v>44.750000000000178</v>
      </c>
      <c r="D546" s="1" cm="1">
        <f t="array" ref="D546">_xlfn.XLOOKUP(_xlfn.FLOOR.MATH(C546),'Mortality Tables'!$B$4:$B$124,_xlfn.XLOOKUP(mortality_table,'Mortality Tables'!$B$3:$G$3,'Mortality Tables'!$B$4:$G$124,0,0),0,0)</f>
        <v>1.3270000000000001E-3</v>
      </c>
      <c r="E546" s="1">
        <f t="shared" si="59"/>
        <v>1.1058333333333333E-4</v>
      </c>
      <c r="F546" s="1">
        <f t="shared" si="63"/>
        <v>0.99988941666666664</v>
      </c>
      <c r="G546" s="1">
        <f t="shared" si="64"/>
        <v>0.9729612964583948</v>
      </c>
      <c r="H546" s="34">
        <f t="shared" si="60"/>
        <v>0.11266236576468464</v>
      </c>
      <c r="I546" s="36">
        <f t="shared" si="61"/>
        <v>0.10961612145647744</v>
      </c>
    </row>
    <row r="547" spans="2:9" x14ac:dyDescent="0.35">
      <c r="B547" s="16">
        <f t="shared" si="62"/>
        <v>44.833333333333513</v>
      </c>
      <c r="C547" s="17">
        <f t="shared" si="58"/>
        <v>44.833333333333513</v>
      </c>
      <c r="D547" s="1" cm="1">
        <f t="array" ref="D547">_xlfn.XLOOKUP(_xlfn.FLOOR.MATH(C547),'Mortality Tables'!$B$4:$B$124,_xlfn.XLOOKUP(mortality_table,'Mortality Tables'!$B$3:$G$3,'Mortality Tables'!$B$4:$G$124,0,0),0,0)</f>
        <v>1.3270000000000001E-3</v>
      </c>
      <c r="E547" s="1">
        <f t="shared" si="59"/>
        <v>1.1058333333333333E-4</v>
      </c>
      <c r="F547" s="1">
        <f t="shared" si="63"/>
        <v>0.99988941666666664</v>
      </c>
      <c r="G547" s="1">
        <f t="shared" si="64"/>
        <v>0.97285370315502806</v>
      </c>
      <c r="H547" s="34">
        <f t="shared" si="60"/>
        <v>0.11220522777754643</v>
      </c>
      <c r="I547" s="36">
        <f t="shared" si="61"/>
        <v>0.10915927135673947</v>
      </c>
    </row>
    <row r="548" spans="2:9" x14ac:dyDescent="0.35">
      <c r="B548" s="16">
        <f t="shared" si="62"/>
        <v>44.916666666666849</v>
      </c>
      <c r="C548" s="17">
        <f t="shared" si="58"/>
        <v>44.916666666666849</v>
      </c>
      <c r="D548" s="1" cm="1">
        <f t="array" ref="D548">_xlfn.XLOOKUP(_xlfn.FLOOR.MATH(C548),'Mortality Tables'!$B$4:$B$124,_xlfn.XLOOKUP(mortality_table,'Mortality Tables'!$B$3:$G$3,'Mortality Tables'!$B$4:$G$124,0,0),0,0)</f>
        <v>1.3270000000000001E-3</v>
      </c>
      <c r="E548" s="1">
        <f t="shared" si="59"/>
        <v>1.1058333333333333E-4</v>
      </c>
      <c r="F548" s="1">
        <f t="shared" si="63"/>
        <v>0.99988941666666664</v>
      </c>
      <c r="G548" s="1">
        <f t="shared" si="64"/>
        <v>0.97274612174968744</v>
      </c>
      <c r="H548" s="34">
        <f t="shared" si="60"/>
        <v>0.1117499446701444</v>
      </c>
      <c r="I548" s="36">
        <f t="shared" si="61"/>
        <v>0.10870432528362513</v>
      </c>
    </row>
    <row r="549" spans="2:9" x14ac:dyDescent="0.35">
      <c r="B549" s="16">
        <f t="shared" si="62"/>
        <v>45.000000000000185</v>
      </c>
      <c r="C549" s="17">
        <f t="shared" si="58"/>
        <v>45.000000000000185</v>
      </c>
      <c r="D549" s="1" cm="1">
        <f t="array" ref="D549">_xlfn.XLOOKUP(_xlfn.FLOOR.MATH(C549),'Mortality Tables'!$B$4:$B$124,_xlfn.XLOOKUP(mortality_table,'Mortality Tables'!$B$3:$G$3,'Mortality Tables'!$B$4:$G$124,0,0),0,0)</f>
        <v>1.4649999999999999E-3</v>
      </c>
      <c r="E549" s="1">
        <f t="shared" si="59"/>
        <v>1.2208333333333331E-4</v>
      </c>
      <c r="F549" s="1">
        <f t="shared" si="63"/>
        <v>0.9998779166666667</v>
      </c>
      <c r="G549" s="1">
        <f t="shared" si="64"/>
        <v>0.97263855224105722</v>
      </c>
      <c r="H549" s="34">
        <f t="shared" si="60"/>
        <v>0.11129650891613216</v>
      </c>
      <c r="I549" s="36">
        <f t="shared" si="61"/>
        <v>0.1082512753016707</v>
      </c>
    </row>
    <row r="550" spans="2:9" x14ac:dyDescent="0.35">
      <c r="B550" s="16">
        <f t="shared" si="62"/>
        <v>45.08333333333352</v>
      </c>
      <c r="C550" s="17">
        <f t="shared" si="58"/>
        <v>45.08333333333352</v>
      </c>
      <c r="D550" s="1" cm="1">
        <f t="array" ref="D550">_xlfn.XLOOKUP(_xlfn.FLOOR.MATH(C550),'Mortality Tables'!$B$4:$B$124,_xlfn.XLOOKUP(mortality_table,'Mortality Tables'!$B$3:$G$3,'Mortality Tables'!$B$4:$G$124,0,0),0,0)</f>
        <v>1.4649999999999999E-3</v>
      </c>
      <c r="E550" s="1">
        <f t="shared" si="59"/>
        <v>1.2208333333333331E-4</v>
      </c>
      <c r="F550" s="1">
        <f t="shared" si="63"/>
        <v>0.9998779166666667</v>
      </c>
      <c r="G550" s="1">
        <f t="shared" si="64"/>
        <v>0.97251980928447113</v>
      </c>
      <c r="H550" s="34">
        <f t="shared" si="60"/>
        <v>0.11084491301970212</v>
      </c>
      <c r="I550" s="36">
        <f t="shared" si="61"/>
        <v>0.1077988736700745</v>
      </c>
    </row>
    <row r="551" spans="2:9" x14ac:dyDescent="0.35">
      <c r="B551" s="16">
        <f t="shared" si="62"/>
        <v>45.166666666666856</v>
      </c>
      <c r="C551" s="17">
        <f t="shared" si="58"/>
        <v>45.166666666666856</v>
      </c>
      <c r="D551" s="1" cm="1">
        <f t="array" ref="D551">_xlfn.XLOOKUP(_xlfn.FLOOR.MATH(C551),'Mortality Tables'!$B$4:$B$124,_xlfn.XLOOKUP(mortality_table,'Mortality Tables'!$B$3:$G$3,'Mortality Tables'!$B$4:$G$124,0,0),0,0)</f>
        <v>1.4649999999999999E-3</v>
      </c>
      <c r="E551" s="1">
        <f t="shared" si="59"/>
        <v>1.2208333333333331E-4</v>
      </c>
      <c r="F551" s="1">
        <f t="shared" si="63"/>
        <v>0.9998779166666667</v>
      </c>
      <c r="G551" s="1">
        <f t="shared" si="64"/>
        <v>0.972401080824421</v>
      </c>
      <c r="H551" s="34">
        <f t="shared" si="60"/>
        <v>0.11039514951546175</v>
      </c>
      <c r="I551" s="36">
        <f t="shared" si="61"/>
        <v>0.10734836270660857</v>
      </c>
    </row>
    <row r="552" spans="2:9" x14ac:dyDescent="0.35">
      <c r="B552" s="16">
        <f t="shared" si="62"/>
        <v>45.250000000000192</v>
      </c>
      <c r="C552" s="17">
        <f t="shared" si="58"/>
        <v>45.250000000000192</v>
      </c>
      <c r="D552" s="1" cm="1">
        <f t="array" ref="D552">_xlfn.XLOOKUP(_xlfn.FLOOR.MATH(C552),'Mortality Tables'!$B$4:$B$124,_xlfn.XLOOKUP(mortality_table,'Mortality Tables'!$B$3:$G$3,'Mortality Tables'!$B$4:$G$124,0,0),0,0)</f>
        <v>1.4649999999999999E-3</v>
      </c>
      <c r="E552" s="1">
        <f t="shared" si="59"/>
        <v>1.2208333333333331E-4</v>
      </c>
      <c r="F552" s="1">
        <f t="shared" si="63"/>
        <v>0.9998779166666667</v>
      </c>
      <c r="G552" s="1">
        <f t="shared" si="64"/>
        <v>0.97228236685913705</v>
      </c>
      <c r="H552" s="34">
        <f t="shared" si="60"/>
        <v>0.10994721096830996</v>
      </c>
      <c r="I552" s="36">
        <f t="shared" si="61"/>
        <v>0.10689973450982929</v>
      </c>
    </row>
    <row r="553" spans="2:9" x14ac:dyDescent="0.35">
      <c r="B553" s="16">
        <f t="shared" si="62"/>
        <v>45.333333333333528</v>
      </c>
      <c r="C553" s="17">
        <f t="shared" si="58"/>
        <v>45.333333333333528</v>
      </c>
      <c r="D553" s="1" cm="1">
        <f t="array" ref="D553">_xlfn.XLOOKUP(_xlfn.FLOOR.MATH(C553),'Mortality Tables'!$B$4:$B$124,_xlfn.XLOOKUP(mortality_table,'Mortality Tables'!$B$3:$G$3,'Mortality Tables'!$B$4:$G$124,0,0),0,0)</f>
        <v>1.4649999999999999E-3</v>
      </c>
      <c r="E553" s="1">
        <f t="shared" si="59"/>
        <v>1.2208333333333331E-4</v>
      </c>
      <c r="F553" s="1">
        <f t="shared" si="63"/>
        <v>0.9998779166666667</v>
      </c>
      <c r="G553" s="1">
        <f t="shared" si="64"/>
        <v>0.97216366738684967</v>
      </c>
      <c r="H553" s="34">
        <f t="shared" si="60"/>
        <v>0.10950108997331426</v>
      </c>
      <c r="I553" s="36">
        <f t="shared" si="61"/>
        <v>0.10645298121131458</v>
      </c>
    </row>
    <row r="554" spans="2:9" x14ac:dyDescent="0.35">
      <c r="B554" s="16">
        <f t="shared" si="62"/>
        <v>45.416666666666863</v>
      </c>
      <c r="C554" s="17">
        <f t="shared" si="58"/>
        <v>45.416666666666863</v>
      </c>
      <c r="D554" s="1" cm="1">
        <f t="array" ref="D554">_xlfn.XLOOKUP(_xlfn.FLOOR.MATH(C554),'Mortality Tables'!$B$4:$B$124,_xlfn.XLOOKUP(mortality_table,'Mortality Tables'!$B$3:$G$3,'Mortality Tables'!$B$4:$G$124,0,0),0,0)</f>
        <v>1.4649999999999999E-3</v>
      </c>
      <c r="E554" s="1">
        <f t="shared" si="59"/>
        <v>1.2208333333333331E-4</v>
      </c>
      <c r="F554" s="1">
        <f t="shared" si="63"/>
        <v>0.9998779166666667</v>
      </c>
      <c r="G554" s="1">
        <f t="shared" si="64"/>
        <v>0.97204498240578951</v>
      </c>
      <c r="H554" s="34">
        <f t="shared" si="60"/>
        <v>0.10905677915558838</v>
      </c>
      <c r="I554" s="36">
        <f t="shared" si="61"/>
        <v>0.10600809497552598</v>
      </c>
    </row>
    <row r="555" spans="2:9" x14ac:dyDescent="0.35">
      <c r="B555" s="16">
        <f t="shared" si="62"/>
        <v>45.500000000000199</v>
      </c>
      <c r="C555" s="17">
        <f t="shared" si="58"/>
        <v>45.500000000000199</v>
      </c>
      <c r="D555" s="1" cm="1">
        <f t="array" ref="D555">_xlfn.XLOOKUP(_xlfn.FLOOR.MATH(C555),'Mortality Tables'!$B$4:$B$124,_xlfn.XLOOKUP(mortality_table,'Mortality Tables'!$B$3:$G$3,'Mortality Tables'!$B$4:$G$124,0,0),0,0)</f>
        <v>1.4649999999999999E-3</v>
      </c>
      <c r="E555" s="1">
        <f t="shared" si="59"/>
        <v>1.2208333333333331E-4</v>
      </c>
      <c r="F555" s="1">
        <f t="shared" si="63"/>
        <v>0.9998779166666667</v>
      </c>
      <c r="G555" s="1">
        <f t="shared" si="64"/>
        <v>0.97192631191418755</v>
      </c>
      <c r="H555" s="34">
        <f t="shared" si="60"/>
        <v>0.10861427117017038</v>
      </c>
      <c r="I555" s="36">
        <f t="shared" si="61"/>
        <v>0.10556506799967116</v>
      </c>
    </row>
    <row r="556" spans="2:9" x14ac:dyDescent="0.35">
      <c r="B556" s="16">
        <f t="shared" si="62"/>
        <v>45.583333333333535</v>
      </c>
      <c r="C556" s="17">
        <f t="shared" si="58"/>
        <v>45.583333333333535</v>
      </c>
      <c r="D556" s="1" cm="1">
        <f t="array" ref="D556">_xlfn.XLOOKUP(_xlfn.FLOOR.MATH(C556),'Mortality Tables'!$B$4:$B$124,_xlfn.XLOOKUP(mortality_table,'Mortality Tables'!$B$3:$G$3,'Mortality Tables'!$B$4:$G$124,0,0),0,0)</f>
        <v>1.4649999999999999E-3</v>
      </c>
      <c r="E556" s="1">
        <f t="shared" si="59"/>
        <v>1.2208333333333331E-4</v>
      </c>
      <c r="F556" s="1">
        <f t="shared" si="63"/>
        <v>0.9998779166666667</v>
      </c>
      <c r="G556" s="1">
        <f t="shared" si="64"/>
        <v>0.97180765591027474</v>
      </c>
      <c r="H556" s="34">
        <f t="shared" si="60"/>
        <v>0.10817355870190107</v>
      </c>
      <c r="I556" s="36">
        <f t="shared" si="61"/>
        <v>0.10512389251356698</v>
      </c>
    </row>
    <row r="557" spans="2:9" x14ac:dyDescent="0.35">
      <c r="B557" s="16">
        <f t="shared" si="62"/>
        <v>45.66666666666687</v>
      </c>
      <c r="C557" s="17">
        <f t="shared" si="58"/>
        <v>45.66666666666687</v>
      </c>
      <c r="D557" s="1" cm="1">
        <f t="array" ref="D557">_xlfn.XLOOKUP(_xlfn.FLOOR.MATH(C557),'Mortality Tables'!$B$4:$B$124,_xlfn.XLOOKUP(mortality_table,'Mortality Tables'!$B$3:$G$3,'Mortality Tables'!$B$4:$G$124,0,0),0,0)</f>
        <v>1.4649999999999999E-3</v>
      </c>
      <c r="E557" s="1">
        <f t="shared" si="59"/>
        <v>1.2208333333333331E-4</v>
      </c>
      <c r="F557" s="1">
        <f t="shared" si="63"/>
        <v>0.9998779166666667</v>
      </c>
      <c r="G557" s="1">
        <f t="shared" si="64"/>
        <v>0.97168901439228239</v>
      </c>
      <c r="H557" s="34">
        <f t="shared" si="60"/>
        <v>0.10773463446530332</v>
      </c>
      <c r="I557" s="36">
        <f t="shared" si="61"/>
        <v>0.1046845607795034</v>
      </c>
    </row>
    <row r="558" spans="2:9" x14ac:dyDescent="0.35">
      <c r="B558" s="16">
        <f t="shared" si="62"/>
        <v>45.750000000000206</v>
      </c>
      <c r="C558" s="17">
        <f t="shared" si="58"/>
        <v>45.750000000000206</v>
      </c>
      <c r="D558" s="1" cm="1">
        <f t="array" ref="D558">_xlfn.XLOOKUP(_xlfn.FLOOR.MATH(C558),'Mortality Tables'!$B$4:$B$124,_xlfn.XLOOKUP(mortality_table,'Mortality Tables'!$B$3:$G$3,'Mortality Tables'!$B$4:$G$124,0,0),0,0)</f>
        <v>1.4649999999999999E-3</v>
      </c>
      <c r="E558" s="1">
        <f t="shared" si="59"/>
        <v>1.2208333333333331E-4</v>
      </c>
      <c r="F558" s="1">
        <f t="shared" si="63"/>
        <v>0.9998779166666667</v>
      </c>
      <c r="G558" s="1">
        <f t="shared" si="64"/>
        <v>0.97157038735844203</v>
      </c>
      <c r="H558" s="34">
        <f t="shared" si="60"/>
        <v>0.1072974912044614</v>
      </c>
      <c r="I558" s="36">
        <f t="shared" si="61"/>
        <v>0.10424706509210759</v>
      </c>
    </row>
    <row r="559" spans="2:9" x14ac:dyDescent="0.35">
      <c r="B559" s="16">
        <f t="shared" si="62"/>
        <v>45.833333333333542</v>
      </c>
      <c r="C559" s="17">
        <f t="shared" si="58"/>
        <v>45.833333333333542</v>
      </c>
      <c r="D559" s="1" cm="1">
        <f t="array" ref="D559">_xlfn.XLOOKUP(_xlfn.FLOOR.MATH(C559),'Mortality Tables'!$B$4:$B$124,_xlfn.XLOOKUP(mortality_table,'Mortality Tables'!$B$3:$G$3,'Mortality Tables'!$B$4:$G$124,0,0),0,0)</f>
        <v>1.4649999999999999E-3</v>
      </c>
      <c r="E559" s="1">
        <f t="shared" si="59"/>
        <v>1.2208333333333331E-4</v>
      </c>
      <c r="F559" s="1">
        <f t="shared" si="63"/>
        <v>0.9998779166666667</v>
      </c>
      <c r="G559" s="1">
        <f t="shared" si="64"/>
        <v>0.97145177480698541</v>
      </c>
      <c r="H559" s="34">
        <f t="shared" si="60"/>
        <v>0.10686212169290121</v>
      </c>
      <c r="I559" s="36">
        <f t="shared" si="61"/>
        <v>0.10381139777820894</v>
      </c>
    </row>
    <row r="560" spans="2:9" x14ac:dyDescent="0.35">
      <c r="B560" s="16">
        <f t="shared" si="62"/>
        <v>45.916666666666877</v>
      </c>
      <c r="C560" s="17">
        <f t="shared" si="58"/>
        <v>45.916666666666877</v>
      </c>
      <c r="D560" s="1" cm="1">
        <f t="array" ref="D560">_xlfn.XLOOKUP(_xlfn.FLOOR.MATH(C560),'Mortality Tables'!$B$4:$B$124,_xlfn.XLOOKUP(mortality_table,'Mortality Tables'!$B$3:$G$3,'Mortality Tables'!$B$4:$G$124,0,0),0,0)</f>
        <v>1.4649999999999999E-3</v>
      </c>
      <c r="E560" s="1">
        <f t="shared" si="59"/>
        <v>1.2208333333333331E-4</v>
      </c>
      <c r="F560" s="1">
        <f t="shared" si="63"/>
        <v>0.9998779166666667</v>
      </c>
      <c r="G560" s="1">
        <f t="shared" si="64"/>
        <v>0.97133317673614439</v>
      </c>
      <c r="H560" s="34">
        <f t="shared" si="60"/>
        <v>0.1064285187334707</v>
      </c>
      <c r="I560" s="36">
        <f t="shared" si="61"/>
        <v>0.10337755119670435</v>
      </c>
    </row>
    <row r="561" spans="2:9" x14ac:dyDescent="0.35">
      <c r="B561" s="16">
        <f t="shared" si="62"/>
        <v>46.000000000000213</v>
      </c>
      <c r="C561" s="17">
        <f t="shared" si="58"/>
        <v>46.000000000000213</v>
      </c>
      <c r="D561" s="1" cm="1">
        <f t="array" ref="D561">_xlfn.XLOOKUP(_xlfn.FLOOR.MATH(C561),'Mortality Tables'!$B$4:$B$124,_xlfn.XLOOKUP(mortality_table,'Mortality Tables'!$B$3:$G$3,'Mortality Tables'!$B$4:$G$124,0,0),0,0)</f>
        <v>1.622E-3</v>
      </c>
      <c r="E561" s="1">
        <f t="shared" si="59"/>
        <v>1.3516666666666665E-4</v>
      </c>
      <c r="F561" s="1">
        <f t="shared" si="63"/>
        <v>0.99986483333333331</v>
      </c>
      <c r="G561" s="1">
        <f t="shared" si="64"/>
        <v>0.97121459314415126</v>
      </c>
      <c r="H561" s="34">
        <f t="shared" si="60"/>
        <v>0.10599667515822093</v>
      </c>
      <c r="I561" s="36">
        <f t="shared" si="61"/>
        <v>0.10294551773842431</v>
      </c>
    </row>
    <row r="562" spans="2:9" x14ac:dyDescent="0.35">
      <c r="B562" s="16">
        <f t="shared" si="62"/>
        <v>46.083333333333549</v>
      </c>
      <c r="C562" s="17">
        <f t="shared" si="58"/>
        <v>46.083333333333549</v>
      </c>
      <c r="D562" s="1" cm="1">
        <f t="array" ref="D562">_xlfn.XLOOKUP(_xlfn.FLOOR.MATH(C562),'Mortality Tables'!$B$4:$B$124,_xlfn.XLOOKUP(mortality_table,'Mortality Tables'!$B$3:$G$3,'Mortality Tables'!$B$4:$G$124,0,0),0,0)</f>
        <v>1.622E-3</v>
      </c>
      <c r="E562" s="1">
        <f t="shared" si="59"/>
        <v>1.3516666666666665E-4</v>
      </c>
      <c r="F562" s="1">
        <f t="shared" si="63"/>
        <v>0.99986483333333331</v>
      </c>
      <c r="G562" s="1">
        <f t="shared" si="64"/>
        <v>0.97108331730497788</v>
      </c>
      <c r="H562" s="34">
        <f t="shared" si="60"/>
        <v>0.1055665838282876</v>
      </c>
      <c r="I562" s="36">
        <f t="shared" si="61"/>
        <v>0.10251394842052755</v>
      </c>
    </row>
    <row r="563" spans="2:9" x14ac:dyDescent="0.35">
      <c r="B563" s="16">
        <f t="shared" si="62"/>
        <v>46.166666666666885</v>
      </c>
      <c r="C563" s="17">
        <f t="shared" si="58"/>
        <v>46.166666666666885</v>
      </c>
      <c r="D563" s="1" cm="1">
        <f t="array" ref="D563">_xlfn.XLOOKUP(_xlfn.FLOOR.MATH(C563),'Mortality Tables'!$B$4:$B$124,_xlfn.XLOOKUP(mortality_table,'Mortality Tables'!$B$3:$G$3,'Mortality Tables'!$B$4:$G$124,0,0),0,0)</f>
        <v>1.622E-3</v>
      </c>
      <c r="E563" s="1">
        <f t="shared" si="59"/>
        <v>1.3516666666666665E-4</v>
      </c>
      <c r="F563" s="1">
        <f t="shared" si="63"/>
        <v>0.99986483333333331</v>
      </c>
      <c r="G563" s="1">
        <f t="shared" si="64"/>
        <v>0.97095205920992211</v>
      </c>
      <c r="H563" s="34">
        <f t="shared" si="60"/>
        <v>0.10513823763377295</v>
      </c>
      <c r="I563" s="36">
        <f t="shared" si="61"/>
        <v>0.10208418833221397</v>
      </c>
    </row>
    <row r="564" spans="2:9" x14ac:dyDescent="0.35">
      <c r="B564" s="16">
        <f t="shared" si="62"/>
        <v>46.25000000000022</v>
      </c>
      <c r="C564" s="17">
        <f t="shared" si="58"/>
        <v>46.25000000000022</v>
      </c>
      <c r="D564" s="1" cm="1">
        <f t="array" ref="D564">_xlfn.XLOOKUP(_xlfn.FLOOR.MATH(C564),'Mortality Tables'!$B$4:$B$124,_xlfn.XLOOKUP(mortality_table,'Mortality Tables'!$B$3:$G$3,'Mortality Tables'!$B$4:$G$124,0,0),0,0)</f>
        <v>1.622E-3</v>
      </c>
      <c r="E564" s="1">
        <f t="shared" si="59"/>
        <v>1.3516666666666665E-4</v>
      </c>
      <c r="F564" s="1">
        <f t="shared" si="63"/>
        <v>0.99986483333333331</v>
      </c>
      <c r="G564" s="1">
        <f t="shared" si="64"/>
        <v>0.97082081885658555</v>
      </c>
      <c r="H564" s="34">
        <f t="shared" si="60"/>
        <v>0.10471162949362839</v>
      </c>
      <c r="I564" s="36">
        <f t="shared" si="61"/>
        <v>0.10165622988881171</v>
      </c>
    </row>
    <row r="565" spans="2:9" x14ac:dyDescent="0.35">
      <c r="B565" s="16">
        <f t="shared" si="62"/>
        <v>46.333333333333556</v>
      </c>
      <c r="C565" s="17">
        <f t="shared" si="58"/>
        <v>46.333333333333556</v>
      </c>
      <c r="D565" s="1" cm="1">
        <f t="array" ref="D565">_xlfn.XLOOKUP(_xlfn.FLOOR.MATH(C565),'Mortality Tables'!$B$4:$B$124,_xlfn.XLOOKUP(mortality_table,'Mortality Tables'!$B$3:$G$3,'Mortality Tables'!$B$4:$G$124,0,0),0,0)</f>
        <v>1.622E-3</v>
      </c>
      <c r="E565" s="1">
        <f t="shared" si="59"/>
        <v>1.3516666666666665E-4</v>
      </c>
      <c r="F565" s="1">
        <f t="shared" si="63"/>
        <v>0.99986483333333331</v>
      </c>
      <c r="G565" s="1">
        <f t="shared" si="64"/>
        <v>0.97068959624257012</v>
      </c>
      <c r="H565" s="34">
        <f t="shared" si="60"/>
        <v>0.10428675235553722</v>
      </c>
      <c r="I565" s="36">
        <f t="shared" si="61"/>
        <v>0.10123006553744532</v>
      </c>
    </row>
    <row r="566" spans="2:9" x14ac:dyDescent="0.35">
      <c r="B566" s="16">
        <f t="shared" si="62"/>
        <v>46.416666666666892</v>
      </c>
      <c r="C566" s="17">
        <f t="shared" si="58"/>
        <v>46.416666666666892</v>
      </c>
      <c r="D566" s="1" cm="1">
        <f t="array" ref="D566">_xlfn.XLOOKUP(_xlfn.FLOOR.MATH(C566),'Mortality Tables'!$B$4:$B$124,_xlfn.XLOOKUP(mortality_table,'Mortality Tables'!$B$3:$G$3,'Mortality Tables'!$B$4:$G$124,0,0),0,0)</f>
        <v>1.622E-3</v>
      </c>
      <c r="E566" s="1">
        <f t="shared" si="59"/>
        <v>1.3516666666666665E-4</v>
      </c>
      <c r="F566" s="1">
        <f t="shared" si="63"/>
        <v>0.99986483333333331</v>
      </c>
      <c r="G566" s="1">
        <f t="shared" si="64"/>
        <v>0.97055839136547795</v>
      </c>
      <c r="H566" s="34">
        <f t="shared" si="60"/>
        <v>0.10386359919579834</v>
      </c>
      <c r="I566" s="36">
        <f t="shared" si="61"/>
        <v>0.10080568775690278</v>
      </c>
    </row>
    <row r="567" spans="2:9" x14ac:dyDescent="0.35">
      <c r="B567" s="16">
        <f t="shared" si="62"/>
        <v>46.500000000000227</v>
      </c>
      <c r="C567" s="17">
        <f t="shared" si="58"/>
        <v>46.500000000000227</v>
      </c>
      <c r="D567" s="1" cm="1">
        <f t="array" ref="D567">_xlfn.XLOOKUP(_xlfn.FLOOR.MATH(C567),'Mortality Tables'!$B$4:$B$124,_xlfn.XLOOKUP(mortality_table,'Mortality Tables'!$B$3:$G$3,'Mortality Tables'!$B$4:$G$124,0,0),0,0)</f>
        <v>1.622E-3</v>
      </c>
      <c r="E567" s="1">
        <f t="shared" si="59"/>
        <v>1.3516666666666665E-4</v>
      </c>
      <c r="F567" s="1">
        <f t="shared" si="63"/>
        <v>0.99986483333333331</v>
      </c>
      <c r="G567" s="1">
        <f t="shared" si="64"/>
        <v>0.97042720422291173</v>
      </c>
      <c r="H567" s="34">
        <f t="shared" si="60"/>
        <v>0.10344216301920973</v>
      </c>
      <c r="I567" s="36">
        <f t="shared" si="61"/>
        <v>0.10038308905750237</v>
      </c>
    </row>
    <row r="568" spans="2:9" x14ac:dyDescent="0.35">
      <c r="B568" s="16">
        <f t="shared" si="62"/>
        <v>46.583333333333563</v>
      </c>
      <c r="C568" s="17">
        <f t="shared" si="58"/>
        <v>46.583333333333563</v>
      </c>
      <c r="D568" s="1" cm="1">
        <f t="array" ref="D568">_xlfn.XLOOKUP(_xlfn.FLOOR.MATH(C568),'Mortality Tables'!$B$4:$B$124,_xlfn.XLOOKUP(mortality_table,'Mortality Tables'!$B$3:$G$3,'Mortality Tables'!$B$4:$G$124,0,0),0,0)</f>
        <v>1.622E-3</v>
      </c>
      <c r="E568" s="1">
        <f t="shared" si="59"/>
        <v>1.3516666666666665E-4</v>
      </c>
      <c r="F568" s="1">
        <f t="shared" si="63"/>
        <v>0.99986483333333331</v>
      </c>
      <c r="G568" s="1">
        <f t="shared" si="64"/>
        <v>0.97029603481247428</v>
      </c>
      <c r="H568" s="34">
        <f t="shared" si="60"/>
        <v>0.10302243685895324</v>
      </c>
      <c r="I568" s="36">
        <f t="shared" si="61"/>
        <v>9.9962261980960823E-2</v>
      </c>
    </row>
    <row r="569" spans="2:9" x14ac:dyDescent="0.35">
      <c r="B569" s="16">
        <f t="shared" si="62"/>
        <v>46.666666666666899</v>
      </c>
      <c r="C569" s="17">
        <f t="shared" si="58"/>
        <v>46.666666666666899</v>
      </c>
      <c r="D569" s="1" cm="1">
        <f t="array" ref="D569">_xlfn.XLOOKUP(_xlfn.FLOOR.MATH(C569),'Mortality Tables'!$B$4:$B$124,_xlfn.XLOOKUP(mortality_table,'Mortality Tables'!$B$3:$G$3,'Mortality Tables'!$B$4:$G$124,0,0),0,0)</f>
        <v>1.622E-3</v>
      </c>
      <c r="E569" s="1">
        <f t="shared" si="59"/>
        <v>1.3516666666666665E-4</v>
      </c>
      <c r="F569" s="1">
        <f t="shared" si="63"/>
        <v>0.99986483333333331</v>
      </c>
      <c r="G569" s="1">
        <f t="shared" si="64"/>
        <v>0.97016488313176874</v>
      </c>
      <c r="H569" s="34">
        <f t="shared" si="60"/>
        <v>0.10260441377647918</v>
      </c>
      <c r="I569" s="36">
        <f t="shared" si="61"/>
        <v>9.9543199100261562E-2</v>
      </c>
    </row>
    <row r="570" spans="2:9" x14ac:dyDescent="0.35">
      <c r="B570" s="16">
        <f t="shared" si="62"/>
        <v>46.750000000000234</v>
      </c>
      <c r="C570" s="17">
        <f t="shared" si="58"/>
        <v>46.750000000000234</v>
      </c>
      <c r="D570" s="1" cm="1">
        <f t="array" ref="D570">_xlfn.XLOOKUP(_xlfn.FLOOR.MATH(C570),'Mortality Tables'!$B$4:$B$124,_xlfn.XLOOKUP(mortality_table,'Mortality Tables'!$B$3:$G$3,'Mortality Tables'!$B$4:$G$124,0,0),0,0)</f>
        <v>1.622E-3</v>
      </c>
      <c r="E570" s="1">
        <f t="shared" si="59"/>
        <v>1.3516666666666665E-4</v>
      </c>
      <c r="F570" s="1">
        <f t="shared" si="63"/>
        <v>0.99986483333333331</v>
      </c>
      <c r="G570" s="1">
        <f t="shared" si="64"/>
        <v>0.9700337491783988</v>
      </c>
      <c r="H570" s="34">
        <f t="shared" si="60"/>
        <v>0.10218808686139165</v>
      </c>
      <c r="I570" s="36">
        <f t="shared" si="61"/>
        <v>9.9125893019523612E-2</v>
      </c>
    </row>
    <row r="571" spans="2:9" x14ac:dyDescent="0.35">
      <c r="B571" s="16">
        <f t="shared" si="62"/>
        <v>46.83333333333357</v>
      </c>
      <c r="C571" s="17">
        <f t="shared" si="58"/>
        <v>46.83333333333357</v>
      </c>
      <c r="D571" s="1" cm="1">
        <f t="array" ref="D571">_xlfn.XLOOKUP(_xlfn.FLOOR.MATH(C571),'Mortality Tables'!$B$4:$B$124,_xlfn.XLOOKUP(mortality_table,'Mortality Tables'!$B$3:$G$3,'Mortality Tables'!$B$4:$G$124,0,0),0,0)</f>
        <v>1.622E-3</v>
      </c>
      <c r="E571" s="1">
        <f t="shared" si="59"/>
        <v>1.3516666666666665E-4</v>
      </c>
      <c r="F571" s="1">
        <f t="shared" si="63"/>
        <v>0.99986483333333331</v>
      </c>
      <c r="G571" s="1">
        <f t="shared" si="64"/>
        <v>0.96990263294996815</v>
      </c>
      <c r="H571" s="34">
        <f t="shared" si="60"/>
        <v>0.10177344923133433</v>
      </c>
      <c r="I571" s="36">
        <f t="shared" si="61"/>
        <v>9.8710336373871083E-2</v>
      </c>
    </row>
    <row r="572" spans="2:9" x14ac:dyDescent="0.35">
      <c r="B572" s="16">
        <f t="shared" si="62"/>
        <v>46.916666666666906</v>
      </c>
      <c r="C572" s="17">
        <f t="shared" si="58"/>
        <v>46.916666666666906</v>
      </c>
      <c r="D572" s="1" cm="1">
        <f t="array" ref="D572">_xlfn.XLOOKUP(_xlfn.FLOOR.MATH(C572),'Mortality Tables'!$B$4:$B$124,_xlfn.XLOOKUP(mortality_table,'Mortality Tables'!$B$3:$G$3,'Mortality Tables'!$B$4:$G$124,0,0),0,0)</f>
        <v>1.622E-3</v>
      </c>
      <c r="E572" s="1">
        <f t="shared" si="59"/>
        <v>1.3516666666666665E-4</v>
      </c>
      <c r="F572" s="1">
        <f t="shared" si="63"/>
        <v>0.99986483333333331</v>
      </c>
      <c r="G572" s="1">
        <f t="shared" si="64"/>
        <v>0.96977153444408104</v>
      </c>
      <c r="H572" s="34">
        <f t="shared" si="60"/>
        <v>0.10136049403187671</v>
      </c>
      <c r="I572" s="36">
        <f t="shared" si="61"/>
        <v>9.8296521829303193E-2</v>
      </c>
    </row>
    <row r="573" spans="2:9" x14ac:dyDescent="0.35">
      <c r="B573" s="16">
        <f t="shared" si="62"/>
        <v>47.000000000000242</v>
      </c>
      <c r="C573" s="17">
        <f t="shared" si="58"/>
        <v>47.000000000000242</v>
      </c>
      <c r="D573" s="1" cm="1">
        <f t="array" ref="D573">_xlfn.XLOOKUP(_xlfn.FLOOR.MATH(C573),'Mortality Tables'!$B$4:$B$124,_xlfn.XLOOKUP(mortality_table,'Mortality Tables'!$B$3:$G$3,'Mortality Tables'!$B$4:$G$124,0,0),0,0)</f>
        <v>1.802E-3</v>
      </c>
      <c r="E573" s="1">
        <f t="shared" si="59"/>
        <v>1.5016666666666667E-4</v>
      </c>
      <c r="F573" s="1">
        <f t="shared" si="63"/>
        <v>0.99984983333333333</v>
      </c>
      <c r="G573" s="1">
        <f t="shared" si="64"/>
        <v>0.96964045365834195</v>
      </c>
      <c r="H573" s="34">
        <f t="shared" si="60"/>
        <v>0.10094921443640074</v>
      </c>
      <c r="I573" s="36">
        <f t="shared" si="61"/>
        <v>9.788444208256486E-2</v>
      </c>
    </row>
    <row r="574" spans="2:9" x14ac:dyDescent="0.35">
      <c r="B574" s="16">
        <f t="shared" si="62"/>
        <v>47.083333333333577</v>
      </c>
      <c r="C574" s="17">
        <f t="shared" si="58"/>
        <v>47.083333333333577</v>
      </c>
      <c r="D574" s="1" cm="1">
        <f t="array" ref="D574">_xlfn.XLOOKUP(_xlfn.FLOOR.MATH(C574),'Mortality Tables'!$B$4:$B$124,_xlfn.XLOOKUP(mortality_table,'Mortality Tables'!$B$3:$G$3,'Mortality Tables'!$B$4:$G$124,0,0),0,0)</f>
        <v>1.802E-3</v>
      </c>
      <c r="E574" s="1">
        <f t="shared" si="59"/>
        <v>1.5016666666666667E-4</v>
      </c>
      <c r="F574" s="1">
        <f t="shared" si="63"/>
        <v>0.99984983333333333</v>
      </c>
      <c r="G574" s="1">
        <f t="shared" si="64"/>
        <v>0.96949484598355096</v>
      </c>
      <c r="H574" s="34">
        <f t="shared" si="60"/>
        <v>0.10053960364598805</v>
      </c>
      <c r="I574" s="36">
        <f t="shared" si="61"/>
        <v>9.747262755201444E-2</v>
      </c>
    </row>
    <row r="575" spans="2:9" x14ac:dyDescent="0.35">
      <c r="B575" s="16">
        <f t="shared" si="62"/>
        <v>47.166666666666913</v>
      </c>
      <c r="C575" s="17">
        <f t="shared" si="58"/>
        <v>47.166666666666913</v>
      </c>
      <c r="D575" s="1" cm="1">
        <f t="array" ref="D575">_xlfn.XLOOKUP(_xlfn.FLOOR.MATH(C575),'Mortality Tables'!$B$4:$B$124,_xlfn.XLOOKUP(mortality_table,'Mortality Tables'!$B$3:$G$3,'Mortality Tables'!$B$4:$G$124,0,0),0,0)</f>
        <v>1.802E-3</v>
      </c>
      <c r="E575" s="1">
        <f t="shared" si="59"/>
        <v>1.5016666666666667E-4</v>
      </c>
      <c r="F575" s="1">
        <f t="shared" si="63"/>
        <v>0.99984983333333333</v>
      </c>
      <c r="G575" s="1">
        <f t="shared" si="64"/>
        <v>0.96934926017417911</v>
      </c>
      <c r="H575" s="34">
        <f t="shared" si="60"/>
        <v>0.10013165488930743</v>
      </c>
      <c r="I575" s="36">
        <f t="shared" si="61"/>
        <v>9.7062545586966378E-2</v>
      </c>
    </row>
    <row r="576" spans="2:9" x14ac:dyDescent="0.35">
      <c r="B576" s="16">
        <f t="shared" si="62"/>
        <v>47.250000000000249</v>
      </c>
      <c r="C576" s="17">
        <f t="shared" si="58"/>
        <v>47.250000000000249</v>
      </c>
      <c r="D576" s="1" cm="1">
        <f t="array" ref="D576">_xlfn.XLOOKUP(_xlfn.FLOOR.MATH(C576),'Mortality Tables'!$B$4:$B$124,_xlfn.XLOOKUP(mortality_table,'Mortality Tables'!$B$3:$G$3,'Mortality Tables'!$B$4:$G$124,0,0),0,0)</f>
        <v>1.802E-3</v>
      </c>
      <c r="E576" s="1">
        <f t="shared" si="59"/>
        <v>1.5016666666666667E-4</v>
      </c>
      <c r="F576" s="1">
        <f t="shared" si="63"/>
        <v>0.99984983333333333</v>
      </c>
      <c r="G576" s="1">
        <f t="shared" si="64"/>
        <v>0.96920369622694291</v>
      </c>
      <c r="H576" s="34">
        <f t="shared" si="60"/>
        <v>9.9725361422503073E-2</v>
      </c>
      <c r="I576" s="36">
        <f t="shared" si="61"/>
        <v>9.6654188898257762E-2</v>
      </c>
    </row>
    <row r="577" spans="2:9" x14ac:dyDescent="0.35">
      <c r="B577" s="16">
        <f t="shared" si="62"/>
        <v>47.333333333333584</v>
      </c>
      <c r="C577" s="17">
        <f t="shared" si="58"/>
        <v>47.333333333333584</v>
      </c>
      <c r="D577" s="1" cm="1">
        <f t="array" ref="D577">_xlfn.XLOOKUP(_xlfn.FLOOR.MATH(C577),'Mortality Tables'!$B$4:$B$124,_xlfn.XLOOKUP(mortality_table,'Mortality Tables'!$B$3:$G$3,'Mortality Tables'!$B$4:$G$124,0,0),0,0)</f>
        <v>1.802E-3</v>
      </c>
      <c r="E577" s="1">
        <f t="shared" si="59"/>
        <v>1.5016666666666667E-4</v>
      </c>
      <c r="F577" s="1">
        <f t="shared" si="63"/>
        <v>0.99984983333333333</v>
      </c>
      <c r="G577" s="1">
        <f t="shared" si="64"/>
        <v>0.96905815413855945</v>
      </c>
      <c r="H577" s="34">
        <f t="shared" si="60"/>
        <v>9.9320716529082961E-2</v>
      </c>
      <c r="I577" s="36">
        <f t="shared" si="61"/>
        <v>9.6247550227392245E-2</v>
      </c>
    </row>
    <row r="578" spans="2:9" x14ac:dyDescent="0.35">
      <c r="B578" s="16">
        <f t="shared" si="62"/>
        <v>47.41666666666692</v>
      </c>
      <c r="C578" s="17">
        <f t="shared" si="58"/>
        <v>47.41666666666692</v>
      </c>
      <c r="D578" s="1" cm="1">
        <f t="array" ref="D578">_xlfn.XLOOKUP(_xlfn.FLOOR.MATH(C578),'Mortality Tables'!$B$4:$B$124,_xlfn.XLOOKUP(mortality_table,'Mortality Tables'!$B$3:$G$3,'Mortality Tables'!$B$4:$G$124,0,0),0,0)</f>
        <v>1.802E-3</v>
      </c>
      <c r="E578" s="1">
        <f t="shared" si="59"/>
        <v>1.5016666666666667E-4</v>
      </c>
      <c r="F578" s="1">
        <f t="shared" si="63"/>
        <v>0.99984983333333333</v>
      </c>
      <c r="G578" s="1">
        <f t="shared" si="64"/>
        <v>0.96891263390574633</v>
      </c>
      <c r="H578" s="34">
        <f t="shared" si="60"/>
        <v>9.8917713519807798E-2</v>
      </c>
      <c r="I578" s="36">
        <f t="shared" si="61"/>
        <v>9.5842622346411027E-2</v>
      </c>
    </row>
    <row r="579" spans="2:9" x14ac:dyDescent="0.35">
      <c r="B579" s="16">
        <f t="shared" si="62"/>
        <v>47.500000000000256</v>
      </c>
      <c r="C579" s="17">
        <f t="shared" si="58"/>
        <v>47.500000000000256</v>
      </c>
      <c r="D579" s="1" cm="1">
        <f t="array" ref="D579">_xlfn.XLOOKUP(_xlfn.FLOOR.MATH(C579),'Mortality Tables'!$B$4:$B$124,_xlfn.XLOOKUP(mortality_table,'Mortality Tables'!$B$3:$G$3,'Mortality Tables'!$B$4:$G$124,0,0),0,0)</f>
        <v>1.802E-3</v>
      </c>
      <c r="E579" s="1">
        <f t="shared" si="59"/>
        <v>1.5016666666666667E-4</v>
      </c>
      <c r="F579" s="1">
        <f t="shared" si="63"/>
        <v>0.99984983333333333</v>
      </c>
      <c r="G579" s="1">
        <f t="shared" si="64"/>
        <v>0.96876713552522153</v>
      </c>
      <c r="H579" s="34">
        <f t="shared" si="60"/>
        <v>9.8516345732580557E-2</v>
      </c>
      <c r="I579" s="36">
        <f t="shared" si="61"/>
        <v>9.5439398057764455E-2</v>
      </c>
    </row>
    <row r="580" spans="2:9" x14ac:dyDescent="0.35">
      <c r="B580" s="16">
        <f t="shared" si="62"/>
        <v>47.583333333333591</v>
      </c>
      <c r="C580" s="17">
        <f t="shared" si="58"/>
        <v>47.583333333333591</v>
      </c>
      <c r="D580" s="1" cm="1">
        <f t="array" ref="D580">_xlfn.XLOOKUP(_xlfn.FLOOR.MATH(C580),'Mortality Tables'!$B$4:$B$124,_xlfn.XLOOKUP(mortality_table,'Mortality Tables'!$B$3:$G$3,'Mortality Tables'!$B$4:$G$124,0,0),0,0)</f>
        <v>1.802E-3</v>
      </c>
      <c r="E580" s="1">
        <f t="shared" si="59"/>
        <v>1.5016666666666667E-4</v>
      </c>
      <c r="F580" s="1">
        <f t="shared" si="63"/>
        <v>0.99984983333333333</v>
      </c>
      <c r="G580" s="1">
        <f t="shared" si="64"/>
        <v>0.96862165899370345</v>
      </c>
      <c r="H580" s="34">
        <f t="shared" si="60"/>
        <v>9.8116606532336281E-2</v>
      </c>
      <c r="I580" s="36">
        <f t="shared" si="61"/>
        <v>9.5037870194184013E-2</v>
      </c>
    </row>
    <row r="581" spans="2:9" x14ac:dyDescent="0.35">
      <c r="B581" s="16">
        <f t="shared" si="62"/>
        <v>47.666666666666927</v>
      </c>
      <c r="C581" s="17">
        <f t="shared" si="58"/>
        <v>47.666666666666927</v>
      </c>
      <c r="D581" s="1" cm="1">
        <f t="array" ref="D581">_xlfn.XLOOKUP(_xlfn.FLOOR.MATH(C581),'Mortality Tables'!$B$4:$B$124,_xlfn.XLOOKUP(mortality_table,'Mortality Tables'!$B$3:$G$3,'Mortality Tables'!$B$4:$G$124,0,0),0,0)</f>
        <v>1.802E-3</v>
      </c>
      <c r="E581" s="1">
        <f t="shared" si="59"/>
        <v>1.5016666666666667E-4</v>
      </c>
      <c r="F581" s="1">
        <f t="shared" si="63"/>
        <v>0.99984983333333333</v>
      </c>
      <c r="G581" s="1">
        <f t="shared" si="64"/>
        <v>0.96847620430791126</v>
      </c>
      <c r="H581" s="34">
        <f t="shared" si="60"/>
        <v>9.771848931093241E-2</v>
      </c>
      <c r="I581" s="36">
        <f t="shared" si="61"/>
        <v>9.4638031618555024E-2</v>
      </c>
    </row>
    <row r="582" spans="2:9" x14ac:dyDescent="0.35">
      <c r="B582" s="16">
        <f t="shared" si="62"/>
        <v>47.750000000000263</v>
      </c>
      <c r="C582" s="17">
        <f t="shared" si="58"/>
        <v>47.750000000000263</v>
      </c>
      <c r="D582" s="1" cm="1">
        <f t="array" ref="D582">_xlfn.XLOOKUP(_xlfn.FLOOR.MATH(C582),'Mortality Tables'!$B$4:$B$124,_xlfn.XLOOKUP(mortality_table,'Mortality Tables'!$B$3:$G$3,'Mortality Tables'!$B$4:$G$124,0,0),0,0)</f>
        <v>1.802E-3</v>
      </c>
      <c r="E582" s="1">
        <f t="shared" si="59"/>
        <v>1.5016666666666667E-4</v>
      </c>
      <c r="F582" s="1">
        <f t="shared" si="63"/>
        <v>0.99984983333333333</v>
      </c>
      <c r="G582" s="1">
        <f t="shared" si="64"/>
        <v>0.96833077146456437</v>
      </c>
      <c r="H582" s="34">
        <f t="shared" si="60"/>
        <v>9.7321987487039519E-2</v>
      </c>
      <c r="I582" s="36">
        <f t="shared" si="61"/>
        <v>9.4239875223789654E-2</v>
      </c>
    </row>
    <row r="583" spans="2:9" x14ac:dyDescent="0.35">
      <c r="B583" s="16">
        <f t="shared" si="62"/>
        <v>47.833333333333599</v>
      </c>
      <c r="C583" s="17">
        <f t="shared" si="58"/>
        <v>47.833333333333599</v>
      </c>
      <c r="D583" s="1" cm="1">
        <f t="array" ref="D583">_xlfn.XLOOKUP(_xlfn.FLOOR.MATH(C583),'Mortality Tables'!$B$4:$B$124,_xlfn.XLOOKUP(mortality_table,'Mortality Tables'!$B$3:$G$3,'Mortality Tables'!$B$4:$G$124,0,0),0,0)</f>
        <v>1.802E-3</v>
      </c>
      <c r="E583" s="1">
        <f t="shared" si="59"/>
        <v>1.5016666666666667E-4</v>
      </c>
      <c r="F583" s="1">
        <f t="shared" si="63"/>
        <v>0.99984983333333333</v>
      </c>
      <c r="G583" s="1">
        <f t="shared" si="64"/>
        <v>0.96818536046038273</v>
      </c>
      <c r="H583" s="34">
        <f t="shared" si="60"/>
        <v>9.6927094506032568E-2</v>
      </c>
      <c r="I583" s="36">
        <f t="shared" si="61"/>
        <v>9.3843393932700719E-2</v>
      </c>
    </row>
    <row r="584" spans="2:9" x14ac:dyDescent="0.35">
      <c r="B584" s="16">
        <f t="shared" si="62"/>
        <v>47.916666666666934</v>
      </c>
      <c r="C584" s="17">
        <f t="shared" si="58"/>
        <v>47.916666666666934</v>
      </c>
      <c r="D584" s="1" cm="1">
        <f t="array" ref="D584">_xlfn.XLOOKUP(_xlfn.FLOOR.MATH(C584),'Mortality Tables'!$B$4:$B$124,_xlfn.XLOOKUP(mortality_table,'Mortality Tables'!$B$3:$G$3,'Mortality Tables'!$B$4:$G$124,0,0),0,0)</f>
        <v>1.802E-3</v>
      </c>
      <c r="E584" s="1">
        <f t="shared" si="59"/>
        <v>1.5016666666666667E-4</v>
      </c>
      <c r="F584" s="1">
        <f t="shared" si="63"/>
        <v>0.99984983333333333</v>
      </c>
      <c r="G584" s="1">
        <f t="shared" si="64"/>
        <v>0.96803997129208696</v>
      </c>
      <c r="H584" s="34">
        <f t="shared" si="60"/>
        <v>9.6533803839882443E-2</v>
      </c>
      <c r="I584" s="36">
        <f t="shared" si="61"/>
        <v>9.344858069787576E-2</v>
      </c>
    </row>
    <row r="585" spans="2:9" x14ac:dyDescent="0.35">
      <c r="B585" s="16">
        <f t="shared" si="62"/>
        <v>48.00000000000027</v>
      </c>
      <c r="C585" s="17">
        <f t="shared" ref="C585:C648" si="65">current_age+B585</f>
        <v>48.00000000000027</v>
      </c>
      <c r="D585" s="1" cm="1">
        <f t="array" ref="D585">_xlfn.XLOOKUP(_xlfn.FLOOR.MATH(C585),'Mortality Tables'!$B$4:$B$124,_xlfn.XLOOKUP(mortality_table,'Mortality Tables'!$B$3:$G$3,'Mortality Tables'!$B$4:$G$124,0,0),0,0)</f>
        <v>2.0079999999999998E-3</v>
      </c>
      <c r="E585" s="1">
        <f t="shared" ref="E585:E648" si="66">$F$5*D585</f>
        <v>1.673333333333333E-4</v>
      </c>
      <c r="F585" s="1">
        <f t="shared" si="63"/>
        <v>0.9998326666666667</v>
      </c>
      <c r="G585" s="1">
        <f t="shared" si="64"/>
        <v>0.96789460395639793</v>
      </c>
      <c r="H585" s="34">
        <f t="shared" ref="H585:H648" si="67">(1+interest_rate)^-(B585)</f>
        <v>9.6142108987048183E-2</v>
      </c>
      <c r="I585" s="36">
        <f t="shared" ref="I585:I648" si="68">IF(current_age+B585&lt;=$C$5,G585*H585,0)</f>
        <v>9.3055428501551851E-2</v>
      </c>
    </row>
    <row r="586" spans="2:9" x14ac:dyDescent="0.35">
      <c r="B586" s="16">
        <f t="shared" ref="B586:B649" si="69">B585+$F$5</f>
        <v>48.083333333333606</v>
      </c>
      <c r="C586" s="17">
        <f t="shared" si="65"/>
        <v>48.083333333333606</v>
      </c>
      <c r="D586" s="1" cm="1">
        <f t="array" ref="D586">_xlfn.XLOOKUP(_xlfn.FLOOR.MATH(C586),'Mortality Tables'!$B$4:$B$124,_xlfn.XLOOKUP(mortality_table,'Mortality Tables'!$B$3:$G$3,'Mortality Tables'!$B$4:$G$124,0,0),0,0)</f>
        <v>2.0079999999999998E-3</v>
      </c>
      <c r="E586" s="1">
        <f t="shared" si="66"/>
        <v>1.673333333333333E-4</v>
      </c>
      <c r="F586" s="1">
        <f t="shared" si="63"/>
        <v>0.9998326666666667</v>
      </c>
      <c r="G586" s="1">
        <f t="shared" si="64"/>
        <v>0.96773264292600258</v>
      </c>
      <c r="H586" s="34">
        <f t="shared" si="67"/>
        <v>9.5752003472369424E-2</v>
      </c>
      <c r="I586" s="36">
        <f t="shared" si="68"/>
        <v>9.2662339385775838E-2</v>
      </c>
    </row>
    <row r="587" spans="2:9" x14ac:dyDescent="0.35">
      <c r="B587" s="16">
        <f t="shared" si="69"/>
        <v>48.166666666666941</v>
      </c>
      <c r="C587" s="17">
        <f t="shared" si="65"/>
        <v>48.166666666666941</v>
      </c>
      <c r="D587" s="1" cm="1">
        <f t="array" ref="D587">_xlfn.XLOOKUP(_xlfn.FLOOR.MATH(C587),'Mortality Tables'!$B$4:$B$124,_xlfn.XLOOKUP(mortality_table,'Mortality Tables'!$B$3:$G$3,'Mortality Tables'!$B$4:$G$124,0,0),0,0)</f>
        <v>2.0079999999999998E-3</v>
      </c>
      <c r="E587" s="1">
        <f t="shared" si="66"/>
        <v>1.673333333333333E-4</v>
      </c>
      <c r="F587" s="1">
        <f t="shared" si="63"/>
        <v>0.9998326666666667</v>
      </c>
      <c r="G587" s="1">
        <f t="shared" si="64"/>
        <v>0.9675707089970863</v>
      </c>
      <c r="H587" s="34">
        <f t="shared" si="67"/>
        <v>9.536348084695935E-2</v>
      </c>
      <c r="I587" s="36">
        <f t="shared" si="68"/>
        <v>9.2270910775522519E-2</v>
      </c>
    </row>
    <row r="588" spans="2:9" x14ac:dyDescent="0.35">
      <c r="B588" s="16">
        <f t="shared" si="69"/>
        <v>48.250000000000277</v>
      </c>
      <c r="C588" s="17">
        <f t="shared" si="65"/>
        <v>48.250000000000277</v>
      </c>
      <c r="D588" s="1" cm="1">
        <f t="array" ref="D588">_xlfn.XLOOKUP(_xlfn.FLOOR.MATH(C588),'Mortality Tables'!$B$4:$B$124,_xlfn.XLOOKUP(mortality_table,'Mortality Tables'!$B$3:$G$3,'Mortality Tables'!$B$4:$G$124,0,0),0,0)</f>
        <v>2.0079999999999998E-3</v>
      </c>
      <c r="E588" s="1">
        <f t="shared" si="66"/>
        <v>1.673333333333333E-4</v>
      </c>
      <c r="F588" s="1">
        <f t="shared" si="63"/>
        <v>0.9998326666666667</v>
      </c>
      <c r="G588" s="1">
        <f t="shared" si="64"/>
        <v>0.96740880216511416</v>
      </c>
      <c r="H588" s="34">
        <f t="shared" si="67"/>
        <v>9.4976534688098052E-2</v>
      </c>
      <c r="I588" s="36">
        <f t="shared" si="68"/>
        <v>9.1881135656406349E-2</v>
      </c>
    </row>
    <row r="589" spans="2:9" x14ac:dyDescent="0.35">
      <c r="B589" s="16">
        <f t="shared" si="69"/>
        <v>48.333333333333613</v>
      </c>
      <c r="C589" s="17">
        <f t="shared" si="65"/>
        <v>48.333333333333613</v>
      </c>
      <c r="D589" s="1" cm="1">
        <f t="array" ref="D589">_xlfn.XLOOKUP(_xlfn.FLOOR.MATH(C589),'Mortality Tables'!$B$4:$B$124,_xlfn.XLOOKUP(mortality_table,'Mortality Tables'!$B$3:$G$3,'Mortality Tables'!$B$4:$G$124,0,0),0,0)</f>
        <v>2.0079999999999998E-3</v>
      </c>
      <c r="E589" s="1">
        <f t="shared" si="66"/>
        <v>1.673333333333333E-4</v>
      </c>
      <c r="F589" s="1">
        <f t="shared" si="63"/>
        <v>0.9998326666666667</v>
      </c>
      <c r="G589" s="1">
        <f t="shared" si="64"/>
        <v>0.96724692242555188</v>
      </c>
      <c r="H589" s="34">
        <f t="shared" si="67"/>
        <v>9.4591158599126493E-2</v>
      </c>
      <c r="I589" s="36">
        <f t="shared" si="68"/>
        <v>9.1493007043672372E-2</v>
      </c>
    </row>
    <row r="590" spans="2:9" x14ac:dyDescent="0.35">
      <c r="B590" s="16">
        <f t="shared" si="69"/>
        <v>48.416666666666949</v>
      </c>
      <c r="C590" s="17">
        <f t="shared" si="65"/>
        <v>48.416666666666949</v>
      </c>
      <c r="D590" s="1" cm="1">
        <f t="array" ref="D590">_xlfn.XLOOKUP(_xlfn.FLOOR.MATH(C590),'Mortality Tables'!$B$4:$B$124,_xlfn.XLOOKUP(mortality_table,'Mortality Tables'!$B$3:$G$3,'Mortality Tables'!$B$4:$G$124,0,0),0,0)</f>
        <v>2.0079999999999998E-3</v>
      </c>
      <c r="E590" s="1">
        <f t="shared" si="66"/>
        <v>1.673333333333333E-4</v>
      </c>
      <c r="F590" s="1">
        <f t="shared" si="63"/>
        <v>0.9998326666666667</v>
      </c>
      <c r="G590" s="1">
        <f t="shared" si="64"/>
        <v>0.96708506977386599</v>
      </c>
      <c r="H590" s="34">
        <f t="shared" si="67"/>
        <v>9.4207346209340612E-2</v>
      </c>
      <c r="I590" s="36">
        <f t="shared" si="68"/>
        <v>9.1106517982070909E-2</v>
      </c>
    </row>
    <row r="591" spans="2:9" x14ac:dyDescent="0.35">
      <c r="B591" s="16">
        <f t="shared" si="69"/>
        <v>48.500000000000284</v>
      </c>
      <c r="C591" s="17">
        <f t="shared" si="65"/>
        <v>48.500000000000284</v>
      </c>
      <c r="D591" s="1" cm="1">
        <f t="array" ref="D591">_xlfn.XLOOKUP(_xlfn.FLOOR.MATH(C591),'Mortality Tables'!$B$4:$B$124,_xlfn.XLOOKUP(mortality_table,'Mortality Tables'!$B$3:$G$3,'Mortality Tables'!$B$4:$G$124,0,0),0,0)</f>
        <v>2.0079999999999998E-3</v>
      </c>
      <c r="E591" s="1">
        <f t="shared" si="66"/>
        <v>1.673333333333333E-4</v>
      </c>
      <c r="F591" s="1">
        <f t="shared" si="63"/>
        <v>0.9998326666666667</v>
      </c>
      <c r="G591" s="1">
        <f t="shared" si="64"/>
        <v>0.96692324420552389</v>
      </c>
      <c r="H591" s="34">
        <f t="shared" si="67"/>
        <v>9.3825091173886099E-2</v>
      </c>
      <c r="I591" s="36">
        <f t="shared" si="68"/>
        <v>9.0721661545733009E-2</v>
      </c>
    </row>
    <row r="592" spans="2:9" x14ac:dyDescent="0.35">
      <c r="B592" s="16">
        <f t="shared" si="69"/>
        <v>48.58333333333362</v>
      </c>
      <c r="C592" s="17">
        <f t="shared" si="65"/>
        <v>48.58333333333362</v>
      </c>
      <c r="D592" s="1" cm="1">
        <f t="array" ref="D592">_xlfn.XLOOKUP(_xlfn.FLOOR.MATH(C592),'Mortality Tables'!$B$4:$B$124,_xlfn.XLOOKUP(mortality_table,'Mortality Tables'!$B$3:$G$3,'Mortality Tables'!$B$4:$G$124,0,0),0,0)</f>
        <v>2.0079999999999998E-3</v>
      </c>
      <c r="E592" s="1">
        <f t="shared" si="66"/>
        <v>1.673333333333333E-4</v>
      </c>
      <c r="F592" s="1">
        <f t="shared" si="63"/>
        <v>0.9998326666666667</v>
      </c>
      <c r="G592" s="1">
        <f t="shared" si="64"/>
        <v>0.96676144571599354</v>
      </c>
      <c r="H592" s="34">
        <f t="shared" si="67"/>
        <v>9.3444387173653456E-2</v>
      </c>
      <c r="I592" s="36">
        <f t="shared" si="68"/>
        <v>9.0338430838046255E-2</v>
      </c>
    </row>
    <row r="593" spans="2:9" x14ac:dyDescent="0.35">
      <c r="B593" s="16">
        <f t="shared" si="69"/>
        <v>48.666666666666956</v>
      </c>
      <c r="C593" s="17">
        <f t="shared" si="65"/>
        <v>48.666666666666956</v>
      </c>
      <c r="D593" s="1" cm="1">
        <f t="array" ref="D593">_xlfn.XLOOKUP(_xlfn.FLOOR.MATH(C593),'Mortality Tables'!$B$4:$B$124,_xlfn.XLOOKUP(mortality_table,'Mortality Tables'!$B$3:$G$3,'Mortality Tables'!$B$4:$G$124,0,0),0,0)</f>
        <v>2.0079999999999998E-3</v>
      </c>
      <c r="E593" s="1">
        <f t="shared" si="66"/>
        <v>1.673333333333333E-4</v>
      </c>
      <c r="F593" s="1">
        <f t="shared" si="63"/>
        <v>0.9998326666666667</v>
      </c>
      <c r="G593" s="1">
        <f t="shared" si="64"/>
        <v>0.96659967430074378</v>
      </c>
      <c r="H593" s="34">
        <f t="shared" si="67"/>
        <v>9.306522791517359E-2</v>
      </c>
      <c r="I593" s="36">
        <f t="shared" si="68"/>
        <v>8.9956818991531282E-2</v>
      </c>
    </row>
    <row r="594" spans="2:9" x14ac:dyDescent="0.35">
      <c r="B594" s="16">
        <f t="shared" si="69"/>
        <v>48.750000000000291</v>
      </c>
      <c r="C594" s="17">
        <f t="shared" si="65"/>
        <v>48.750000000000291</v>
      </c>
      <c r="D594" s="1" cm="1">
        <f t="array" ref="D594">_xlfn.XLOOKUP(_xlfn.FLOOR.MATH(C594),'Mortality Tables'!$B$4:$B$124,_xlfn.XLOOKUP(mortality_table,'Mortality Tables'!$B$3:$G$3,'Mortality Tables'!$B$4:$G$124,0,0),0,0)</f>
        <v>2.0079999999999998E-3</v>
      </c>
      <c r="E594" s="1">
        <f t="shared" si="66"/>
        <v>1.673333333333333E-4</v>
      </c>
      <c r="F594" s="1">
        <f t="shared" si="63"/>
        <v>0.9998326666666667</v>
      </c>
      <c r="G594" s="1">
        <f t="shared" si="64"/>
        <v>0.96643792995524413</v>
      </c>
      <c r="H594" s="34">
        <f t="shared" si="67"/>
        <v>9.2687607130513702E-2</v>
      </c>
      <c r="I594" s="36">
        <f t="shared" si="68"/>
        <v>8.9576819167718591E-2</v>
      </c>
    </row>
    <row r="595" spans="2:9" x14ac:dyDescent="0.35">
      <c r="B595" s="16">
        <f t="shared" si="69"/>
        <v>48.833333333333627</v>
      </c>
      <c r="C595" s="17">
        <f t="shared" si="65"/>
        <v>48.833333333333627</v>
      </c>
      <c r="D595" s="1" cm="1">
        <f t="array" ref="D595">_xlfn.XLOOKUP(_xlfn.FLOOR.MATH(C595),'Mortality Tables'!$B$4:$B$124,_xlfn.XLOOKUP(mortality_table,'Mortality Tables'!$B$3:$G$3,'Mortality Tables'!$B$4:$G$124,0,0),0,0)</f>
        <v>2.0079999999999998E-3</v>
      </c>
      <c r="E595" s="1">
        <f t="shared" si="66"/>
        <v>1.673333333333333E-4</v>
      </c>
      <c r="F595" s="1">
        <f t="shared" si="63"/>
        <v>0.9998326666666667</v>
      </c>
      <c r="G595" s="1">
        <f t="shared" si="64"/>
        <v>0.966276212674965</v>
      </c>
      <c r="H595" s="34">
        <f t="shared" si="67"/>
        <v>9.2311518577173721E-2</v>
      </c>
      <c r="I595" s="36">
        <f t="shared" si="68"/>
        <v>8.919842455702609E-2</v>
      </c>
    </row>
    <row r="596" spans="2:9" x14ac:dyDescent="0.35">
      <c r="B596" s="16">
        <f t="shared" si="69"/>
        <v>48.916666666666963</v>
      </c>
      <c r="C596" s="17">
        <f t="shared" si="65"/>
        <v>48.916666666666963</v>
      </c>
      <c r="D596" s="1" cm="1">
        <f t="array" ref="D596">_xlfn.XLOOKUP(_xlfn.FLOOR.MATH(C596),'Mortality Tables'!$B$4:$B$124,_xlfn.XLOOKUP(mortality_table,'Mortality Tables'!$B$3:$G$3,'Mortality Tables'!$B$4:$G$124,0,0),0,0)</f>
        <v>2.0079999999999998E-3</v>
      </c>
      <c r="E596" s="1">
        <f t="shared" si="66"/>
        <v>1.673333333333333E-4</v>
      </c>
      <c r="F596" s="1">
        <f t="shared" si="63"/>
        <v>0.9998326666666667</v>
      </c>
      <c r="G596" s="1">
        <f t="shared" si="64"/>
        <v>0.96611452245537743</v>
      </c>
      <c r="H596" s="34">
        <f t="shared" si="67"/>
        <v>9.1936956037983131E-2</v>
      </c>
      <c r="I596" s="36">
        <f t="shared" si="68"/>
        <v>8.8821628378637107E-2</v>
      </c>
    </row>
    <row r="597" spans="2:9" x14ac:dyDescent="0.35">
      <c r="B597" s="16">
        <f t="shared" si="69"/>
        <v>49.000000000000298</v>
      </c>
      <c r="C597" s="17">
        <f t="shared" si="65"/>
        <v>49.000000000000298</v>
      </c>
      <c r="D597" s="1" cm="1">
        <f t="array" ref="D597">_xlfn.XLOOKUP(_xlfn.FLOOR.MATH(C597),'Mortality Tables'!$B$4:$B$124,_xlfn.XLOOKUP(mortality_table,'Mortality Tables'!$B$3:$G$3,'Mortality Tables'!$B$4:$G$124,0,0),0,0)</f>
        <v>2.2409999999999999E-3</v>
      </c>
      <c r="E597" s="1">
        <f t="shared" si="66"/>
        <v>1.8674999999999999E-4</v>
      </c>
      <c r="F597" s="1">
        <f t="shared" si="63"/>
        <v>0.99981324999999999</v>
      </c>
      <c r="G597" s="1">
        <f t="shared" si="64"/>
        <v>0.96595285929195329</v>
      </c>
      <c r="H597" s="34">
        <f t="shared" si="67"/>
        <v>9.1563913320998128E-2</v>
      </c>
      <c r="I597" s="36">
        <f t="shared" si="68"/>
        <v>8.8446423880378711E-2</v>
      </c>
    </row>
    <row r="598" spans="2:9" x14ac:dyDescent="0.35">
      <c r="B598" s="16">
        <f t="shared" si="69"/>
        <v>49.083333333333634</v>
      </c>
      <c r="C598" s="17">
        <f t="shared" si="65"/>
        <v>49.083333333333634</v>
      </c>
      <c r="D598" s="1" cm="1">
        <f t="array" ref="D598">_xlfn.XLOOKUP(_xlfn.FLOOR.MATH(C598),'Mortality Tables'!$B$4:$B$124,_xlfn.XLOOKUP(mortality_table,'Mortality Tables'!$B$3:$G$3,'Mortality Tables'!$B$4:$G$124,0,0),0,0)</f>
        <v>2.2409999999999999E-3</v>
      </c>
      <c r="E598" s="1">
        <f t="shared" si="66"/>
        <v>1.8674999999999999E-4</v>
      </c>
      <c r="F598" s="1">
        <f t="shared" si="63"/>
        <v>0.99981324999999999</v>
      </c>
      <c r="G598" s="1">
        <f t="shared" si="64"/>
        <v>0.96577246759548052</v>
      </c>
      <c r="H598" s="34">
        <f t="shared" si="67"/>
        <v>9.1192384259399337E-2</v>
      </c>
      <c r="I598" s="36">
        <f t="shared" si="68"/>
        <v>8.807109397211535E-2</v>
      </c>
    </row>
    <row r="599" spans="2:9" x14ac:dyDescent="0.35">
      <c r="B599" s="16">
        <f t="shared" si="69"/>
        <v>49.16666666666697</v>
      </c>
      <c r="C599" s="17">
        <f t="shared" si="65"/>
        <v>49.16666666666697</v>
      </c>
      <c r="D599" s="1" cm="1">
        <f t="array" ref="D599">_xlfn.XLOOKUP(_xlfn.FLOOR.MATH(C599),'Mortality Tables'!$B$4:$B$124,_xlfn.XLOOKUP(mortality_table,'Mortality Tables'!$B$3:$G$3,'Mortality Tables'!$B$4:$G$124,0,0),0,0)</f>
        <v>2.2409999999999999E-3</v>
      </c>
      <c r="E599" s="1">
        <f t="shared" si="66"/>
        <v>1.8674999999999999E-4</v>
      </c>
      <c r="F599" s="1">
        <f t="shared" si="63"/>
        <v>0.99981324999999999</v>
      </c>
      <c r="G599" s="1">
        <f t="shared" si="64"/>
        <v>0.96559210958715702</v>
      </c>
      <c r="H599" s="34">
        <f t="shared" si="67"/>
        <v>9.0822362711389729E-2</v>
      </c>
      <c r="I599" s="36">
        <f t="shared" si="68"/>
        <v>8.7697356808180749E-2</v>
      </c>
    </row>
    <row r="600" spans="2:9" x14ac:dyDescent="0.35">
      <c r="B600" s="16">
        <f t="shared" si="69"/>
        <v>49.250000000000306</v>
      </c>
      <c r="C600" s="17">
        <f t="shared" si="65"/>
        <v>49.250000000000306</v>
      </c>
      <c r="D600" s="1" cm="1">
        <f t="array" ref="D600">_xlfn.XLOOKUP(_xlfn.FLOOR.MATH(C600),'Mortality Tables'!$B$4:$B$124,_xlfn.XLOOKUP(mortality_table,'Mortality Tables'!$B$3:$G$3,'Mortality Tables'!$B$4:$G$124,0,0),0,0)</f>
        <v>2.2409999999999999E-3</v>
      </c>
      <c r="E600" s="1">
        <f t="shared" si="66"/>
        <v>1.8674999999999999E-4</v>
      </c>
      <c r="F600" s="1">
        <f t="shared" si="63"/>
        <v>0.99981324999999999</v>
      </c>
      <c r="G600" s="1">
        <f t="shared" si="64"/>
        <v>0.9654117852606916</v>
      </c>
      <c r="H600" s="34">
        <f t="shared" si="67"/>
        <v>9.0453842560093256E-2</v>
      </c>
      <c r="I600" s="36">
        <f t="shared" si="68"/>
        <v>8.7325205629629157E-2</v>
      </c>
    </row>
    <row r="601" spans="2:9" x14ac:dyDescent="0.35">
      <c r="B601" s="16">
        <f t="shared" si="69"/>
        <v>49.333333333333641</v>
      </c>
      <c r="C601" s="17">
        <f t="shared" si="65"/>
        <v>49.333333333333641</v>
      </c>
      <c r="D601" s="1" cm="1">
        <f t="array" ref="D601">_xlfn.XLOOKUP(_xlfn.FLOOR.MATH(C601),'Mortality Tables'!$B$4:$B$124,_xlfn.XLOOKUP(mortality_table,'Mortality Tables'!$B$3:$G$3,'Mortality Tables'!$B$4:$G$124,0,0),0,0)</f>
        <v>2.2409999999999999E-3</v>
      </c>
      <c r="E601" s="1">
        <f t="shared" si="66"/>
        <v>1.8674999999999999E-4</v>
      </c>
      <c r="F601" s="1">
        <f t="shared" si="63"/>
        <v>0.99981324999999999</v>
      </c>
      <c r="G601" s="1">
        <f t="shared" si="64"/>
        <v>0.96523149460979418</v>
      </c>
      <c r="H601" s="34">
        <f t="shared" si="67"/>
        <v>9.0086817713453671E-2</v>
      </c>
      <c r="I601" s="36">
        <f t="shared" si="68"/>
        <v>8.6954633706196965E-2</v>
      </c>
    </row>
    <row r="602" spans="2:9" x14ac:dyDescent="0.35">
      <c r="B602" s="16">
        <f t="shared" si="69"/>
        <v>49.416666666666977</v>
      </c>
      <c r="C602" s="17">
        <f t="shared" si="65"/>
        <v>49.416666666666977</v>
      </c>
      <c r="D602" s="1" cm="1">
        <f t="array" ref="D602">_xlfn.XLOOKUP(_xlfn.FLOOR.MATH(C602),'Mortality Tables'!$B$4:$B$124,_xlfn.XLOOKUP(mortality_table,'Mortality Tables'!$B$3:$G$3,'Mortality Tables'!$B$4:$G$124,0,0),0,0)</f>
        <v>2.2409999999999999E-3</v>
      </c>
      <c r="E602" s="1">
        <f t="shared" si="66"/>
        <v>1.8674999999999999E-4</v>
      </c>
      <c r="F602" s="1">
        <f t="shared" si="63"/>
        <v>0.99981324999999999</v>
      </c>
      <c r="G602" s="1">
        <f t="shared" si="64"/>
        <v>0.9650512376281758</v>
      </c>
      <c r="H602" s="34">
        <f t="shared" si="67"/>
        <v>8.9721282104133784E-2</v>
      </c>
      <c r="I602" s="36">
        <f t="shared" si="68"/>
        <v>8.6585634336181008E-2</v>
      </c>
    </row>
    <row r="603" spans="2:9" x14ac:dyDescent="0.35">
      <c r="B603" s="16">
        <f t="shared" si="69"/>
        <v>49.500000000000313</v>
      </c>
      <c r="C603" s="17">
        <f t="shared" si="65"/>
        <v>49.500000000000313</v>
      </c>
      <c r="D603" s="1" cm="1">
        <f t="array" ref="D603">_xlfn.XLOOKUP(_xlfn.FLOOR.MATH(C603),'Mortality Tables'!$B$4:$B$124,_xlfn.XLOOKUP(mortality_table,'Mortality Tables'!$B$3:$G$3,'Mortality Tables'!$B$4:$G$124,0,0),0,0)</f>
        <v>2.2409999999999999E-3</v>
      </c>
      <c r="E603" s="1">
        <f t="shared" si="66"/>
        <v>1.8674999999999999E-4</v>
      </c>
      <c r="F603" s="1">
        <f t="shared" ref="F603:F666" si="70">1-E603</f>
        <v>0.99981324999999999</v>
      </c>
      <c r="G603" s="1">
        <f t="shared" ref="G603:G666" si="71">G602*F602</f>
        <v>0.96487101430954869</v>
      </c>
      <c r="H603" s="34">
        <f t="shared" si="67"/>
        <v>8.9357229689415202E-2</v>
      </c>
      <c r="I603" s="36">
        <f t="shared" si="68"/>
        <v>8.6218200846317358E-2</v>
      </c>
    </row>
    <row r="604" spans="2:9" x14ac:dyDescent="0.35">
      <c r="B604" s="16">
        <f t="shared" si="69"/>
        <v>49.583333333333648</v>
      </c>
      <c r="C604" s="17">
        <f t="shared" si="65"/>
        <v>49.583333333333648</v>
      </c>
      <c r="D604" s="1" cm="1">
        <f t="array" ref="D604">_xlfn.XLOOKUP(_xlfn.FLOOR.MATH(C604),'Mortality Tables'!$B$4:$B$124,_xlfn.XLOOKUP(mortality_table,'Mortality Tables'!$B$3:$G$3,'Mortality Tables'!$B$4:$G$124,0,0),0,0)</f>
        <v>2.2409999999999999E-3</v>
      </c>
      <c r="E604" s="1">
        <f t="shared" si="66"/>
        <v>1.8674999999999999E-4</v>
      </c>
      <c r="F604" s="1">
        <f t="shared" si="70"/>
        <v>0.99981324999999999</v>
      </c>
      <c r="G604" s="1">
        <f t="shared" si="71"/>
        <v>0.96469082464762634</v>
      </c>
      <c r="H604" s="34">
        <f t="shared" si="67"/>
        <v>8.8994654451098401E-2</v>
      </c>
      <c r="I604" s="36">
        <f t="shared" si="68"/>
        <v>8.5852326591660671E-2</v>
      </c>
    </row>
    <row r="605" spans="2:9" x14ac:dyDescent="0.35">
      <c r="B605" s="16">
        <f t="shared" si="69"/>
        <v>49.666666666666984</v>
      </c>
      <c r="C605" s="17">
        <f t="shared" si="65"/>
        <v>49.666666666666984</v>
      </c>
      <c r="D605" s="1" cm="1">
        <f t="array" ref="D605">_xlfn.XLOOKUP(_xlfn.FLOOR.MATH(C605),'Mortality Tables'!$B$4:$B$124,_xlfn.XLOOKUP(mortality_table,'Mortality Tables'!$B$3:$G$3,'Mortality Tables'!$B$4:$G$124,0,0),0,0)</f>
        <v>2.2409999999999999E-3</v>
      </c>
      <c r="E605" s="1">
        <f t="shared" si="66"/>
        <v>1.8674999999999999E-4</v>
      </c>
      <c r="F605" s="1">
        <f t="shared" si="70"/>
        <v>0.99981324999999999</v>
      </c>
      <c r="G605" s="1">
        <f t="shared" si="71"/>
        <v>0.96451066863612334</v>
      </c>
      <c r="H605" s="34">
        <f t="shared" si="67"/>
        <v>8.8633550395403285E-2</v>
      </c>
      <c r="I605" s="36">
        <f t="shared" si="68"/>
        <v>8.548800495546395E-2</v>
      </c>
    </row>
    <row r="606" spans="2:9" x14ac:dyDescent="0.35">
      <c r="B606" s="16">
        <f t="shared" si="69"/>
        <v>49.75000000000032</v>
      </c>
      <c r="C606" s="17">
        <f t="shared" si="65"/>
        <v>49.75000000000032</v>
      </c>
      <c r="D606" s="1" cm="1">
        <f t="array" ref="D606">_xlfn.XLOOKUP(_xlfn.FLOOR.MATH(C606),'Mortality Tables'!$B$4:$B$124,_xlfn.XLOOKUP(mortality_table,'Mortality Tables'!$B$3:$G$3,'Mortality Tables'!$B$4:$G$124,0,0),0,0)</f>
        <v>2.2409999999999999E-3</v>
      </c>
      <c r="E606" s="1">
        <f t="shared" si="66"/>
        <v>1.8674999999999999E-4</v>
      </c>
      <c r="F606" s="1">
        <f t="shared" si="70"/>
        <v>0.99981324999999999</v>
      </c>
      <c r="G606" s="1">
        <f t="shared" si="71"/>
        <v>0.96433054626875547</v>
      </c>
      <c r="H606" s="34">
        <f t="shared" si="67"/>
        <v>8.8273911552870052E-2</v>
      </c>
      <c r="I606" s="36">
        <f t="shared" si="68"/>
        <v>8.5125229349058987E-2</v>
      </c>
    </row>
    <row r="607" spans="2:9" x14ac:dyDescent="0.35">
      <c r="B607" s="16">
        <f t="shared" si="69"/>
        <v>49.833333333333655</v>
      </c>
      <c r="C607" s="17">
        <f t="shared" si="65"/>
        <v>49.833333333333655</v>
      </c>
      <c r="D607" s="1" cm="1">
        <f t="array" ref="D607">_xlfn.XLOOKUP(_xlfn.FLOOR.MATH(C607),'Mortality Tables'!$B$4:$B$124,_xlfn.XLOOKUP(mortality_table,'Mortality Tables'!$B$3:$G$3,'Mortality Tables'!$B$4:$G$124,0,0),0,0)</f>
        <v>2.2409999999999999E-3</v>
      </c>
      <c r="E607" s="1">
        <f t="shared" si="66"/>
        <v>1.8674999999999999E-4</v>
      </c>
      <c r="F607" s="1">
        <f t="shared" si="70"/>
        <v>0.99981324999999999</v>
      </c>
      <c r="G607" s="1">
        <f t="shared" si="71"/>
        <v>0.96415045753923978</v>
      </c>
      <c r="H607" s="34">
        <f t="shared" si="67"/>
        <v>8.7915731978260567E-2</v>
      </c>
      <c r="I607" s="36">
        <f t="shared" si="68"/>
        <v>8.4763993211737096E-2</v>
      </c>
    </row>
    <row r="608" spans="2:9" x14ac:dyDescent="0.35">
      <c r="B608" s="16">
        <f t="shared" si="69"/>
        <v>49.916666666666991</v>
      </c>
      <c r="C608" s="17">
        <f t="shared" si="65"/>
        <v>49.916666666666991</v>
      </c>
      <c r="D608" s="1" cm="1">
        <f t="array" ref="D608">_xlfn.XLOOKUP(_xlfn.FLOOR.MATH(C608),'Mortality Tables'!$B$4:$B$124,_xlfn.XLOOKUP(mortality_table,'Mortality Tables'!$B$3:$G$3,'Mortality Tables'!$B$4:$G$124,0,0),0,0)</f>
        <v>2.2409999999999999E-3</v>
      </c>
      <c r="E608" s="1">
        <f t="shared" si="66"/>
        <v>1.8674999999999999E-4</v>
      </c>
      <c r="F608" s="1">
        <f t="shared" si="70"/>
        <v>0.99981324999999999</v>
      </c>
      <c r="G608" s="1">
        <f t="shared" si="71"/>
        <v>0.96397040244129428</v>
      </c>
      <c r="H608" s="34">
        <f t="shared" si="67"/>
        <v>8.7559005750459995E-2</v>
      </c>
      <c r="I608" s="36">
        <f t="shared" si="68"/>
        <v>8.4404290010630517E-2</v>
      </c>
    </row>
    <row r="609" spans="2:9" x14ac:dyDescent="0.35">
      <c r="B609" s="16">
        <f t="shared" si="69"/>
        <v>50.000000000000327</v>
      </c>
      <c r="C609" s="17">
        <f t="shared" si="65"/>
        <v>50.000000000000327</v>
      </c>
      <c r="D609" s="1" cm="1">
        <f t="array" ref="D609">_xlfn.XLOOKUP(_xlfn.FLOOR.MATH(C609),'Mortality Tables'!$B$4:$B$124,_xlfn.XLOOKUP(mortality_table,'Mortality Tables'!$B$3:$G$3,'Mortality Tables'!$B$4:$G$124,0,0),0,0)</f>
        <v>2.5079999999999998E-3</v>
      </c>
      <c r="E609" s="1">
        <f t="shared" si="66"/>
        <v>2.0899999999999998E-4</v>
      </c>
      <c r="F609" s="1">
        <f t="shared" si="70"/>
        <v>0.99979099999999999</v>
      </c>
      <c r="G609" s="1">
        <f t="shared" si="71"/>
        <v>0.96379038096863834</v>
      </c>
      <c r="H609" s="34">
        <f t="shared" si="67"/>
        <v>8.7203726972379075E-2</v>
      </c>
      <c r="I609" s="36">
        <f t="shared" si="68"/>
        <v>8.4046113240594356E-2</v>
      </c>
    </row>
    <row r="610" spans="2:9" x14ac:dyDescent="0.35">
      <c r="B610" s="16">
        <f t="shared" si="69"/>
        <v>50.083333333333663</v>
      </c>
      <c r="C610" s="17">
        <f t="shared" si="65"/>
        <v>50.083333333333663</v>
      </c>
      <c r="D610" s="1" cm="1">
        <f t="array" ref="D610">_xlfn.XLOOKUP(_xlfn.FLOOR.MATH(C610),'Mortality Tables'!$B$4:$B$124,_xlfn.XLOOKUP(mortality_table,'Mortality Tables'!$B$3:$G$3,'Mortality Tables'!$B$4:$G$124,0,0),0,0)</f>
        <v>2.5079999999999998E-3</v>
      </c>
      <c r="E610" s="1">
        <f t="shared" si="66"/>
        <v>2.0899999999999998E-4</v>
      </c>
      <c r="F610" s="1">
        <f t="shared" si="70"/>
        <v>0.99979099999999999</v>
      </c>
      <c r="G610" s="1">
        <f t="shared" si="71"/>
        <v>0.96358894877901591</v>
      </c>
      <c r="H610" s="34">
        <f t="shared" si="67"/>
        <v>8.6849889770856392E-2</v>
      </c>
      <c r="I610" s="36">
        <f t="shared" si="68"/>
        <v>8.3687593985872916E-2</v>
      </c>
    </row>
    <row r="611" spans="2:9" x14ac:dyDescent="0.35">
      <c r="B611" s="16">
        <f t="shared" si="69"/>
        <v>50.166666666666998</v>
      </c>
      <c r="C611" s="17">
        <f t="shared" si="65"/>
        <v>50.166666666666998</v>
      </c>
      <c r="D611" s="1" cm="1">
        <f t="array" ref="D611">_xlfn.XLOOKUP(_xlfn.FLOOR.MATH(C611),'Mortality Tables'!$B$4:$B$124,_xlfn.XLOOKUP(mortality_table,'Mortality Tables'!$B$3:$G$3,'Mortality Tables'!$B$4:$G$124,0,0),0,0)</f>
        <v>2.5079999999999998E-3</v>
      </c>
      <c r="E611" s="1">
        <f t="shared" si="66"/>
        <v>2.0899999999999998E-4</v>
      </c>
      <c r="F611" s="1">
        <f t="shared" si="70"/>
        <v>0.99979099999999999</v>
      </c>
      <c r="G611" s="1">
        <f t="shared" si="71"/>
        <v>0.96338755868872106</v>
      </c>
      <c r="H611" s="34">
        <f t="shared" si="67"/>
        <v>8.6497488296561509E-2</v>
      </c>
      <c r="I611" s="36">
        <f t="shared" si="68"/>
        <v>8.3330604082730617E-2</v>
      </c>
    </row>
    <row r="612" spans="2:9" x14ac:dyDescent="0.35">
      <c r="B612" s="16">
        <f t="shared" si="69"/>
        <v>50.250000000000334</v>
      </c>
      <c r="C612" s="17">
        <f t="shared" si="65"/>
        <v>50.250000000000334</v>
      </c>
      <c r="D612" s="1" cm="1">
        <f t="array" ref="D612">_xlfn.XLOOKUP(_xlfn.FLOOR.MATH(C612),'Mortality Tables'!$B$4:$B$124,_xlfn.XLOOKUP(mortality_table,'Mortality Tables'!$B$3:$G$3,'Mortality Tables'!$B$4:$G$124,0,0),0,0)</f>
        <v>2.5079999999999998E-3</v>
      </c>
      <c r="E612" s="1">
        <f t="shared" si="66"/>
        <v>2.0899999999999998E-4</v>
      </c>
      <c r="F612" s="1">
        <f t="shared" si="70"/>
        <v>0.99979099999999999</v>
      </c>
      <c r="G612" s="1">
        <f t="shared" si="71"/>
        <v>0.96318621068895505</v>
      </c>
      <c r="H612" s="34">
        <f t="shared" si="67"/>
        <v>8.6146516723898212E-2</v>
      </c>
      <c r="I612" s="36">
        <f t="shared" si="68"/>
        <v>8.2975137007344213E-2</v>
      </c>
    </row>
    <row r="613" spans="2:9" x14ac:dyDescent="0.35">
      <c r="B613" s="16">
        <f t="shared" si="69"/>
        <v>50.33333333333367</v>
      </c>
      <c r="C613" s="17">
        <f t="shared" si="65"/>
        <v>50.33333333333367</v>
      </c>
      <c r="D613" s="1" cm="1">
        <f t="array" ref="D613">_xlfn.XLOOKUP(_xlfn.FLOOR.MATH(C613),'Mortality Tables'!$B$4:$B$124,_xlfn.XLOOKUP(mortality_table,'Mortality Tables'!$B$3:$G$3,'Mortality Tables'!$B$4:$G$124,0,0),0,0)</f>
        <v>2.5079999999999998E-3</v>
      </c>
      <c r="E613" s="1">
        <f t="shared" si="66"/>
        <v>2.0899999999999998E-4</v>
      </c>
      <c r="F613" s="1">
        <f t="shared" si="70"/>
        <v>0.99979099999999999</v>
      </c>
      <c r="G613" s="1">
        <f t="shared" si="71"/>
        <v>0.96298490477092102</v>
      </c>
      <c r="H613" s="34">
        <f t="shared" si="67"/>
        <v>8.5796969250908128E-2</v>
      </c>
      <c r="I613" s="36">
        <f t="shared" si="68"/>
        <v>8.2621186263719407E-2</v>
      </c>
    </row>
    <row r="614" spans="2:9" x14ac:dyDescent="0.35">
      <c r="B614" s="16">
        <f t="shared" si="69"/>
        <v>50.416666666667005</v>
      </c>
      <c r="C614" s="17">
        <f t="shared" si="65"/>
        <v>50.416666666667005</v>
      </c>
      <c r="D614" s="1" cm="1">
        <f t="array" ref="D614">_xlfn.XLOOKUP(_xlfn.FLOOR.MATH(C614),'Mortality Tables'!$B$4:$B$124,_xlfn.XLOOKUP(mortality_table,'Mortality Tables'!$B$3:$G$3,'Mortality Tables'!$B$4:$G$124,0,0),0,0)</f>
        <v>2.5079999999999998E-3</v>
      </c>
      <c r="E614" s="1">
        <f t="shared" si="66"/>
        <v>2.0899999999999998E-4</v>
      </c>
      <c r="F614" s="1">
        <f t="shared" si="70"/>
        <v>0.99979099999999999</v>
      </c>
      <c r="G614" s="1">
        <f t="shared" si="71"/>
        <v>0.96278364092582391</v>
      </c>
      <c r="H614" s="34">
        <f t="shared" si="67"/>
        <v>8.5448840099174903E-2</v>
      </c>
      <c r="I614" s="36">
        <f t="shared" si="68"/>
        <v>8.226874538357215E-2</v>
      </c>
    </row>
    <row r="615" spans="2:9" x14ac:dyDescent="0.35">
      <c r="B615" s="16">
        <f t="shared" si="69"/>
        <v>50.500000000000341</v>
      </c>
      <c r="C615" s="17">
        <f t="shared" si="65"/>
        <v>50.500000000000341</v>
      </c>
      <c r="D615" s="1" cm="1">
        <f t="array" ref="D615">_xlfn.XLOOKUP(_xlfn.FLOOR.MATH(C615),'Mortality Tables'!$B$4:$B$124,_xlfn.XLOOKUP(mortality_table,'Mortality Tables'!$B$3:$G$3,'Mortality Tables'!$B$4:$G$124,0,0),0,0)</f>
        <v>2.5079999999999998E-3</v>
      </c>
      <c r="E615" s="1">
        <f t="shared" si="66"/>
        <v>2.0899999999999998E-4</v>
      </c>
      <c r="F615" s="1">
        <f t="shared" si="70"/>
        <v>0.99979099999999999</v>
      </c>
      <c r="G615" s="1">
        <f t="shared" si="71"/>
        <v>0.96258241914487042</v>
      </c>
      <c r="H615" s="34">
        <f t="shared" si="67"/>
        <v>8.5102123513728631E-2</v>
      </c>
      <c r="I615" s="36">
        <f t="shared" si="68"/>
        <v>8.1917807926210465E-2</v>
      </c>
    </row>
    <row r="616" spans="2:9" x14ac:dyDescent="0.35">
      <c r="B616" s="16">
        <f t="shared" si="69"/>
        <v>50.583333333333677</v>
      </c>
      <c r="C616" s="17">
        <f t="shared" si="65"/>
        <v>50.583333333333677</v>
      </c>
      <c r="D616" s="1" cm="1">
        <f t="array" ref="D616">_xlfn.XLOOKUP(_xlfn.FLOOR.MATH(C616),'Mortality Tables'!$B$4:$B$124,_xlfn.XLOOKUP(mortality_table,'Mortality Tables'!$B$3:$G$3,'Mortality Tables'!$B$4:$G$124,0,0),0,0)</f>
        <v>2.5079999999999998E-3</v>
      </c>
      <c r="E616" s="1">
        <f t="shared" si="66"/>
        <v>2.0899999999999998E-4</v>
      </c>
      <c r="F616" s="1">
        <f t="shared" si="70"/>
        <v>0.99979099999999999</v>
      </c>
      <c r="G616" s="1">
        <f t="shared" si="71"/>
        <v>0.96238123941926912</v>
      </c>
      <c r="H616" s="34">
        <f t="shared" si="67"/>
        <v>8.4756813762950731E-2</v>
      </c>
      <c r="I616" s="36">
        <f t="shared" si="68"/>
        <v>8.1568367478416698E-2</v>
      </c>
    </row>
    <row r="617" spans="2:9" x14ac:dyDescent="0.35">
      <c r="B617" s="16">
        <f t="shared" si="69"/>
        <v>50.666666666667012</v>
      </c>
      <c r="C617" s="17">
        <f t="shared" si="65"/>
        <v>50.666666666667012</v>
      </c>
      <c r="D617" s="1" cm="1">
        <f t="array" ref="D617">_xlfn.XLOOKUP(_xlfn.FLOOR.MATH(C617),'Mortality Tables'!$B$4:$B$124,_xlfn.XLOOKUP(mortality_table,'Mortality Tables'!$B$3:$G$3,'Mortality Tables'!$B$4:$G$124,0,0),0,0)</f>
        <v>2.5079999999999998E-3</v>
      </c>
      <c r="E617" s="1">
        <f t="shared" si="66"/>
        <v>2.0899999999999998E-4</v>
      </c>
      <c r="F617" s="1">
        <f t="shared" si="70"/>
        <v>0.99979099999999999</v>
      </c>
      <c r="G617" s="1">
        <f t="shared" si="71"/>
        <v>0.9621801017402305</v>
      </c>
      <c r="H617" s="34">
        <f t="shared" si="67"/>
        <v>8.4412905138479197E-2</v>
      </c>
      <c r="I617" s="36">
        <f t="shared" si="68"/>
        <v>8.1220417654330343E-2</v>
      </c>
    </row>
    <row r="618" spans="2:9" x14ac:dyDescent="0.35">
      <c r="B618" s="16">
        <f t="shared" si="69"/>
        <v>50.750000000000348</v>
      </c>
      <c r="C618" s="17">
        <f t="shared" si="65"/>
        <v>50.750000000000348</v>
      </c>
      <c r="D618" s="1" cm="1">
        <f t="array" ref="D618">_xlfn.XLOOKUP(_xlfn.FLOOR.MATH(C618),'Mortality Tables'!$B$4:$B$124,_xlfn.XLOOKUP(mortality_table,'Mortality Tables'!$B$3:$G$3,'Mortality Tables'!$B$4:$G$124,0,0),0,0)</f>
        <v>2.5079999999999998E-3</v>
      </c>
      <c r="E618" s="1">
        <f t="shared" si="66"/>
        <v>2.0899999999999998E-4</v>
      </c>
      <c r="F618" s="1">
        <f t="shared" si="70"/>
        <v>0.99979099999999999</v>
      </c>
      <c r="G618" s="1">
        <f t="shared" si="71"/>
        <v>0.9619790060989668</v>
      </c>
      <c r="H618" s="34">
        <f t="shared" si="67"/>
        <v>8.4070391955114204E-2</v>
      </c>
      <c r="I618" s="36">
        <f t="shared" si="68"/>
        <v>8.0873952095331339E-2</v>
      </c>
    </row>
    <row r="619" spans="2:9" x14ac:dyDescent="0.35">
      <c r="B619" s="16">
        <f t="shared" si="69"/>
        <v>50.833333333333684</v>
      </c>
      <c r="C619" s="17">
        <f t="shared" si="65"/>
        <v>50.833333333333684</v>
      </c>
      <c r="D619" s="1" cm="1">
        <f t="array" ref="D619">_xlfn.XLOOKUP(_xlfn.FLOOR.MATH(C619),'Mortality Tables'!$B$4:$B$124,_xlfn.XLOOKUP(mortality_table,'Mortality Tables'!$B$3:$G$3,'Mortality Tables'!$B$4:$G$124,0,0),0,0)</f>
        <v>2.5079999999999998E-3</v>
      </c>
      <c r="E619" s="1">
        <f t="shared" si="66"/>
        <v>2.0899999999999998E-4</v>
      </c>
      <c r="F619" s="1">
        <f t="shared" si="70"/>
        <v>0.99979099999999999</v>
      </c>
      <c r="G619" s="1">
        <f t="shared" si="71"/>
        <v>0.96177795248669207</v>
      </c>
      <c r="H619" s="34">
        <f t="shared" si="67"/>
        <v>8.3729268550724253E-2</v>
      </c>
      <c r="I619" s="36">
        <f t="shared" si="68"/>
        <v>8.0528964469923955E-2</v>
      </c>
    </row>
    <row r="620" spans="2:9" x14ac:dyDescent="0.35">
      <c r="B620" s="16">
        <f t="shared" si="69"/>
        <v>50.91666666666702</v>
      </c>
      <c r="C620" s="17">
        <f t="shared" si="65"/>
        <v>50.91666666666702</v>
      </c>
      <c r="D620" s="1" cm="1">
        <f t="array" ref="D620">_xlfn.XLOOKUP(_xlfn.FLOOR.MATH(C620),'Mortality Tables'!$B$4:$B$124,_xlfn.XLOOKUP(mortality_table,'Mortality Tables'!$B$3:$G$3,'Mortality Tables'!$B$4:$G$124,0,0),0,0)</f>
        <v>2.5079999999999998E-3</v>
      </c>
      <c r="E620" s="1">
        <f t="shared" si="66"/>
        <v>2.0899999999999998E-4</v>
      </c>
      <c r="F620" s="1">
        <f t="shared" si="70"/>
        <v>0.99979099999999999</v>
      </c>
      <c r="G620" s="1">
        <f t="shared" si="71"/>
        <v>0.96157694089462231</v>
      </c>
      <c r="H620" s="34">
        <f t="shared" si="67"/>
        <v>8.3389529286152286E-2</v>
      </c>
      <c r="I620" s="36">
        <f t="shared" si="68"/>
        <v>8.018544847362083E-2</v>
      </c>
    </row>
    <row r="621" spans="2:9" x14ac:dyDescent="0.35">
      <c r="B621" s="16">
        <f t="shared" si="69"/>
        <v>51.000000000000355</v>
      </c>
      <c r="C621" s="17">
        <f t="shared" si="65"/>
        <v>51.000000000000355</v>
      </c>
      <c r="D621" s="1" cm="1">
        <f t="array" ref="D621">_xlfn.XLOOKUP(_xlfn.FLOOR.MATH(C621),'Mortality Tables'!$B$4:$B$124,_xlfn.XLOOKUP(mortality_table,'Mortality Tables'!$B$3:$G$3,'Mortality Tables'!$B$4:$G$124,0,0),0,0)</f>
        <v>2.8089999999999999E-3</v>
      </c>
      <c r="E621" s="1">
        <f t="shared" si="66"/>
        <v>2.3408333333333332E-4</v>
      </c>
      <c r="F621" s="1">
        <f t="shared" si="70"/>
        <v>0.9997659166666667</v>
      </c>
      <c r="G621" s="1">
        <f t="shared" si="71"/>
        <v>0.96137597131397534</v>
      </c>
      <c r="H621" s="34">
        <f t="shared" si="67"/>
        <v>8.3051168545122817E-2</v>
      </c>
      <c r="I621" s="36">
        <f t="shared" si="68"/>
        <v>7.9843397828828128E-2</v>
      </c>
    </row>
    <row r="622" spans="2:9" x14ac:dyDescent="0.35">
      <c r="B622" s="16">
        <f t="shared" si="69"/>
        <v>51.083333333333691</v>
      </c>
      <c r="C622" s="17">
        <f t="shared" si="65"/>
        <v>51.083333333333691</v>
      </c>
      <c r="D622" s="1" cm="1">
        <f t="array" ref="D622">_xlfn.XLOOKUP(_xlfn.FLOOR.MATH(C622),'Mortality Tables'!$B$4:$B$124,_xlfn.XLOOKUP(mortality_table,'Mortality Tables'!$B$3:$G$3,'Mortality Tables'!$B$4:$G$124,0,0),0,0)</f>
        <v>2.8089999999999999E-3</v>
      </c>
      <c r="E622" s="1">
        <f t="shared" si="66"/>
        <v>2.3408333333333332E-4</v>
      </c>
      <c r="F622" s="1">
        <f t="shared" si="70"/>
        <v>0.9997659166666667</v>
      </c>
      <c r="G622" s="1">
        <f t="shared" si="71"/>
        <v>0.96115092922202361</v>
      </c>
      <c r="H622" s="34">
        <f t="shared" si="67"/>
        <v>8.2714180734148809E-2</v>
      </c>
      <c r="I622" s="36">
        <f t="shared" si="68"/>
        <v>7.9500811672465532E-2</v>
      </c>
    </row>
    <row r="623" spans="2:9" x14ac:dyDescent="0.35">
      <c r="B623" s="16">
        <f t="shared" si="69"/>
        <v>51.166666666667027</v>
      </c>
      <c r="C623" s="17">
        <f t="shared" si="65"/>
        <v>51.166666666667027</v>
      </c>
      <c r="D623" s="1" cm="1">
        <f t="array" ref="D623">_xlfn.XLOOKUP(_xlfn.FLOOR.MATH(C623),'Mortality Tables'!$B$4:$B$124,_xlfn.XLOOKUP(mortality_table,'Mortality Tables'!$B$3:$G$3,'Mortality Tables'!$B$4:$G$124,0,0),0,0)</f>
        <v>2.8089999999999999E-3</v>
      </c>
      <c r="E623" s="1">
        <f t="shared" si="66"/>
        <v>2.3408333333333332E-4</v>
      </c>
      <c r="F623" s="1">
        <f t="shared" si="70"/>
        <v>0.9997659166666667</v>
      </c>
      <c r="G623" s="1">
        <f t="shared" si="71"/>
        <v>0.96092593980867491</v>
      </c>
      <c r="H623" s="34">
        <f t="shared" si="67"/>
        <v>8.2378560282439409E-2</v>
      </c>
      <c r="I623" s="36">
        <f t="shared" si="68"/>
        <v>7.9159695459488671E-2</v>
      </c>
    </row>
    <row r="624" spans="2:9" x14ac:dyDescent="0.35">
      <c r="B624" s="16">
        <f t="shared" si="69"/>
        <v>51.250000000000362</v>
      </c>
      <c r="C624" s="17">
        <f t="shared" si="65"/>
        <v>51.250000000000362</v>
      </c>
      <c r="D624" s="1" cm="1">
        <f t="array" ref="D624">_xlfn.XLOOKUP(_xlfn.FLOOR.MATH(C624),'Mortality Tables'!$B$4:$B$124,_xlfn.XLOOKUP(mortality_table,'Mortality Tables'!$B$3:$G$3,'Mortality Tables'!$B$4:$G$124,0,0),0,0)</f>
        <v>2.8089999999999999E-3</v>
      </c>
      <c r="E624" s="1">
        <f t="shared" si="66"/>
        <v>2.3408333333333332E-4</v>
      </c>
      <c r="F624" s="1">
        <f t="shared" si="70"/>
        <v>0.9997659166666667</v>
      </c>
      <c r="G624" s="1">
        <f t="shared" si="71"/>
        <v>0.96070100306159811</v>
      </c>
      <c r="H624" s="34">
        <f t="shared" si="67"/>
        <v>8.2044301641807704E-2</v>
      </c>
      <c r="I624" s="36">
        <f t="shared" si="68"/>
        <v>7.8820042882772987E-2</v>
      </c>
    </row>
    <row r="625" spans="2:9" x14ac:dyDescent="0.35">
      <c r="B625" s="16">
        <f t="shared" si="69"/>
        <v>51.333333333333698</v>
      </c>
      <c r="C625" s="17">
        <f t="shared" si="65"/>
        <v>51.333333333333698</v>
      </c>
      <c r="D625" s="1" cm="1">
        <f t="array" ref="D625">_xlfn.XLOOKUP(_xlfn.FLOOR.MATH(C625),'Mortality Tables'!$B$4:$B$124,_xlfn.XLOOKUP(mortality_table,'Mortality Tables'!$B$3:$G$3,'Mortality Tables'!$B$4:$G$124,0,0),0,0)</f>
        <v>2.8089999999999999E-3</v>
      </c>
      <c r="E625" s="1">
        <f t="shared" si="66"/>
        <v>2.3408333333333332E-4</v>
      </c>
      <c r="F625" s="1">
        <f t="shared" si="70"/>
        <v>0.9997659166666667</v>
      </c>
      <c r="G625" s="1">
        <f t="shared" si="71"/>
        <v>0.96047611896846485</v>
      </c>
      <c r="H625" s="34">
        <f t="shared" si="67"/>
        <v>8.1711399286579056E-2</v>
      </c>
      <c r="I625" s="36">
        <f t="shared" si="68"/>
        <v>7.8481847662256035E-2</v>
      </c>
    </row>
    <row r="626" spans="2:9" x14ac:dyDescent="0.35">
      <c r="B626" s="16">
        <f t="shared" si="69"/>
        <v>51.416666666667034</v>
      </c>
      <c r="C626" s="17">
        <f t="shared" si="65"/>
        <v>51.416666666667034</v>
      </c>
      <c r="D626" s="1" cm="1">
        <f t="array" ref="D626">_xlfn.XLOOKUP(_xlfn.FLOOR.MATH(C626),'Mortality Tables'!$B$4:$B$124,_xlfn.XLOOKUP(mortality_table,'Mortality Tables'!$B$3:$G$3,'Mortality Tables'!$B$4:$G$124,0,0),0,0)</f>
        <v>2.8089999999999999E-3</v>
      </c>
      <c r="E626" s="1">
        <f t="shared" si="66"/>
        <v>2.3408333333333332E-4</v>
      </c>
      <c r="F626" s="1">
        <f t="shared" si="70"/>
        <v>0.9997659166666667</v>
      </c>
      <c r="G626" s="1">
        <f t="shared" si="71"/>
        <v>0.96025128751694966</v>
      </c>
      <c r="H626" s="34">
        <f t="shared" si="67"/>
        <v>8.1379847713499778E-2</v>
      </c>
      <c r="I626" s="36">
        <f t="shared" si="68"/>
        <v>7.8145103544821459E-2</v>
      </c>
    </row>
    <row r="627" spans="2:9" x14ac:dyDescent="0.35">
      <c r="B627" s="16">
        <f t="shared" si="69"/>
        <v>51.500000000000369</v>
      </c>
      <c r="C627" s="17">
        <f t="shared" si="65"/>
        <v>51.500000000000369</v>
      </c>
      <c r="D627" s="1" cm="1">
        <f t="array" ref="D627">_xlfn.XLOOKUP(_xlfn.FLOOR.MATH(C627),'Mortality Tables'!$B$4:$B$124,_xlfn.XLOOKUP(mortality_table,'Mortality Tables'!$B$3:$G$3,'Mortality Tables'!$B$4:$G$124,0,0),0,0)</f>
        <v>2.8089999999999999E-3</v>
      </c>
      <c r="E627" s="1">
        <f t="shared" si="66"/>
        <v>2.3408333333333332E-4</v>
      </c>
      <c r="F627" s="1">
        <f t="shared" si="70"/>
        <v>0.9997659166666667</v>
      </c>
      <c r="G627" s="1">
        <f t="shared" si="71"/>
        <v>0.96002650869473005</v>
      </c>
      <c r="H627" s="34">
        <f t="shared" si="67"/>
        <v>8.1049641441646197E-2</v>
      </c>
      <c r="I627" s="36">
        <f t="shared" si="68"/>
        <v>7.78098043041833E-2</v>
      </c>
    </row>
    <row r="628" spans="2:9" x14ac:dyDescent="0.35">
      <c r="B628" s="16">
        <f t="shared" si="69"/>
        <v>51.583333333333705</v>
      </c>
      <c r="C628" s="17">
        <f t="shared" si="65"/>
        <v>51.583333333333705</v>
      </c>
      <c r="D628" s="1" cm="1">
        <f t="array" ref="D628">_xlfn.XLOOKUP(_xlfn.FLOOR.MATH(C628),'Mortality Tables'!$B$4:$B$124,_xlfn.XLOOKUP(mortality_table,'Mortality Tables'!$B$3:$G$3,'Mortality Tables'!$B$4:$G$124,0,0),0,0)</f>
        <v>2.8089999999999999E-3</v>
      </c>
      <c r="E628" s="1">
        <f t="shared" si="66"/>
        <v>2.3408333333333332E-4</v>
      </c>
      <c r="F628" s="1">
        <f t="shared" si="70"/>
        <v>0.9997659166666667</v>
      </c>
      <c r="G628" s="1">
        <f t="shared" si="71"/>
        <v>0.95980178248948644</v>
      </c>
      <c r="H628" s="34">
        <f t="shared" si="67"/>
        <v>8.0720775012333906E-2</v>
      </c>
      <c r="I628" s="36">
        <f t="shared" si="68"/>
        <v>7.7475943740770881E-2</v>
      </c>
    </row>
    <row r="629" spans="2:9" x14ac:dyDescent="0.35">
      <c r="B629" s="16">
        <f t="shared" si="69"/>
        <v>51.666666666667041</v>
      </c>
      <c r="C629" s="17">
        <f t="shared" si="65"/>
        <v>51.666666666667041</v>
      </c>
      <c r="D629" s="1" cm="1">
        <f t="array" ref="D629">_xlfn.XLOOKUP(_xlfn.FLOOR.MATH(C629),'Mortality Tables'!$B$4:$B$124,_xlfn.XLOOKUP(mortality_table,'Mortality Tables'!$B$3:$G$3,'Mortality Tables'!$B$4:$G$124,0,0),0,0)</f>
        <v>2.8089999999999999E-3</v>
      </c>
      <c r="E629" s="1">
        <f t="shared" si="66"/>
        <v>2.3408333333333332E-4</v>
      </c>
      <c r="F629" s="1">
        <f t="shared" si="70"/>
        <v>0.9997659166666667</v>
      </c>
      <c r="G629" s="1">
        <f t="shared" si="71"/>
        <v>0.95957710888890202</v>
      </c>
      <c r="H629" s="34">
        <f t="shared" si="67"/>
        <v>8.0393242989027683E-2</v>
      </c>
      <c r="I629" s="36">
        <f t="shared" si="68"/>
        <v>7.7143515681614178E-2</v>
      </c>
    </row>
    <row r="630" spans="2:9" x14ac:dyDescent="0.35">
      <c r="B630" s="16">
        <f t="shared" si="69"/>
        <v>51.750000000000377</v>
      </c>
      <c r="C630" s="17">
        <f t="shared" si="65"/>
        <v>51.750000000000377</v>
      </c>
      <c r="D630" s="1" cm="1">
        <f t="array" ref="D630">_xlfn.XLOOKUP(_xlfn.FLOOR.MATH(C630),'Mortality Tables'!$B$4:$B$124,_xlfn.XLOOKUP(mortality_table,'Mortality Tables'!$B$3:$G$3,'Mortality Tables'!$B$4:$G$124,0,0),0,0)</f>
        <v>2.8089999999999999E-3</v>
      </c>
      <c r="E630" s="1">
        <f t="shared" si="66"/>
        <v>2.3408333333333332E-4</v>
      </c>
      <c r="F630" s="1">
        <f t="shared" si="70"/>
        <v>0.9997659166666667</v>
      </c>
      <c r="G630" s="1">
        <f t="shared" si="71"/>
        <v>0.95935248788066296</v>
      </c>
      <c r="H630" s="34">
        <f t="shared" si="67"/>
        <v>8.0067039957251548E-2</v>
      </c>
      <c r="I630" s="36">
        <f t="shared" si="68"/>
        <v>7.681251398022973E-2</v>
      </c>
    </row>
    <row r="631" spans="2:9" x14ac:dyDescent="0.35">
      <c r="B631" s="16">
        <f t="shared" si="69"/>
        <v>51.833333333333712</v>
      </c>
      <c r="C631" s="17">
        <f t="shared" si="65"/>
        <v>51.833333333333712</v>
      </c>
      <c r="D631" s="1" cm="1">
        <f t="array" ref="D631">_xlfn.XLOOKUP(_xlfn.FLOOR.MATH(C631),'Mortality Tables'!$B$4:$B$124,_xlfn.XLOOKUP(mortality_table,'Mortality Tables'!$B$3:$G$3,'Mortality Tables'!$B$4:$G$124,0,0),0,0)</f>
        <v>2.8089999999999999E-3</v>
      </c>
      <c r="E631" s="1">
        <f t="shared" si="66"/>
        <v>2.3408333333333332E-4</v>
      </c>
      <c r="F631" s="1">
        <f t="shared" si="70"/>
        <v>0.9997659166666667</v>
      </c>
      <c r="G631" s="1">
        <f t="shared" si="71"/>
        <v>0.95912791945245823</v>
      </c>
      <c r="H631" s="34">
        <f t="shared" si="67"/>
        <v>7.9742160524499173E-2</v>
      </c>
      <c r="I631" s="36">
        <f t="shared" si="68"/>
        <v>7.6482932516506841E-2</v>
      </c>
    </row>
    <row r="632" spans="2:9" x14ac:dyDescent="0.35">
      <c r="B632" s="16">
        <f t="shared" si="69"/>
        <v>51.916666666667048</v>
      </c>
      <c r="C632" s="17">
        <f t="shared" si="65"/>
        <v>51.916666666667048</v>
      </c>
      <c r="D632" s="1" cm="1">
        <f t="array" ref="D632">_xlfn.XLOOKUP(_xlfn.FLOOR.MATH(C632),'Mortality Tables'!$B$4:$B$124,_xlfn.XLOOKUP(mortality_table,'Mortality Tables'!$B$3:$G$3,'Mortality Tables'!$B$4:$G$124,0,0),0,0)</f>
        <v>2.8089999999999999E-3</v>
      </c>
      <c r="E632" s="1">
        <f t="shared" si="66"/>
        <v>2.3408333333333332E-4</v>
      </c>
      <c r="F632" s="1">
        <f t="shared" si="70"/>
        <v>0.9997659166666667</v>
      </c>
      <c r="G632" s="1">
        <f t="shared" si="71"/>
        <v>0.95890340359197979</v>
      </c>
      <c r="H632" s="34">
        <f t="shared" si="67"/>
        <v>7.9418599320144917E-2</v>
      </c>
      <c r="I632" s="36">
        <f t="shared" si="68"/>
        <v>7.6154765196594656E-2</v>
      </c>
    </row>
    <row r="633" spans="2:9" x14ac:dyDescent="0.35">
      <c r="B633" s="16">
        <f t="shared" si="69"/>
        <v>52.000000000000384</v>
      </c>
      <c r="C633" s="17">
        <f t="shared" si="65"/>
        <v>52.000000000000384</v>
      </c>
      <c r="D633" s="1" cm="1">
        <f t="array" ref="D633">_xlfn.XLOOKUP(_xlfn.FLOOR.MATH(C633),'Mortality Tables'!$B$4:$B$124,_xlfn.XLOOKUP(mortality_table,'Mortality Tables'!$B$3:$G$3,'Mortality Tables'!$B$4:$G$124,0,0),0,0)</f>
        <v>3.1519999999999999E-3</v>
      </c>
      <c r="E633" s="1">
        <f t="shared" si="66"/>
        <v>2.6266666666666664E-4</v>
      </c>
      <c r="F633" s="1">
        <f t="shared" si="70"/>
        <v>0.99973733333333337</v>
      </c>
      <c r="G633" s="1">
        <f t="shared" si="71"/>
        <v>0.95867894028692235</v>
      </c>
      <c r="H633" s="34">
        <f t="shared" si="67"/>
        <v>7.9096350995354947E-2</v>
      </c>
      <c r="I633" s="36">
        <f t="shared" si="68"/>
        <v>7.5828005952789337E-2</v>
      </c>
    </row>
    <row r="634" spans="2:9" x14ac:dyDescent="0.35">
      <c r="B634" s="16">
        <f t="shared" si="69"/>
        <v>52.083333333333719</v>
      </c>
      <c r="C634" s="17">
        <f t="shared" si="65"/>
        <v>52.083333333333719</v>
      </c>
      <c r="D634" s="1" cm="1">
        <f t="array" ref="D634">_xlfn.XLOOKUP(_xlfn.FLOOR.MATH(C634),'Mortality Tables'!$B$4:$B$124,_xlfn.XLOOKUP(mortality_table,'Mortality Tables'!$B$3:$G$3,'Mortality Tables'!$B$4:$G$124,0,0),0,0)</f>
        <v>3.1519999999999999E-3</v>
      </c>
      <c r="E634" s="1">
        <f t="shared" si="66"/>
        <v>2.6266666666666664E-4</v>
      </c>
      <c r="F634" s="1">
        <f t="shared" si="70"/>
        <v>0.99973733333333337</v>
      </c>
      <c r="G634" s="1">
        <f t="shared" si="71"/>
        <v>0.95842712728527368</v>
      </c>
      <c r="H634" s="34">
        <f t="shared" si="67"/>
        <v>7.8775410222998762E-2</v>
      </c>
      <c r="I634" s="36">
        <f t="shared" si="68"/>
        <v>7.5500490120747679E-2</v>
      </c>
    </row>
    <row r="635" spans="2:9" x14ac:dyDescent="0.35">
      <c r="B635" s="16">
        <f t="shared" si="69"/>
        <v>52.166666666667055</v>
      </c>
      <c r="C635" s="17">
        <f t="shared" si="65"/>
        <v>52.166666666667055</v>
      </c>
      <c r="D635" s="1" cm="1">
        <f t="array" ref="D635">_xlfn.XLOOKUP(_xlfn.FLOOR.MATH(C635),'Mortality Tables'!$B$4:$B$124,_xlfn.XLOOKUP(mortality_table,'Mortality Tables'!$B$3:$G$3,'Mortality Tables'!$B$4:$G$124,0,0),0,0)</f>
        <v>3.1519999999999999E-3</v>
      </c>
      <c r="E635" s="1">
        <f t="shared" si="66"/>
        <v>2.6266666666666664E-4</v>
      </c>
      <c r="F635" s="1">
        <f t="shared" si="70"/>
        <v>0.99973733333333337</v>
      </c>
      <c r="G635" s="1">
        <f t="shared" si="71"/>
        <v>0.95817538042650674</v>
      </c>
      <c r="H635" s="34">
        <f t="shared" si="67"/>
        <v>7.8455771697561225E-2</v>
      </c>
      <c r="I635" s="36">
        <f t="shared" si="68"/>
        <v>7.517438889296589E-2</v>
      </c>
    </row>
    <row r="636" spans="2:9" x14ac:dyDescent="0.35">
      <c r="B636" s="16">
        <f t="shared" si="69"/>
        <v>52.250000000000391</v>
      </c>
      <c r="C636" s="17">
        <f t="shared" si="65"/>
        <v>52.250000000000391</v>
      </c>
      <c r="D636" s="1" cm="1">
        <f t="array" ref="D636">_xlfn.XLOOKUP(_xlfn.FLOOR.MATH(C636),'Mortality Tables'!$B$4:$B$124,_xlfn.XLOOKUP(mortality_table,'Mortality Tables'!$B$3:$G$3,'Mortality Tables'!$B$4:$G$124,0,0),0,0)</f>
        <v>3.1519999999999999E-3</v>
      </c>
      <c r="E636" s="1">
        <f t="shared" si="66"/>
        <v>2.6266666666666664E-4</v>
      </c>
      <c r="F636" s="1">
        <f t="shared" si="70"/>
        <v>0.99973733333333337</v>
      </c>
      <c r="G636" s="1">
        <f t="shared" si="71"/>
        <v>0.95792369969324809</v>
      </c>
      <c r="H636" s="34">
        <f t="shared" si="67"/>
        <v>7.8137430135054836E-2</v>
      </c>
      <c r="I636" s="36">
        <f t="shared" si="68"/>
        <v>7.4849696159494425E-2</v>
      </c>
    </row>
    <row r="637" spans="2:9" x14ac:dyDescent="0.35">
      <c r="B637" s="16">
        <f t="shared" si="69"/>
        <v>52.333333333333727</v>
      </c>
      <c r="C637" s="17">
        <f t="shared" si="65"/>
        <v>52.333333333333727</v>
      </c>
      <c r="D637" s="1" cm="1">
        <f t="array" ref="D637">_xlfn.XLOOKUP(_xlfn.FLOOR.MATH(C637),'Mortality Tables'!$B$4:$B$124,_xlfn.XLOOKUP(mortality_table,'Mortality Tables'!$B$3:$G$3,'Mortality Tables'!$B$4:$G$124,0,0),0,0)</f>
        <v>3.1519999999999999E-3</v>
      </c>
      <c r="E637" s="1">
        <f t="shared" si="66"/>
        <v>2.6266666666666664E-4</v>
      </c>
      <c r="F637" s="1">
        <f t="shared" si="70"/>
        <v>0.99973733333333337</v>
      </c>
      <c r="G637" s="1">
        <f t="shared" si="71"/>
        <v>0.95767208506812873</v>
      </c>
      <c r="H637" s="34">
        <f t="shared" si="67"/>
        <v>7.782038027293231E-2</v>
      </c>
      <c r="I637" s="36">
        <f t="shared" si="68"/>
        <v>7.4526405836773751E-2</v>
      </c>
    </row>
    <row r="638" spans="2:9" x14ac:dyDescent="0.35">
      <c r="B638" s="16">
        <f t="shared" si="69"/>
        <v>52.416666666667062</v>
      </c>
      <c r="C638" s="17">
        <f t="shared" si="65"/>
        <v>52.416666666667062</v>
      </c>
      <c r="D638" s="1" cm="1">
        <f t="array" ref="D638">_xlfn.XLOOKUP(_xlfn.FLOOR.MATH(C638),'Mortality Tables'!$B$4:$B$124,_xlfn.XLOOKUP(mortality_table,'Mortality Tables'!$B$3:$G$3,'Mortality Tables'!$B$4:$G$124,0,0),0,0)</f>
        <v>3.1519999999999999E-3</v>
      </c>
      <c r="E638" s="1">
        <f t="shared" si="66"/>
        <v>2.6266666666666664E-4</v>
      </c>
      <c r="F638" s="1">
        <f t="shared" si="70"/>
        <v>0.99973733333333337</v>
      </c>
      <c r="G638" s="1">
        <f t="shared" si="71"/>
        <v>0.95742053653378423</v>
      </c>
      <c r="H638" s="34">
        <f t="shared" si="67"/>
        <v>7.7504616869999682E-2</v>
      </c>
      <c r="I638" s="36">
        <f t="shared" si="68"/>
        <v>7.4204511867520473E-2</v>
      </c>
    </row>
    <row r="639" spans="2:9" x14ac:dyDescent="0.35">
      <c r="B639" s="16">
        <f t="shared" si="69"/>
        <v>52.500000000000398</v>
      </c>
      <c r="C639" s="17">
        <f t="shared" si="65"/>
        <v>52.500000000000398</v>
      </c>
      <c r="D639" s="1" cm="1">
        <f t="array" ref="D639">_xlfn.XLOOKUP(_xlfn.FLOOR.MATH(C639),'Mortality Tables'!$B$4:$B$124,_xlfn.XLOOKUP(mortality_table,'Mortality Tables'!$B$3:$G$3,'Mortality Tables'!$B$4:$G$124,0,0),0,0)</f>
        <v>3.1519999999999999E-3</v>
      </c>
      <c r="E639" s="1">
        <f t="shared" si="66"/>
        <v>2.6266666666666664E-4</v>
      </c>
      <c r="F639" s="1">
        <f t="shared" si="70"/>
        <v>0.99973733333333337</v>
      </c>
      <c r="G639" s="1">
        <f t="shared" si="71"/>
        <v>0.95716905407285469</v>
      </c>
      <c r="H639" s="34">
        <f t="shared" si="67"/>
        <v>7.71901347063296E-2</v>
      </c>
      <c r="I639" s="36">
        <f t="shared" si="68"/>
        <v>7.3884008220613737E-2</v>
      </c>
    </row>
    <row r="640" spans="2:9" x14ac:dyDescent="0.35">
      <c r="B640" s="16">
        <f t="shared" si="69"/>
        <v>52.583333333333734</v>
      </c>
      <c r="C640" s="17">
        <f t="shared" si="65"/>
        <v>52.583333333333734</v>
      </c>
      <c r="D640" s="1" cm="1">
        <f t="array" ref="D640">_xlfn.XLOOKUP(_xlfn.FLOOR.MATH(C640),'Mortality Tables'!$B$4:$B$124,_xlfn.XLOOKUP(mortality_table,'Mortality Tables'!$B$3:$G$3,'Mortality Tables'!$B$4:$G$124,0,0),0,0)</f>
        <v>3.1519999999999999E-3</v>
      </c>
      <c r="E640" s="1">
        <f t="shared" si="66"/>
        <v>2.6266666666666664E-4</v>
      </c>
      <c r="F640" s="1">
        <f t="shared" si="70"/>
        <v>0.99973733333333337</v>
      </c>
      <c r="G640" s="1">
        <f t="shared" si="71"/>
        <v>0.95691763766798488</v>
      </c>
      <c r="H640" s="34">
        <f t="shared" si="67"/>
        <v>7.6876928583175075E-2</v>
      </c>
      <c r="I640" s="36">
        <f t="shared" si="68"/>
        <v>7.3564888890982283E-2</v>
      </c>
    </row>
    <row r="641" spans="2:9" x14ac:dyDescent="0.35">
      <c r="B641" s="16">
        <f t="shared" si="69"/>
        <v>52.666666666667069</v>
      </c>
      <c r="C641" s="17">
        <f t="shared" si="65"/>
        <v>52.666666666667069</v>
      </c>
      <c r="D641" s="1" cm="1">
        <f t="array" ref="D641">_xlfn.XLOOKUP(_xlfn.FLOOR.MATH(C641),'Mortality Tables'!$B$4:$B$124,_xlfn.XLOOKUP(mortality_table,'Mortality Tables'!$B$3:$G$3,'Mortality Tables'!$B$4:$G$124,0,0),0,0)</f>
        <v>3.1519999999999999E-3</v>
      </c>
      <c r="E641" s="1">
        <f t="shared" si="66"/>
        <v>2.6266666666666664E-4</v>
      </c>
      <c r="F641" s="1">
        <f t="shared" si="70"/>
        <v>0.99973733333333337</v>
      </c>
      <c r="G641" s="1">
        <f t="shared" si="71"/>
        <v>0.95666628730182413</v>
      </c>
      <c r="H641" s="34">
        <f t="shared" si="67"/>
        <v>7.6564993322883426E-2</v>
      </c>
      <c r="I641" s="36">
        <f t="shared" si="68"/>
        <v>7.3247147899491841E-2</v>
      </c>
    </row>
    <row r="642" spans="2:9" x14ac:dyDescent="0.35">
      <c r="B642" s="16">
        <f t="shared" si="69"/>
        <v>52.750000000000405</v>
      </c>
      <c r="C642" s="17">
        <f t="shared" si="65"/>
        <v>52.750000000000405</v>
      </c>
      <c r="D642" s="1" cm="1">
        <f t="array" ref="D642">_xlfn.XLOOKUP(_xlfn.FLOOR.MATH(C642),'Mortality Tables'!$B$4:$B$124,_xlfn.XLOOKUP(mortality_table,'Mortality Tables'!$B$3:$G$3,'Mortality Tables'!$B$4:$G$124,0,0),0,0)</f>
        <v>3.1519999999999999E-3</v>
      </c>
      <c r="E642" s="1">
        <f t="shared" si="66"/>
        <v>2.6266666666666664E-4</v>
      </c>
      <c r="F642" s="1">
        <f t="shared" si="70"/>
        <v>0.99973733333333337</v>
      </c>
      <c r="G642" s="1">
        <f t="shared" si="71"/>
        <v>0.95641500295702619</v>
      </c>
      <c r="H642" s="34">
        <f t="shared" si="67"/>
        <v>7.6254323768810889E-2</v>
      </c>
      <c r="I642" s="36">
        <f t="shared" si="68"/>
        <v>7.29307792928333E-2</v>
      </c>
    </row>
    <row r="643" spans="2:9" x14ac:dyDescent="0.35">
      <c r="B643" s="16">
        <f t="shared" si="69"/>
        <v>52.833333333333741</v>
      </c>
      <c r="C643" s="17">
        <f t="shared" si="65"/>
        <v>52.833333333333741</v>
      </c>
      <c r="D643" s="1" cm="1">
        <f t="array" ref="D643">_xlfn.XLOOKUP(_xlfn.FLOOR.MATH(C643),'Mortality Tables'!$B$4:$B$124,_xlfn.XLOOKUP(mortality_table,'Mortality Tables'!$B$3:$G$3,'Mortality Tables'!$B$4:$G$124,0,0),0,0)</f>
        <v>3.1519999999999999E-3</v>
      </c>
      <c r="E643" s="1">
        <f t="shared" si="66"/>
        <v>2.6266666666666664E-4</v>
      </c>
      <c r="F643" s="1">
        <f t="shared" si="70"/>
        <v>0.99973733333333337</v>
      </c>
      <c r="G643" s="1">
        <f t="shared" si="71"/>
        <v>0.95616378461624951</v>
      </c>
      <c r="H643" s="34">
        <f t="shared" si="67"/>
        <v>7.5944914785237197E-2</v>
      </c>
      <c r="I643" s="36">
        <f t="shared" si="68"/>
        <v>7.2615777143410956E-2</v>
      </c>
    </row>
    <row r="644" spans="2:9" x14ac:dyDescent="0.35">
      <c r="B644" s="16">
        <f t="shared" si="69"/>
        <v>52.916666666667076</v>
      </c>
      <c r="C644" s="17">
        <f t="shared" si="65"/>
        <v>52.916666666667076</v>
      </c>
      <c r="D644" s="1" cm="1">
        <f t="array" ref="D644">_xlfn.XLOOKUP(_xlfn.FLOOR.MATH(C644),'Mortality Tables'!$B$4:$B$124,_xlfn.XLOOKUP(mortality_table,'Mortality Tables'!$B$3:$G$3,'Mortality Tables'!$B$4:$G$124,0,0),0,0)</f>
        <v>3.1519999999999999E-3</v>
      </c>
      <c r="E644" s="1">
        <f t="shared" si="66"/>
        <v>2.6266666666666664E-4</v>
      </c>
      <c r="F644" s="1">
        <f t="shared" si="70"/>
        <v>0.99973733333333337</v>
      </c>
      <c r="G644" s="1">
        <f t="shared" si="71"/>
        <v>0.95591263226215706</v>
      </c>
      <c r="H644" s="34">
        <f t="shared" si="67"/>
        <v>7.5636761257280763E-2</v>
      </c>
      <c r="I644" s="36">
        <f t="shared" si="68"/>
        <v>7.2302135549231594E-2</v>
      </c>
    </row>
    <row r="645" spans="2:9" x14ac:dyDescent="0.35">
      <c r="B645" s="16">
        <f t="shared" si="69"/>
        <v>53.000000000000412</v>
      </c>
      <c r="C645" s="17">
        <f t="shared" si="65"/>
        <v>53.000000000000412</v>
      </c>
      <c r="D645" s="1" cm="1">
        <f t="array" ref="D645">_xlfn.XLOOKUP(_xlfn.FLOOR.MATH(C645),'Mortality Tables'!$B$4:$B$124,_xlfn.XLOOKUP(mortality_table,'Mortality Tables'!$B$3:$G$3,'Mortality Tables'!$B$4:$G$124,0,0),0,0)</f>
        <v>3.539E-3</v>
      </c>
      <c r="E645" s="1">
        <f t="shared" si="66"/>
        <v>2.9491666666666663E-4</v>
      </c>
      <c r="F645" s="1">
        <f t="shared" si="70"/>
        <v>0.9997050833333333</v>
      </c>
      <c r="G645" s="1">
        <f t="shared" si="71"/>
        <v>0.95566154587741625</v>
      </c>
      <c r="H645" s="34">
        <f t="shared" si="67"/>
        <v>7.532985809081412E-2</v>
      </c>
      <c r="I645" s="36">
        <f t="shared" si="68"/>
        <v>7.1989848633793818E-2</v>
      </c>
    </row>
    <row r="646" spans="2:9" x14ac:dyDescent="0.35">
      <c r="B646" s="16">
        <f t="shared" si="69"/>
        <v>53.083333333333748</v>
      </c>
      <c r="C646" s="17">
        <f t="shared" si="65"/>
        <v>53.083333333333748</v>
      </c>
      <c r="D646" s="1" cm="1">
        <f t="array" ref="D646">_xlfn.XLOOKUP(_xlfn.FLOOR.MATH(C646),'Mortality Tables'!$B$4:$B$124,_xlfn.XLOOKUP(mortality_table,'Mortality Tables'!$B$3:$G$3,'Mortality Tables'!$B$4:$G$124,0,0),0,0)</f>
        <v>3.539E-3</v>
      </c>
      <c r="E646" s="1">
        <f t="shared" si="66"/>
        <v>2.9491666666666663E-4</v>
      </c>
      <c r="F646" s="1">
        <f t="shared" si="70"/>
        <v>0.9997050833333333</v>
      </c>
      <c r="G646" s="1">
        <f t="shared" si="71"/>
        <v>0.95537970535984451</v>
      </c>
      <c r="H646" s="34">
        <f t="shared" si="67"/>
        <v>7.5024200212379655E-2</v>
      </c>
      <c r="I646" s="36">
        <f t="shared" si="68"/>
        <v>7.1676598293761259E-2</v>
      </c>
    </row>
    <row r="647" spans="2:9" x14ac:dyDescent="0.35">
      <c r="B647" s="16">
        <f t="shared" si="69"/>
        <v>53.166666666667084</v>
      </c>
      <c r="C647" s="17">
        <f t="shared" si="65"/>
        <v>53.166666666667084</v>
      </c>
      <c r="D647" s="1" cm="1">
        <f t="array" ref="D647">_xlfn.XLOOKUP(_xlfn.FLOOR.MATH(C647),'Mortality Tables'!$B$4:$B$124,_xlfn.XLOOKUP(mortality_table,'Mortality Tables'!$B$3:$G$3,'Mortality Tables'!$B$4:$G$124,0,0),0,0)</f>
        <v>3.539E-3</v>
      </c>
      <c r="E647" s="1">
        <f t="shared" si="66"/>
        <v>2.9491666666666663E-4</v>
      </c>
      <c r="F647" s="1">
        <f t="shared" si="70"/>
        <v>0.9997050833333333</v>
      </c>
      <c r="G647" s="1">
        <f t="shared" si="71"/>
        <v>0.95509794796173875</v>
      </c>
      <c r="H647" s="34">
        <f t="shared" si="67"/>
        <v>7.4719782569105817E-2</v>
      </c>
      <c r="I647" s="36">
        <f t="shared" si="68"/>
        <v>7.1364711003900266E-2</v>
      </c>
    </row>
    <row r="648" spans="2:9" x14ac:dyDescent="0.35">
      <c r="B648" s="16">
        <f t="shared" si="69"/>
        <v>53.250000000000419</v>
      </c>
      <c r="C648" s="17">
        <f t="shared" si="65"/>
        <v>53.250000000000419</v>
      </c>
      <c r="D648" s="1" cm="1">
        <f t="array" ref="D648">_xlfn.XLOOKUP(_xlfn.FLOOR.MATH(C648),'Mortality Tables'!$B$4:$B$124,_xlfn.XLOOKUP(mortality_table,'Mortality Tables'!$B$3:$G$3,'Mortality Tables'!$B$4:$G$124,0,0),0,0)</f>
        <v>3.539E-3</v>
      </c>
      <c r="E648" s="1">
        <f t="shared" si="66"/>
        <v>2.9491666666666663E-4</v>
      </c>
      <c r="F648" s="1">
        <f t="shared" si="70"/>
        <v>0.9997050833333333</v>
      </c>
      <c r="G648" s="1">
        <f t="shared" si="71"/>
        <v>0.95481627365858568</v>
      </c>
      <c r="H648" s="34">
        <f t="shared" si="67"/>
        <v>7.4416600128623542E-2</v>
      </c>
      <c r="I648" s="36">
        <f t="shared" si="68"/>
        <v>7.105418083315336E-2</v>
      </c>
    </row>
    <row r="649" spans="2:9" x14ac:dyDescent="0.35">
      <c r="B649" s="16">
        <f t="shared" si="69"/>
        <v>53.333333333333755</v>
      </c>
      <c r="C649" s="17">
        <f t="shared" ref="C649:C712" si="72">current_age+B649</f>
        <v>53.333333333333755</v>
      </c>
      <c r="D649" s="1" cm="1">
        <f t="array" ref="D649">_xlfn.XLOOKUP(_xlfn.FLOOR.MATH(C649),'Mortality Tables'!$B$4:$B$124,_xlfn.XLOOKUP(mortality_table,'Mortality Tables'!$B$3:$G$3,'Mortality Tables'!$B$4:$G$124,0,0),0,0)</f>
        <v>3.539E-3</v>
      </c>
      <c r="E649" s="1">
        <f t="shared" ref="E649:E712" si="73">$F$5*D649</f>
        <v>2.9491666666666663E-4</v>
      </c>
      <c r="F649" s="1">
        <f t="shared" si="70"/>
        <v>0.9997050833333333</v>
      </c>
      <c r="G649" s="1">
        <f t="shared" si="71"/>
        <v>0.95453468242587913</v>
      </c>
      <c r="H649" s="34">
        <f t="shared" ref="H649:H712" si="74">(1+interest_rate)^-(B649)</f>
        <v>7.4114647878983045E-2</v>
      </c>
      <c r="I649" s="36">
        <f t="shared" ref="I649:I712" si="75">IF(current_age+B649&lt;=$C$5,G649*H649,0)</f>
        <v>7.0745001876270933E-2</v>
      </c>
    </row>
    <row r="650" spans="2:9" x14ac:dyDescent="0.35">
      <c r="B650" s="16">
        <f t="shared" ref="B650:B713" si="76">B649+$F$5</f>
        <v>53.416666666667091</v>
      </c>
      <c r="C650" s="17">
        <f t="shared" si="72"/>
        <v>53.416666666667091</v>
      </c>
      <c r="D650" s="1" cm="1">
        <f t="array" ref="D650">_xlfn.XLOOKUP(_xlfn.FLOOR.MATH(C650),'Mortality Tables'!$B$4:$B$124,_xlfn.XLOOKUP(mortality_table,'Mortality Tables'!$B$3:$G$3,'Mortality Tables'!$B$4:$G$124,0,0),0,0)</f>
        <v>3.539E-3</v>
      </c>
      <c r="E650" s="1">
        <f t="shared" si="73"/>
        <v>2.9491666666666663E-4</v>
      </c>
      <c r="F650" s="1">
        <f t="shared" si="70"/>
        <v>0.9997050833333333</v>
      </c>
      <c r="G650" s="1">
        <f t="shared" si="71"/>
        <v>0.95425317423912037</v>
      </c>
      <c r="H650" s="34">
        <f t="shared" si="74"/>
        <v>7.3813920828571022E-2</v>
      </c>
      <c r="I650" s="36">
        <f t="shared" si="75"/>
        <v>7.0437168253699015E-2</v>
      </c>
    </row>
    <row r="651" spans="2:9" x14ac:dyDescent="0.35">
      <c r="B651" s="16">
        <f t="shared" si="76"/>
        <v>53.500000000000426</v>
      </c>
      <c r="C651" s="17">
        <f t="shared" si="72"/>
        <v>53.500000000000426</v>
      </c>
      <c r="D651" s="1" cm="1">
        <f t="array" ref="D651">_xlfn.XLOOKUP(_xlfn.FLOOR.MATH(C651),'Mortality Tables'!$B$4:$B$124,_xlfn.XLOOKUP(mortality_table,'Mortality Tables'!$B$3:$G$3,'Mortality Tables'!$B$4:$G$124,0,0),0,0)</f>
        <v>3.539E-3</v>
      </c>
      <c r="E651" s="1">
        <f t="shared" si="73"/>
        <v>2.9491666666666663E-4</v>
      </c>
      <c r="F651" s="1">
        <f t="shared" si="70"/>
        <v>0.9997050833333333</v>
      </c>
      <c r="G651" s="1">
        <f t="shared" si="71"/>
        <v>0.95397174907381765</v>
      </c>
      <c r="H651" s="34">
        <f t="shared" si="74"/>
        <v>7.3514414006028109E-2</v>
      </c>
      <c r="I651" s="36">
        <f t="shared" si="75"/>
        <v>7.0130674111467395E-2</v>
      </c>
    </row>
    <row r="652" spans="2:9" x14ac:dyDescent="0.35">
      <c r="B652" s="16">
        <f t="shared" si="76"/>
        <v>53.583333333333762</v>
      </c>
      <c r="C652" s="17">
        <f t="shared" si="72"/>
        <v>53.583333333333762</v>
      </c>
      <c r="D652" s="1" cm="1">
        <f t="array" ref="D652">_xlfn.XLOOKUP(_xlfn.FLOOR.MATH(C652),'Mortality Tables'!$B$4:$B$124,_xlfn.XLOOKUP(mortality_table,'Mortality Tables'!$B$3:$G$3,'Mortality Tables'!$B$4:$G$124,0,0),0,0)</f>
        <v>3.539E-3</v>
      </c>
      <c r="E652" s="1">
        <f t="shared" si="73"/>
        <v>2.9491666666666663E-4</v>
      </c>
      <c r="F652" s="1">
        <f t="shared" si="70"/>
        <v>0.9997050833333333</v>
      </c>
      <c r="G652" s="1">
        <f t="shared" si="71"/>
        <v>0.95369040690548657</v>
      </c>
      <c r="H652" s="34">
        <f t="shared" si="74"/>
        <v>7.3216122460166635E-2</v>
      </c>
      <c r="I652" s="36">
        <f t="shared" si="75"/>
        <v>6.982551362107825E-2</v>
      </c>
    </row>
    <row r="653" spans="2:9" x14ac:dyDescent="0.35">
      <c r="B653" s="16">
        <f t="shared" si="76"/>
        <v>53.666666666667098</v>
      </c>
      <c r="C653" s="17">
        <f t="shared" si="72"/>
        <v>53.666666666667098</v>
      </c>
      <c r="D653" s="1" cm="1">
        <f t="array" ref="D653">_xlfn.XLOOKUP(_xlfn.FLOOR.MATH(C653),'Mortality Tables'!$B$4:$B$124,_xlfn.XLOOKUP(mortality_table,'Mortality Tables'!$B$3:$G$3,'Mortality Tables'!$B$4:$G$124,0,0),0,0)</f>
        <v>3.539E-3</v>
      </c>
      <c r="E653" s="1">
        <f t="shared" si="73"/>
        <v>2.9491666666666663E-4</v>
      </c>
      <c r="F653" s="1">
        <f t="shared" si="70"/>
        <v>0.9997050833333333</v>
      </c>
      <c r="G653" s="1">
        <f t="shared" si="71"/>
        <v>0.95340914770965002</v>
      </c>
      <c r="H653" s="34">
        <f t="shared" si="74"/>
        <v>7.2919041259888878E-2</v>
      </c>
      <c r="I653" s="36">
        <f t="shared" si="75"/>
        <v>6.9521680979395456E-2</v>
      </c>
    </row>
    <row r="654" spans="2:9" x14ac:dyDescent="0.35">
      <c r="B654" s="16">
        <f t="shared" si="76"/>
        <v>53.750000000000433</v>
      </c>
      <c r="C654" s="17">
        <f t="shared" si="72"/>
        <v>53.750000000000433</v>
      </c>
      <c r="D654" s="1" cm="1">
        <f t="array" ref="D654">_xlfn.XLOOKUP(_xlfn.FLOOR.MATH(C654),'Mortality Tables'!$B$4:$B$124,_xlfn.XLOOKUP(mortality_table,'Mortality Tables'!$B$3:$G$3,'Mortality Tables'!$B$4:$G$124,0,0),0,0)</f>
        <v>3.539E-3</v>
      </c>
      <c r="E654" s="1">
        <f t="shared" si="73"/>
        <v>2.9491666666666663E-4</v>
      </c>
      <c r="F654" s="1">
        <f t="shared" si="70"/>
        <v>0.9997050833333333</v>
      </c>
      <c r="G654" s="1">
        <f t="shared" si="71"/>
        <v>0.95312797146183792</v>
      </c>
      <c r="H654" s="34">
        <f t="shared" si="74"/>
        <v>7.2623165494105496E-2</v>
      </c>
      <c r="I654" s="36">
        <f t="shared" si="75"/>
        <v>6.921917040853412E-2</v>
      </c>
    </row>
    <row r="655" spans="2:9" x14ac:dyDescent="0.35">
      <c r="B655" s="16">
        <f t="shared" si="76"/>
        <v>53.833333333333769</v>
      </c>
      <c r="C655" s="17">
        <f t="shared" si="72"/>
        <v>53.833333333333769</v>
      </c>
      <c r="D655" s="1" cm="1">
        <f t="array" ref="D655">_xlfn.XLOOKUP(_xlfn.FLOOR.MATH(C655),'Mortality Tables'!$B$4:$B$124,_xlfn.XLOOKUP(mortality_table,'Mortality Tables'!$B$3:$G$3,'Mortality Tables'!$B$4:$G$124,0,0),0,0)</f>
        <v>3.539E-3</v>
      </c>
      <c r="E655" s="1">
        <f t="shared" si="73"/>
        <v>2.9491666666666663E-4</v>
      </c>
      <c r="F655" s="1">
        <f t="shared" si="70"/>
        <v>0.9997050833333333</v>
      </c>
      <c r="G655" s="1">
        <f t="shared" si="71"/>
        <v>0.95284687813758762</v>
      </c>
      <c r="H655" s="34">
        <f t="shared" si="74"/>
        <v>7.2328490271654361E-2</v>
      </c>
      <c r="I655" s="36">
        <f t="shared" si="75"/>
        <v>6.8917976155750738E-2</v>
      </c>
    </row>
    <row r="656" spans="2:9" x14ac:dyDescent="0.35">
      <c r="B656" s="16">
        <f t="shared" si="76"/>
        <v>53.916666666667105</v>
      </c>
      <c r="C656" s="17">
        <f t="shared" si="72"/>
        <v>53.916666666667105</v>
      </c>
      <c r="D656" s="1" cm="1">
        <f t="array" ref="D656">_xlfn.XLOOKUP(_xlfn.FLOOR.MATH(C656),'Mortality Tables'!$B$4:$B$124,_xlfn.XLOOKUP(mortality_table,'Mortality Tables'!$B$3:$G$3,'Mortality Tables'!$B$4:$G$124,0,0),0,0)</f>
        <v>3.539E-3</v>
      </c>
      <c r="E656" s="1">
        <f t="shared" si="73"/>
        <v>2.9491666666666663E-4</v>
      </c>
      <c r="F656" s="1">
        <f t="shared" si="70"/>
        <v>0.9997050833333333</v>
      </c>
      <c r="G656" s="1">
        <f t="shared" si="71"/>
        <v>0.95256586771244356</v>
      </c>
      <c r="H656" s="34">
        <f t="shared" si="74"/>
        <v>7.2035010721219664E-2</v>
      </c>
      <c r="I656" s="36">
        <f t="shared" si="75"/>
        <v>6.8618092493333782E-2</v>
      </c>
    </row>
    <row r="657" spans="2:9" x14ac:dyDescent="0.35">
      <c r="B657" s="16">
        <f t="shared" si="76"/>
        <v>54.000000000000441</v>
      </c>
      <c r="C657" s="17">
        <f t="shared" si="72"/>
        <v>54.000000000000441</v>
      </c>
      <c r="D657" s="1" cm="1">
        <f t="array" ref="D657">_xlfn.XLOOKUP(_xlfn.FLOOR.MATH(C657),'Mortality Tables'!$B$4:$B$124,_xlfn.XLOOKUP(mortality_table,'Mortality Tables'!$B$3:$G$3,'Mortality Tables'!$B$4:$G$124,0,0),0,0)</f>
        <v>3.9760000000000004E-3</v>
      </c>
      <c r="E657" s="1">
        <f t="shared" si="73"/>
        <v>3.3133333333333333E-4</v>
      </c>
      <c r="F657" s="1">
        <f t="shared" si="70"/>
        <v>0.99966866666666665</v>
      </c>
      <c r="G657" s="1">
        <f t="shared" si="71"/>
        <v>0.95228494016195731</v>
      </c>
      <c r="H657" s="34">
        <f t="shared" si="74"/>
        <v>7.1742721991251424E-2</v>
      </c>
      <c r="I657" s="36">
        <f t="shared" si="75"/>
        <v>6.8319513718494804E-2</v>
      </c>
    </row>
    <row r="658" spans="2:9" x14ac:dyDescent="0.35">
      <c r="B658" s="16">
        <f t="shared" si="76"/>
        <v>54.083333333333776</v>
      </c>
      <c r="C658" s="17">
        <f t="shared" si="72"/>
        <v>54.083333333333776</v>
      </c>
      <c r="D658" s="1" cm="1">
        <f t="array" ref="D658">_xlfn.XLOOKUP(_xlfn.FLOOR.MATH(C658),'Mortality Tables'!$B$4:$B$124,_xlfn.XLOOKUP(mortality_table,'Mortality Tables'!$B$3:$G$3,'Mortality Tables'!$B$4:$G$124,0,0),0,0)</f>
        <v>3.9760000000000004E-3</v>
      </c>
      <c r="E658" s="1">
        <f t="shared" si="73"/>
        <v>3.3133333333333333E-4</v>
      </c>
      <c r="F658" s="1">
        <f t="shared" si="70"/>
        <v>0.99966866666666665</v>
      </c>
      <c r="G658" s="1">
        <f t="shared" si="71"/>
        <v>0.95196941641845034</v>
      </c>
      <c r="H658" s="34">
        <f t="shared" si="74"/>
        <v>7.1451619249885287E-2</v>
      </c>
      <c r="I658" s="36">
        <f t="shared" si="75"/>
        <v>6.8019756279466603E-2</v>
      </c>
    </row>
    <row r="659" spans="2:9" x14ac:dyDescent="0.35">
      <c r="B659" s="16">
        <f t="shared" si="76"/>
        <v>54.166666666667112</v>
      </c>
      <c r="C659" s="17">
        <f t="shared" si="72"/>
        <v>54.166666666667112</v>
      </c>
      <c r="D659" s="1" cm="1">
        <f t="array" ref="D659">_xlfn.XLOOKUP(_xlfn.FLOOR.MATH(C659),'Mortality Tables'!$B$4:$B$124,_xlfn.XLOOKUP(mortality_table,'Mortality Tables'!$B$3:$G$3,'Mortality Tables'!$B$4:$G$124,0,0),0,0)</f>
        <v>3.9760000000000004E-3</v>
      </c>
      <c r="E659" s="1">
        <f t="shared" si="73"/>
        <v>3.3133333333333333E-4</v>
      </c>
      <c r="F659" s="1">
        <f t="shared" si="70"/>
        <v>0.99966866666666665</v>
      </c>
      <c r="G659" s="1">
        <f t="shared" si="71"/>
        <v>0.95165399721847699</v>
      </c>
      <c r="H659" s="34">
        <f t="shared" si="74"/>
        <v>7.1161697684862579E-2</v>
      </c>
      <c r="I659" s="36">
        <f t="shared" si="75"/>
        <v>6.7721314050652306E-2</v>
      </c>
    </row>
    <row r="660" spans="2:9" x14ac:dyDescent="0.35">
      <c r="B660" s="16">
        <f t="shared" si="76"/>
        <v>54.250000000000448</v>
      </c>
      <c r="C660" s="17">
        <f t="shared" si="72"/>
        <v>54.250000000000448</v>
      </c>
      <c r="D660" s="1" cm="1">
        <f t="array" ref="D660">_xlfn.XLOOKUP(_xlfn.FLOOR.MATH(C660),'Mortality Tables'!$B$4:$B$124,_xlfn.XLOOKUP(mortality_table,'Mortality Tables'!$B$3:$G$3,'Mortality Tables'!$B$4:$G$124,0,0),0,0)</f>
        <v>3.9760000000000004E-3</v>
      </c>
      <c r="E660" s="1">
        <f t="shared" si="73"/>
        <v>3.3133333333333333E-4</v>
      </c>
      <c r="F660" s="1">
        <f t="shared" si="70"/>
        <v>0.99966866666666665</v>
      </c>
      <c r="G660" s="1">
        <f t="shared" si="71"/>
        <v>0.95133868252739862</v>
      </c>
      <c r="H660" s="34">
        <f t="shared" si="74"/>
        <v>7.0872952503450881E-2</v>
      </c>
      <c r="I660" s="36">
        <f t="shared" si="75"/>
        <v>6.7424181261459853E-2</v>
      </c>
    </row>
    <row r="661" spans="2:9" x14ac:dyDescent="0.35">
      <c r="B661" s="16">
        <f t="shared" si="76"/>
        <v>54.333333333333783</v>
      </c>
      <c r="C661" s="17">
        <f t="shared" si="72"/>
        <v>54.333333333333783</v>
      </c>
      <c r="D661" s="1" cm="1">
        <f t="array" ref="D661">_xlfn.XLOOKUP(_xlfn.FLOOR.MATH(C661),'Mortality Tables'!$B$4:$B$124,_xlfn.XLOOKUP(mortality_table,'Mortality Tables'!$B$3:$G$3,'Mortality Tables'!$B$4:$G$124,0,0),0,0)</f>
        <v>3.9760000000000004E-3</v>
      </c>
      <c r="E661" s="1">
        <f t="shared" si="73"/>
        <v>3.3133333333333333E-4</v>
      </c>
      <c r="F661" s="1">
        <f t="shared" si="70"/>
        <v>0.99966866666666665</v>
      </c>
      <c r="G661" s="1">
        <f t="shared" si="71"/>
        <v>0.95102347231058781</v>
      </c>
      <c r="H661" s="34">
        <f t="shared" si="74"/>
        <v>7.0585378932364704E-2</v>
      </c>
      <c r="I661" s="36">
        <f t="shared" si="75"/>
        <v>6.7128352166616098E-2</v>
      </c>
    </row>
    <row r="662" spans="2:9" x14ac:dyDescent="0.35">
      <c r="B662" s="16">
        <f t="shared" si="76"/>
        <v>54.416666666667119</v>
      </c>
      <c r="C662" s="17">
        <f t="shared" si="72"/>
        <v>54.416666666667119</v>
      </c>
      <c r="D662" s="1" cm="1">
        <f t="array" ref="D662">_xlfn.XLOOKUP(_xlfn.FLOOR.MATH(C662),'Mortality Tables'!$B$4:$B$124,_xlfn.XLOOKUP(mortality_table,'Mortality Tables'!$B$3:$G$3,'Mortality Tables'!$B$4:$G$124,0,0),0,0)</f>
        <v>3.9760000000000004E-3</v>
      </c>
      <c r="E662" s="1">
        <f t="shared" si="73"/>
        <v>3.3133333333333333E-4</v>
      </c>
      <c r="F662" s="1">
        <f t="shared" si="70"/>
        <v>0.99966866666666665</v>
      </c>
      <c r="G662" s="1">
        <f t="shared" si="71"/>
        <v>0.95070836653342894</v>
      </c>
      <c r="H662" s="34">
        <f t="shared" si="74"/>
        <v>7.0298972217686606E-2</v>
      </c>
      <c r="I662" s="36">
        <f t="shared" si="75"/>
        <v>6.683382104605573E-2</v>
      </c>
    </row>
    <row r="663" spans="2:9" x14ac:dyDescent="0.35">
      <c r="B663" s="16">
        <f t="shared" si="76"/>
        <v>54.500000000000455</v>
      </c>
      <c r="C663" s="17">
        <f t="shared" si="72"/>
        <v>54.500000000000455</v>
      </c>
      <c r="D663" s="1" cm="1">
        <f t="array" ref="D663">_xlfn.XLOOKUP(_xlfn.FLOOR.MATH(C663),'Mortality Tables'!$B$4:$B$124,_xlfn.XLOOKUP(mortality_table,'Mortality Tables'!$B$3:$G$3,'Mortality Tables'!$B$4:$G$124,0,0),0,0)</f>
        <v>3.9760000000000004E-3</v>
      </c>
      <c r="E663" s="1">
        <f t="shared" si="73"/>
        <v>3.3133333333333333E-4</v>
      </c>
      <c r="F663" s="1">
        <f t="shared" si="70"/>
        <v>0.99966866666666665</v>
      </c>
      <c r="G663" s="1">
        <f t="shared" si="71"/>
        <v>0.95039336516131756</v>
      </c>
      <c r="H663" s="34">
        <f t="shared" si="74"/>
        <v>7.001372762478858E-2</v>
      </c>
      <c r="I663" s="36">
        <f t="shared" si="75"/>
        <v>6.6540582204810725E-2</v>
      </c>
    </row>
    <row r="664" spans="2:9" x14ac:dyDescent="0.35">
      <c r="B664" s="16">
        <f t="shared" si="76"/>
        <v>54.58333333333379</v>
      </c>
      <c r="C664" s="17">
        <f t="shared" si="72"/>
        <v>54.58333333333379</v>
      </c>
      <c r="D664" s="1" cm="1">
        <f t="array" ref="D664">_xlfn.XLOOKUP(_xlfn.FLOOR.MATH(C664),'Mortality Tables'!$B$4:$B$124,_xlfn.XLOOKUP(mortality_table,'Mortality Tables'!$B$3:$G$3,'Mortality Tables'!$B$4:$G$124,0,0),0,0)</f>
        <v>3.9760000000000004E-3</v>
      </c>
      <c r="E664" s="1">
        <f t="shared" si="73"/>
        <v>3.3133333333333333E-4</v>
      </c>
      <c r="F664" s="1">
        <f t="shared" si="70"/>
        <v>0.99966866666666665</v>
      </c>
      <c r="G664" s="1">
        <f t="shared" si="71"/>
        <v>0.95007846815966079</v>
      </c>
      <c r="H664" s="34">
        <f t="shared" si="74"/>
        <v>6.9729640438253832E-2</v>
      </c>
      <c r="I664" s="36">
        <f t="shared" si="75"/>
        <v>6.6248629972900139E-2</v>
      </c>
    </row>
    <row r="665" spans="2:9" x14ac:dyDescent="0.35">
      <c r="B665" s="16">
        <f t="shared" si="76"/>
        <v>54.666666666667126</v>
      </c>
      <c r="C665" s="17">
        <f t="shared" si="72"/>
        <v>54.666666666667126</v>
      </c>
      <c r="D665" s="1" cm="1">
        <f t="array" ref="D665">_xlfn.XLOOKUP(_xlfn.FLOOR.MATH(C665),'Mortality Tables'!$B$4:$B$124,_xlfn.XLOOKUP(mortality_table,'Mortality Tables'!$B$3:$G$3,'Mortality Tables'!$B$4:$G$124,0,0),0,0)</f>
        <v>3.9760000000000004E-3</v>
      </c>
      <c r="E665" s="1">
        <f t="shared" si="73"/>
        <v>3.3133333333333333E-4</v>
      </c>
      <c r="F665" s="1">
        <f t="shared" si="70"/>
        <v>0.99966866666666665</v>
      </c>
      <c r="G665" s="1">
        <f t="shared" si="71"/>
        <v>0.94976367549387719</v>
      </c>
      <c r="H665" s="34">
        <f t="shared" si="74"/>
        <v>6.9446705961798819E-2</v>
      </c>
      <c r="I665" s="36">
        <f t="shared" si="75"/>
        <v>6.5957958705220601E-2</v>
      </c>
    </row>
    <row r="666" spans="2:9" x14ac:dyDescent="0.35">
      <c r="B666" s="16">
        <f t="shared" si="76"/>
        <v>54.750000000000462</v>
      </c>
      <c r="C666" s="17">
        <f t="shared" si="72"/>
        <v>54.750000000000462</v>
      </c>
      <c r="D666" s="1" cm="1">
        <f t="array" ref="D666">_xlfn.XLOOKUP(_xlfn.FLOOR.MATH(C666),'Mortality Tables'!$B$4:$B$124,_xlfn.XLOOKUP(mortality_table,'Mortality Tables'!$B$3:$G$3,'Mortality Tables'!$B$4:$G$124,0,0),0,0)</f>
        <v>3.9760000000000004E-3</v>
      </c>
      <c r="E666" s="1">
        <f t="shared" si="73"/>
        <v>3.3133333333333333E-4</v>
      </c>
      <c r="F666" s="1">
        <f t="shared" si="70"/>
        <v>0.99966866666666665</v>
      </c>
      <c r="G666" s="1">
        <f t="shared" si="71"/>
        <v>0.94944898712939685</v>
      </c>
      <c r="H666" s="34">
        <f t="shared" si="74"/>
        <v>6.9164919518195603E-2</v>
      </c>
      <c r="I666" s="36">
        <f t="shared" si="75"/>
        <v>6.5668562781437068E-2</v>
      </c>
    </row>
    <row r="667" spans="2:9" x14ac:dyDescent="0.35">
      <c r="B667" s="16">
        <f t="shared" si="76"/>
        <v>54.833333333333798</v>
      </c>
      <c r="C667" s="17">
        <f t="shared" si="72"/>
        <v>54.833333333333798</v>
      </c>
      <c r="D667" s="1" cm="1">
        <f t="array" ref="D667">_xlfn.XLOOKUP(_xlfn.FLOOR.MATH(C667),'Mortality Tables'!$B$4:$B$124,_xlfn.XLOOKUP(mortality_table,'Mortality Tables'!$B$3:$G$3,'Mortality Tables'!$B$4:$G$124,0,0),0,0)</f>
        <v>3.9760000000000004E-3</v>
      </c>
      <c r="E667" s="1">
        <f t="shared" si="73"/>
        <v>3.3133333333333333E-4</v>
      </c>
      <c r="F667" s="1">
        <f t="shared" ref="F667:F730" si="77">1-E667</f>
        <v>0.99966866666666665</v>
      </c>
      <c r="G667" s="1">
        <f t="shared" ref="G667:G730" si="78">G666*F666</f>
        <v>0.9491344030316613</v>
      </c>
      <c r="H667" s="34">
        <f t="shared" si="74"/>
        <v>6.8884276449194523E-2</v>
      </c>
      <c r="I667" s="36">
        <f t="shared" si="75"/>
        <v>6.538043660587417E-2</v>
      </c>
    </row>
    <row r="668" spans="2:9" x14ac:dyDescent="0.35">
      <c r="B668" s="16">
        <f t="shared" si="76"/>
        <v>54.916666666667133</v>
      </c>
      <c r="C668" s="17">
        <f t="shared" si="72"/>
        <v>54.916666666667133</v>
      </c>
      <c r="D668" s="1" cm="1">
        <f t="array" ref="D668">_xlfn.XLOOKUP(_xlfn.FLOOR.MATH(C668),'Mortality Tables'!$B$4:$B$124,_xlfn.XLOOKUP(mortality_table,'Mortality Tables'!$B$3:$G$3,'Mortality Tables'!$B$4:$G$124,0,0),0,0)</f>
        <v>3.9760000000000004E-3</v>
      </c>
      <c r="E668" s="1">
        <f t="shared" si="73"/>
        <v>3.3133333333333333E-4</v>
      </c>
      <c r="F668" s="1">
        <f t="shared" si="77"/>
        <v>0.99966866666666665</v>
      </c>
      <c r="G668" s="1">
        <f t="shared" si="78"/>
        <v>0.94881992316612351</v>
      </c>
      <c r="H668" s="34">
        <f t="shared" si="74"/>
        <v>6.8604772115447202E-2</v>
      </c>
      <c r="I668" s="36">
        <f t="shared" si="75"/>
        <v>6.5093574607408028E-2</v>
      </c>
    </row>
    <row r="669" spans="2:9" x14ac:dyDescent="0.35">
      <c r="B669" s="16">
        <f t="shared" si="76"/>
        <v>55.000000000000469</v>
      </c>
      <c r="C669" s="17">
        <f t="shared" si="72"/>
        <v>55.000000000000469</v>
      </c>
      <c r="D669" s="1" cm="1">
        <f t="array" ref="D669">_xlfn.XLOOKUP(_xlfn.FLOOR.MATH(C669),'Mortality Tables'!$B$4:$B$124,_xlfn.XLOOKUP(mortality_table,'Mortality Tables'!$B$3:$G$3,'Mortality Tables'!$B$4:$G$124,0,0),0,0)</f>
        <v>4.4689999999999999E-3</v>
      </c>
      <c r="E669" s="1">
        <f t="shared" si="73"/>
        <v>3.7241666666666662E-4</v>
      </c>
      <c r="F669" s="1">
        <f t="shared" si="77"/>
        <v>0.99962758333333335</v>
      </c>
      <c r="G669" s="1">
        <f t="shared" si="78"/>
        <v>0.94850554749824778</v>
      </c>
      <c r="H669" s="34">
        <f t="shared" si="74"/>
        <v>6.8326401896429842E-2</v>
      </c>
      <c r="I669" s="36">
        <f t="shared" si="75"/>
        <v>6.4807971239358497E-2</v>
      </c>
    </row>
    <row r="670" spans="2:9" x14ac:dyDescent="0.35">
      <c r="B670" s="16">
        <f t="shared" si="76"/>
        <v>55.083333333333805</v>
      </c>
      <c r="C670" s="17">
        <f t="shared" si="72"/>
        <v>55.083333333333805</v>
      </c>
      <c r="D670" s="1" cm="1">
        <f t="array" ref="D670">_xlfn.XLOOKUP(_xlfn.FLOOR.MATH(C670),'Mortality Tables'!$B$4:$B$124,_xlfn.XLOOKUP(mortality_table,'Mortality Tables'!$B$3:$G$3,'Mortality Tables'!$B$4:$G$124,0,0),0,0)</f>
        <v>4.4689999999999999E-3</v>
      </c>
      <c r="E670" s="1">
        <f t="shared" si="73"/>
        <v>3.7241666666666662E-4</v>
      </c>
      <c r="F670" s="1">
        <f t="shared" si="77"/>
        <v>0.99962758333333335</v>
      </c>
      <c r="G670" s="1">
        <f t="shared" si="78"/>
        <v>0.9481523082239337</v>
      </c>
      <c r="H670" s="34">
        <f t="shared" si="74"/>
        <v>6.804916119036683E-2</v>
      </c>
      <c r="I670" s="36">
        <f t="shared" si="75"/>
        <v>6.4520969255348837E-2</v>
      </c>
    </row>
    <row r="671" spans="2:9" x14ac:dyDescent="0.35">
      <c r="B671" s="16">
        <f t="shared" si="76"/>
        <v>55.16666666666714</v>
      </c>
      <c r="C671" s="17">
        <f t="shared" si="72"/>
        <v>55.16666666666714</v>
      </c>
      <c r="D671" s="1" cm="1">
        <f t="array" ref="D671">_xlfn.XLOOKUP(_xlfn.FLOOR.MATH(C671),'Mortality Tables'!$B$4:$B$124,_xlfn.XLOOKUP(mortality_table,'Mortality Tables'!$B$3:$G$3,'Mortality Tables'!$B$4:$G$124,0,0),0,0)</f>
        <v>4.4689999999999999E-3</v>
      </c>
      <c r="E671" s="1">
        <f t="shared" si="73"/>
        <v>3.7241666666666662E-4</v>
      </c>
      <c r="F671" s="1">
        <f t="shared" si="77"/>
        <v>0.99962758333333335</v>
      </c>
      <c r="G671" s="1">
        <f t="shared" si="78"/>
        <v>0.94779920050181266</v>
      </c>
      <c r="H671" s="34">
        <f t="shared" si="74"/>
        <v>6.7773045414154742E-2</v>
      </c>
      <c r="I671" s="36">
        <f t="shared" si="75"/>
        <v>6.4235238259108901E-2</v>
      </c>
    </row>
    <row r="672" spans="2:9" x14ac:dyDescent="0.35">
      <c r="B672" s="16">
        <f t="shared" si="76"/>
        <v>55.250000000000476</v>
      </c>
      <c r="C672" s="17">
        <f t="shared" si="72"/>
        <v>55.250000000000476</v>
      </c>
      <c r="D672" s="1" cm="1">
        <f t="array" ref="D672">_xlfn.XLOOKUP(_xlfn.FLOOR.MATH(C672),'Mortality Tables'!$B$4:$B$124,_xlfn.XLOOKUP(mortality_table,'Mortality Tables'!$B$3:$G$3,'Mortality Tables'!$B$4:$G$124,0,0),0,0)</f>
        <v>4.4689999999999999E-3</v>
      </c>
      <c r="E672" s="1">
        <f t="shared" si="73"/>
        <v>3.7241666666666662E-4</v>
      </c>
      <c r="F672" s="1">
        <f t="shared" si="77"/>
        <v>0.99962758333333335</v>
      </c>
      <c r="G672" s="1">
        <f t="shared" si="78"/>
        <v>0.94744622428289249</v>
      </c>
      <c r="H672" s="34">
        <f t="shared" si="74"/>
        <v>6.7498050003286486E-2</v>
      </c>
      <c r="I672" s="36">
        <f t="shared" si="75"/>
        <v>6.3950772622071661E-2</v>
      </c>
    </row>
    <row r="673" spans="2:9" x14ac:dyDescent="0.35">
      <c r="B673" s="16">
        <f t="shared" si="76"/>
        <v>55.333333333333812</v>
      </c>
      <c r="C673" s="17">
        <f t="shared" si="72"/>
        <v>55.333333333333812</v>
      </c>
      <c r="D673" s="1" cm="1">
        <f t="array" ref="D673">_xlfn.XLOOKUP(_xlfn.FLOOR.MATH(C673),'Mortality Tables'!$B$4:$B$124,_xlfn.XLOOKUP(mortality_table,'Mortality Tables'!$B$3:$G$3,'Mortality Tables'!$B$4:$G$124,0,0),0,0)</f>
        <v>4.4689999999999999E-3</v>
      </c>
      <c r="E673" s="1">
        <f t="shared" si="73"/>
        <v>3.7241666666666662E-4</v>
      </c>
      <c r="F673" s="1">
        <f t="shared" si="77"/>
        <v>0.99962758333333335</v>
      </c>
      <c r="G673" s="1">
        <f t="shared" si="78"/>
        <v>0.94709337951819916</v>
      </c>
      <c r="H673" s="34">
        <f t="shared" si="74"/>
        <v>6.7224170411775835E-2</v>
      </c>
      <c r="I673" s="36">
        <f t="shared" si="75"/>
        <v>6.3667566740596107E-2</v>
      </c>
    </row>
    <row r="674" spans="2:9" x14ac:dyDescent="0.35">
      <c r="B674" s="16">
        <f t="shared" si="76"/>
        <v>55.416666666667147</v>
      </c>
      <c r="C674" s="17">
        <f t="shared" si="72"/>
        <v>55.416666666667147</v>
      </c>
      <c r="D674" s="1" cm="1">
        <f t="array" ref="D674">_xlfn.XLOOKUP(_xlfn.FLOOR.MATH(C674),'Mortality Tables'!$B$4:$B$124,_xlfn.XLOOKUP(mortality_table,'Mortality Tables'!$B$3:$G$3,'Mortality Tables'!$B$4:$G$124,0,0),0,0)</f>
        <v>4.4689999999999999E-3</v>
      </c>
      <c r="E674" s="1">
        <f t="shared" si="73"/>
        <v>3.7241666666666662E-4</v>
      </c>
      <c r="F674" s="1">
        <f t="shared" si="77"/>
        <v>0.99962758333333335</v>
      </c>
      <c r="G674" s="1">
        <f t="shared" si="78"/>
        <v>0.94674066615877694</v>
      </c>
      <c r="H674" s="34">
        <f t="shared" si="74"/>
        <v>6.6951402112082378E-2</v>
      </c>
      <c r="I674" s="36">
        <f t="shared" si="75"/>
        <v>6.3385615035857018E-2</v>
      </c>
    </row>
    <row r="675" spans="2:9" x14ac:dyDescent="0.35">
      <c r="B675" s="16">
        <f t="shared" si="76"/>
        <v>55.500000000000483</v>
      </c>
      <c r="C675" s="17">
        <f t="shared" si="72"/>
        <v>55.500000000000483</v>
      </c>
      <c r="D675" s="1" cm="1">
        <f t="array" ref="D675">_xlfn.XLOOKUP(_xlfn.FLOOR.MATH(C675),'Mortality Tables'!$B$4:$B$124,_xlfn.XLOOKUP(mortality_table,'Mortality Tables'!$B$3:$G$3,'Mortality Tables'!$B$4:$G$124,0,0),0,0)</f>
        <v>4.4689999999999999E-3</v>
      </c>
      <c r="E675" s="1">
        <f t="shared" si="73"/>
        <v>3.7241666666666662E-4</v>
      </c>
      <c r="F675" s="1">
        <f t="shared" si="77"/>
        <v>0.99962758333333335</v>
      </c>
      <c r="G675" s="1">
        <f t="shared" si="78"/>
        <v>0.94638808415568831</v>
      </c>
      <c r="H675" s="34">
        <f t="shared" si="74"/>
        <v>6.6679740595036632E-2</v>
      </c>
      <c r="I675" s="36">
        <f t="shared" si="75"/>
        <v>6.3104911953734993E-2</v>
      </c>
    </row>
    <row r="676" spans="2:9" x14ac:dyDescent="0.35">
      <c r="B676" s="16">
        <f t="shared" si="76"/>
        <v>55.583333333333819</v>
      </c>
      <c r="C676" s="17">
        <f t="shared" si="72"/>
        <v>55.583333333333819</v>
      </c>
      <c r="D676" s="1" cm="1">
        <f t="array" ref="D676">_xlfn.XLOOKUP(_xlfn.FLOOR.MATH(C676),'Mortality Tables'!$B$4:$B$124,_xlfn.XLOOKUP(mortality_table,'Mortality Tables'!$B$3:$G$3,'Mortality Tables'!$B$4:$G$124,0,0),0,0)</f>
        <v>4.4689999999999999E-3</v>
      </c>
      <c r="E676" s="1">
        <f t="shared" si="73"/>
        <v>3.7241666666666662E-4</v>
      </c>
      <c r="F676" s="1">
        <f t="shared" si="77"/>
        <v>0.99962758333333335</v>
      </c>
      <c r="G676" s="1">
        <f t="shared" si="78"/>
        <v>0.94603563346001396</v>
      </c>
      <c r="H676" s="34">
        <f t="shared" si="74"/>
        <v>6.6409181369765452E-2</v>
      </c>
      <c r="I676" s="36">
        <f t="shared" si="75"/>
        <v>6.2825451964707013E-2</v>
      </c>
    </row>
    <row r="677" spans="2:9" x14ac:dyDescent="0.35">
      <c r="B677" s="16">
        <f t="shared" si="76"/>
        <v>55.666666666667155</v>
      </c>
      <c r="C677" s="17">
        <f t="shared" si="72"/>
        <v>55.666666666667155</v>
      </c>
      <c r="D677" s="1" cm="1">
        <f t="array" ref="D677">_xlfn.XLOOKUP(_xlfn.FLOOR.MATH(C677),'Mortality Tables'!$B$4:$B$124,_xlfn.XLOOKUP(mortality_table,'Mortality Tables'!$B$3:$G$3,'Mortality Tables'!$B$4:$G$124,0,0),0,0)</f>
        <v>4.4689999999999999E-3</v>
      </c>
      <c r="E677" s="1">
        <f t="shared" si="73"/>
        <v>3.7241666666666662E-4</v>
      </c>
      <c r="F677" s="1">
        <f t="shared" si="77"/>
        <v>0.99962758333333335</v>
      </c>
      <c r="G677" s="1">
        <f t="shared" si="78"/>
        <v>0.94568331402285288</v>
      </c>
      <c r="H677" s="34">
        <f t="shared" si="74"/>
        <v>6.6139719963617824E-2</v>
      </c>
      <c r="I677" s="36">
        <f t="shared" si="75"/>
        <v>6.2547229563737552E-2</v>
      </c>
    </row>
    <row r="678" spans="2:9" x14ac:dyDescent="0.35">
      <c r="B678" s="16">
        <f t="shared" si="76"/>
        <v>55.75000000000049</v>
      </c>
      <c r="C678" s="17">
        <f t="shared" si="72"/>
        <v>55.75000000000049</v>
      </c>
      <c r="D678" s="1" cm="1">
        <f t="array" ref="D678">_xlfn.XLOOKUP(_xlfn.FLOOR.MATH(C678),'Mortality Tables'!$B$4:$B$124,_xlfn.XLOOKUP(mortality_table,'Mortality Tables'!$B$3:$G$3,'Mortality Tables'!$B$4:$G$124,0,0),0,0)</f>
        <v>4.4689999999999999E-3</v>
      </c>
      <c r="E678" s="1">
        <f t="shared" si="73"/>
        <v>3.7241666666666662E-4</v>
      </c>
      <c r="F678" s="1">
        <f t="shared" si="77"/>
        <v>0.99962758333333335</v>
      </c>
      <c r="G678" s="1">
        <f t="shared" si="78"/>
        <v>0.94533112579532219</v>
      </c>
      <c r="H678" s="34">
        <f t="shared" si="74"/>
        <v>6.5871351922090954E-2</v>
      </c>
      <c r="I678" s="36">
        <f t="shared" si="75"/>
        <v>6.22702392701701E-2</v>
      </c>
    </row>
    <row r="679" spans="2:9" x14ac:dyDescent="0.35">
      <c r="B679" s="16">
        <f t="shared" si="76"/>
        <v>55.833333333333826</v>
      </c>
      <c r="C679" s="17">
        <f t="shared" si="72"/>
        <v>55.833333333333826</v>
      </c>
      <c r="D679" s="1" cm="1">
        <f t="array" ref="D679">_xlfn.XLOOKUP(_xlfn.FLOOR.MATH(C679),'Mortality Tables'!$B$4:$B$124,_xlfn.XLOOKUP(mortality_table,'Mortality Tables'!$B$3:$G$3,'Mortality Tables'!$B$4:$G$124,0,0),0,0)</f>
        <v>4.4689999999999999E-3</v>
      </c>
      <c r="E679" s="1">
        <f t="shared" si="73"/>
        <v>3.7241666666666662E-4</v>
      </c>
      <c r="F679" s="1">
        <f t="shared" si="77"/>
        <v>0.99962758333333335</v>
      </c>
      <c r="G679" s="1">
        <f t="shared" si="78"/>
        <v>0.9449790687285573</v>
      </c>
      <c r="H679" s="34">
        <f t="shared" si="74"/>
        <v>6.5604072808756603E-2</v>
      </c>
      <c r="I679" s="36">
        <f t="shared" si="75"/>
        <v>6.1994475627619283E-2</v>
      </c>
    </row>
    <row r="680" spans="2:9" x14ac:dyDescent="0.35">
      <c r="B680" s="16">
        <f t="shared" si="76"/>
        <v>55.916666666667162</v>
      </c>
      <c r="C680" s="17">
        <f t="shared" si="72"/>
        <v>55.916666666667162</v>
      </c>
      <c r="D680" s="1" cm="1">
        <f t="array" ref="D680">_xlfn.XLOOKUP(_xlfn.FLOOR.MATH(C680),'Mortality Tables'!$B$4:$B$124,_xlfn.XLOOKUP(mortality_table,'Mortality Tables'!$B$3:$G$3,'Mortality Tables'!$B$4:$G$124,0,0),0,0)</f>
        <v>4.4689999999999999E-3</v>
      </c>
      <c r="E680" s="1">
        <f t="shared" si="73"/>
        <v>3.7241666666666662E-4</v>
      </c>
      <c r="F680" s="1">
        <f t="shared" si="77"/>
        <v>0.99962758333333335</v>
      </c>
      <c r="G680" s="1">
        <f t="shared" si="78"/>
        <v>0.94462714277371163</v>
      </c>
      <c r="H680" s="34">
        <f t="shared" si="74"/>
        <v>6.5337878205187716E-2</v>
      </c>
      <c r="I680" s="36">
        <f t="shared" si="75"/>
        <v>6.1719933203863236E-2</v>
      </c>
    </row>
    <row r="681" spans="2:9" x14ac:dyDescent="0.35">
      <c r="B681" s="16">
        <f t="shared" si="76"/>
        <v>56.000000000000497</v>
      </c>
      <c r="C681" s="17">
        <f t="shared" si="72"/>
        <v>56.000000000000497</v>
      </c>
      <c r="D681" s="1" cm="1">
        <f t="array" ref="D681">_xlfn.XLOOKUP(_xlfn.FLOOR.MATH(C681),'Mortality Tables'!$B$4:$B$124,_xlfn.XLOOKUP(mortality_table,'Mortality Tables'!$B$3:$G$3,'Mortality Tables'!$B$4:$G$124,0,0),0,0)</f>
        <v>5.025E-3</v>
      </c>
      <c r="E681" s="1">
        <f t="shared" si="73"/>
        <v>4.1874999999999996E-4</v>
      </c>
      <c r="F681" s="1">
        <f t="shared" si="77"/>
        <v>0.99958124999999998</v>
      </c>
      <c r="G681" s="1">
        <f t="shared" si="78"/>
        <v>0.94427534788195699</v>
      </c>
      <c r="H681" s="34">
        <f t="shared" si="74"/>
        <v>6.5072763710885453E-2</v>
      </c>
      <c r="I681" s="36">
        <f t="shared" si="75"/>
        <v>6.1446606590736745E-2</v>
      </c>
    </row>
    <row r="682" spans="2:9" x14ac:dyDescent="0.35">
      <c r="B682" s="16">
        <f t="shared" si="76"/>
        <v>56.083333333333833</v>
      </c>
      <c r="C682" s="17">
        <f t="shared" si="72"/>
        <v>56.083333333333833</v>
      </c>
      <c r="D682" s="1" cm="1">
        <f t="array" ref="D682">_xlfn.XLOOKUP(_xlfn.FLOOR.MATH(C682),'Mortality Tables'!$B$4:$B$124,_xlfn.XLOOKUP(mortality_table,'Mortality Tables'!$B$3:$G$3,'Mortality Tables'!$B$4:$G$124,0,0),0,0)</f>
        <v>5.025E-3</v>
      </c>
      <c r="E682" s="1">
        <f t="shared" si="73"/>
        <v>4.1874999999999996E-4</v>
      </c>
      <c r="F682" s="1">
        <f t="shared" si="77"/>
        <v>0.99958124999999998</v>
      </c>
      <c r="G682" s="1">
        <f t="shared" si="78"/>
        <v>0.94387993258003144</v>
      </c>
      <c r="H682" s="34">
        <f t="shared" si="74"/>
        <v>6.4808724943206414E-2</v>
      </c>
      <c r="I682" s="36">
        <f t="shared" si="75"/>
        <v>6.1171654929991472E-2</v>
      </c>
    </row>
    <row r="683" spans="2:9" x14ac:dyDescent="0.35">
      <c r="B683" s="16">
        <f t="shared" si="76"/>
        <v>56.166666666667169</v>
      </c>
      <c r="C683" s="17">
        <f t="shared" si="72"/>
        <v>56.166666666667169</v>
      </c>
      <c r="D683" s="1" cm="1">
        <f t="array" ref="D683">_xlfn.XLOOKUP(_xlfn.FLOOR.MATH(C683),'Mortality Tables'!$B$4:$B$124,_xlfn.XLOOKUP(mortality_table,'Mortality Tables'!$B$3:$G$3,'Mortality Tables'!$B$4:$G$124,0,0),0,0)</f>
        <v>5.025E-3</v>
      </c>
      <c r="E683" s="1">
        <f t="shared" si="73"/>
        <v>4.1874999999999996E-4</v>
      </c>
      <c r="F683" s="1">
        <f t="shared" si="77"/>
        <v>0.99958124999999998</v>
      </c>
      <c r="G683" s="1">
        <f t="shared" si="78"/>
        <v>0.94348468285826348</v>
      </c>
      <c r="H683" s="34">
        <f t="shared" si="74"/>
        <v>6.4545757537290166E-2</v>
      </c>
      <c r="I683" s="36">
        <f t="shared" si="75"/>
        <v>6.0897933579916581E-2</v>
      </c>
    </row>
    <row r="684" spans="2:9" x14ac:dyDescent="0.35">
      <c r="B684" s="16">
        <f t="shared" si="76"/>
        <v>56.250000000000504</v>
      </c>
      <c r="C684" s="17">
        <f t="shared" si="72"/>
        <v>56.250000000000504</v>
      </c>
      <c r="D684" s="1" cm="1">
        <f t="array" ref="D684">_xlfn.XLOOKUP(_xlfn.FLOOR.MATH(C684),'Mortality Tables'!$B$4:$B$124,_xlfn.XLOOKUP(mortality_table,'Mortality Tables'!$B$3:$G$3,'Mortality Tables'!$B$4:$G$124,0,0),0,0)</f>
        <v>5.025E-3</v>
      </c>
      <c r="E684" s="1">
        <f t="shared" si="73"/>
        <v>4.1874999999999996E-4</v>
      </c>
      <c r="F684" s="1">
        <f t="shared" si="77"/>
        <v>0.99958124999999998</v>
      </c>
      <c r="G684" s="1">
        <f t="shared" si="78"/>
        <v>0.94308959864731656</v>
      </c>
      <c r="H684" s="34">
        <f t="shared" si="74"/>
        <v>6.4283857145987028E-2</v>
      </c>
      <c r="I684" s="36">
        <f t="shared" si="75"/>
        <v>6.0625437035310342E-2</v>
      </c>
    </row>
    <row r="685" spans="2:9" x14ac:dyDescent="0.35">
      <c r="B685" s="16">
        <f t="shared" si="76"/>
        <v>56.33333333333384</v>
      </c>
      <c r="C685" s="17">
        <f t="shared" si="72"/>
        <v>56.33333333333384</v>
      </c>
      <c r="D685" s="1" cm="1">
        <f t="array" ref="D685">_xlfn.XLOOKUP(_xlfn.FLOOR.MATH(C685),'Mortality Tables'!$B$4:$B$124,_xlfn.XLOOKUP(mortality_table,'Mortality Tables'!$B$3:$G$3,'Mortality Tables'!$B$4:$G$124,0,0),0,0)</f>
        <v>5.025E-3</v>
      </c>
      <c r="E685" s="1">
        <f t="shared" si="73"/>
        <v>4.1874999999999996E-4</v>
      </c>
      <c r="F685" s="1">
        <f t="shared" si="77"/>
        <v>0.99958124999999998</v>
      </c>
      <c r="G685" s="1">
        <f t="shared" si="78"/>
        <v>0.94269467987788302</v>
      </c>
      <c r="H685" s="34">
        <f t="shared" si="74"/>
        <v>6.4023019439786416E-2</v>
      </c>
      <c r="I685" s="36">
        <f t="shared" si="75"/>
        <v>6.0354159815604935E-2</v>
      </c>
    </row>
    <row r="686" spans="2:9" x14ac:dyDescent="0.35">
      <c r="B686" s="16">
        <f t="shared" si="76"/>
        <v>56.416666666667176</v>
      </c>
      <c r="C686" s="17">
        <f t="shared" si="72"/>
        <v>56.416666666667176</v>
      </c>
      <c r="D686" s="1" cm="1">
        <f t="array" ref="D686">_xlfn.XLOOKUP(_xlfn.FLOOR.MATH(C686),'Mortality Tables'!$B$4:$B$124,_xlfn.XLOOKUP(mortality_table,'Mortality Tables'!$B$3:$G$3,'Mortality Tables'!$B$4:$G$124,0,0),0,0)</f>
        <v>5.025E-3</v>
      </c>
      <c r="E686" s="1">
        <f t="shared" si="73"/>
        <v>4.1874999999999996E-4</v>
      </c>
      <c r="F686" s="1">
        <f t="shared" si="77"/>
        <v>0.99958124999999998</v>
      </c>
      <c r="G686" s="1">
        <f t="shared" si="78"/>
        <v>0.94229992648068417</v>
      </c>
      <c r="H686" s="34">
        <f t="shared" si="74"/>
        <v>6.3763240106745028E-2</v>
      </c>
      <c r="I686" s="36">
        <f t="shared" si="75"/>
        <v>6.008409646475605E-2</v>
      </c>
    </row>
    <row r="687" spans="2:9" x14ac:dyDescent="0.35">
      <c r="B687" s="16">
        <f t="shared" si="76"/>
        <v>56.500000000000512</v>
      </c>
      <c r="C687" s="17">
        <f t="shared" si="72"/>
        <v>56.500000000000512</v>
      </c>
      <c r="D687" s="1" cm="1">
        <f t="array" ref="D687">_xlfn.XLOOKUP(_xlfn.FLOOR.MATH(C687),'Mortality Tables'!$B$4:$B$124,_xlfn.XLOOKUP(mortality_table,'Mortality Tables'!$B$3:$G$3,'Mortality Tables'!$B$4:$G$124,0,0),0,0)</f>
        <v>5.025E-3</v>
      </c>
      <c r="E687" s="1">
        <f t="shared" si="73"/>
        <v>4.1874999999999996E-4</v>
      </c>
      <c r="F687" s="1">
        <f t="shared" si="77"/>
        <v>0.99958124999999998</v>
      </c>
      <c r="G687" s="1">
        <f t="shared" si="78"/>
        <v>0.94190533838647039</v>
      </c>
      <c r="H687" s="34">
        <f t="shared" si="74"/>
        <v>6.3504514852415747E-2</v>
      </c>
      <c r="I687" s="36">
        <f t="shared" si="75"/>
        <v>5.981524155113329E-2</v>
      </c>
    </row>
    <row r="688" spans="2:9" x14ac:dyDescent="0.35">
      <c r="B688" s="16">
        <f t="shared" si="76"/>
        <v>56.583333333333847</v>
      </c>
      <c r="C688" s="17">
        <f t="shared" si="72"/>
        <v>56.583333333333847</v>
      </c>
      <c r="D688" s="1" cm="1">
        <f t="array" ref="D688">_xlfn.XLOOKUP(_xlfn.FLOOR.MATH(C688),'Mortality Tables'!$B$4:$B$124,_xlfn.XLOOKUP(mortality_table,'Mortality Tables'!$B$3:$G$3,'Mortality Tables'!$B$4:$G$124,0,0),0,0)</f>
        <v>5.025E-3</v>
      </c>
      <c r="E688" s="1">
        <f t="shared" si="73"/>
        <v>4.1874999999999996E-4</v>
      </c>
      <c r="F688" s="1">
        <f t="shared" si="77"/>
        <v>0.99958124999999998</v>
      </c>
      <c r="G688" s="1">
        <f t="shared" si="78"/>
        <v>0.94151091552602106</v>
      </c>
      <c r="H688" s="34">
        <f t="shared" si="74"/>
        <v>6.324683939977653E-2</v>
      </c>
      <c r="I688" s="36">
        <f t="shared" si="75"/>
        <v>5.9547589667410819E-2</v>
      </c>
    </row>
    <row r="689" spans="2:9" x14ac:dyDescent="0.35">
      <c r="B689" s="16">
        <f t="shared" si="76"/>
        <v>56.666666666667183</v>
      </c>
      <c r="C689" s="17">
        <f t="shared" si="72"/>
        <v>56.666666666667183</v>
      </c>
      <c r="D689" s="1" cm="1">
        <f t="array" ref="D689">_xlfn.XLOOKUP(_xlfn.FLOOR.MATH(C689),'Mortality Tables'!$B$4:$B$124,_xlfn.XLOOKUP(mortality_table,'Mortality Tables'!$B$3:$G$3,'Mortality Tables'!$B$4:$G$124,0,0),0,0)</f>
        <v>5.025E-3</v>
      </c>
      <c r="E689" s="1">
        <f t="shared" si="73"/>
        <v>4.1874999999999996E-4</v>
      </c>
      <c r="F689" s="1">
        <f t="shared" si="77"/>
        <v>0.99958124999999998</v>
      </c>
      <c r="G689" s="1">
        <f t="shared" si="78"/>
        <v>0.94111665783014453</v>
      </c>
      <c r="H689" s="34">
        <f t="shared" si="74"/>
        <v>6.2990209489159732E-2</v>
      </c>
      <c r="I689" s="36">
        <f t="shared" si="75"/>
        <v>5.928113543045866E-2</v>
      </c>
    </row>
    <row r="690" spans="2:9" x14ac:dyDescent="0.35">
      <c r="B690" s="16">
        <f t="shared" si="76"/>
        <v>56.750000000000519</v>
      </c>
      <c r="C690" s="17">
        <f t="shared" si="72"/>
        <v>56.750000000000519</v>
      </c>
      <c r="D690" s="1" cm="1">
        <f t="array" ref="D690">_xlfn.XLOOKUP(_xlfn.FLOOR.MATH(C690),'Mortality Tables'!$B$4:$B$124,_xlfn.XLOOKUP(mortality_table,'Mortality Tables'!$B$3:$G$3,'Mortality Tables'!$B$4:$G$124,0,0),0,0)</f>
        <v>5.025E-3</v>
      </c>
      <c r="E690" s="1">
        <f t="shared" si="73"/>
        <v>4.1874999999999996E-4</v>
      </c>
      <c r="F690" s="1">
        <f t="shared" si="77"/>
        <v>0.99958124999999998</v>
      </c>
      <c r="G690" s="1">
        <f t="shared" si="78"/>
        <v>0.94072256522967812</v>
      </c>
      <c r="H690" s="34">
        <f t="shared" si="74"/>
        <v>6.2734620878181768E-2</v>
      </c>
      <c r="I690" s="36">
        <f t="shared" si="75"/>
        <v>5.9015873481234472E-2</v>
      </c>
    </row>
    <row r="691" spans="2:9" x14ac:dyDescent="0.35">
      <c r="B691" s="16">
        <f t="shared" si="76"/>
        <v>56.833333333333854</v>
      </c>
      <c r="C691" s="17">
        <f t="shared" si="72"/>
        <v>56.833333333333854</v>
      </c>
      <c r="D691" s="1" cm="1">
        <f t="array" ref="D691">_xlfn.XLOOKUP(_xlfn.FLOOR.MATH(C691),'Mortality Tables'!$B$4:$B$124,_xlfn.XLOOKUP(mortality_table,'Mortality Tables'!$B$3:$G$3,'Mortality Tables'!$B$4:$G$124,0,0),0,0)</f>
        <v>5.025E-3</v>
      </c>
      <c r="E691" s="1">
        <f t="shared" si="73"/>
        <v>4.1874999999999996E-4</v>
      </c>
      <c r="F691" s="1">
        <f t="shared" si="77"/>
        <v>0.99958124999999998</v>
      </c>
      <c r="G691" s="1">
        <f t="shared" si="78"/>
        <v>0.94032863765548813</v>
      </c>
      <c r="H691" s="34">
        <f t="shared" si="74"/>
        <v>6.2480069341672856E-2</v>
      </c>
      <c r="I691" s="36">
        <f t="shared" si="75"/>
        <v>5.8751798484675669E-2</v>
      </c>
    </row>
    <row r="692" spans="2:9" x14ac:dyDescent="0.35">
      <c r="B692" s="16">
        <f t="shared" si="76"/>
        <v>56.91666666666719</v>
      </c>
      <c r="C692" s="17">
        <f t="shared" si="72"/>
        <v>56.91666666666719</v>
      </c>
      <c r="D692" s="1" cm="1">
        <f t="array" ref="D692">_xlfn.XLOOKUP(_xlfn.FLOOR.MATH(C692),'Mortality Tables'!$B$4:$B$124,_xlfn.XLOOKUP(mortality_table,'Mortality Tables'!$B$3:$G$3,'Mortality Tables'!$B$4:$G$124,0,0),0,0)</f>
        <v>5.025E-3</v>
      </c>
      <c r="E692" s="1">
        <f t="shared" si="73"/>
        <v>4.1874999999999996E-4</v>
      </c>
      <c r="F692" s="1">
        <f t="shared" si="77"/>
        <v>0.99958124999999998</v>
      </c>
      <c r="G692" s="1">
        <f t="shared" si="78"/>
        <v>0.93993487503846984</v>
      </c>
      <c r="H692" s="34">
        <f t="shared" si="74"/>
        <v>6.2226550671607261E-2</v>
      </c>
      <c r="I692" s="36">
        <f t="shared" si="75"/>
        <v>5.8488905129592185E-2</v>
      </c>
    </row>
    <row r="693" spans="2:9" x14ac:dyDescent="0.35">
      <c r="B693" s="16">
        <f t="shared" si="76"/>
        <v>57.000000000000526</v>
      </c>
      <c r="C693" s="17">
        <f t="shared" si="72"/>
        <v>57.000000000000526</v>
      </c>
      <c r="D693" s="1" cm="1">
        <f t="array" ref="D693">_xlfn.XLOOKUP(_xlfn.FLOOR.MATH(C693),'Mortality Tables'!$B$4:$B$124,_xlfn.XLOOKUP(mortality_table,'Mortality Tables'!$B$3:$G$3,'Mortality Tables'!$B$4:$G$124,0,0),0,0)</f>
        <v>5.6499999999999996E-3</v>
      </c>
      <c r="E693" s="1">
        <f t="shared" si="73"/>
        <v>4.708333333333333E-4</v>
      </c>
      <c r="F693" s="1">
        <f t="shared" si="77"/>
        <v>0.99952916666666669</v>
      </c>
      <c r="G693" s="1">
        <f t="shared" si="78"/>
        <v>0.93954127730954751</v>
      </c>
      <c r="H693" s="34">
        <f t="shared" si="74"/>
        <v>6.1974060677033677E-2</v>
      </c>
      <c r="I693" s="36">
        <f t="shared" si="75"/>
        <v>5.822718812855962E-2</v>
      </c>
    </row>
    <row r="694" spans="2:9" x14ac:dyDescent="0.35">
      <c r="B694" s="16">
        <f t="shared" si="76"/>
        <v>57.083333333333862</v>
      </c>
      <c r="C694" s="17">
        <f t="shared" si="72"/>
        <v>57.083333333333862</v>
      </c>
      <c r="D694" s="1" cm="1">
        <f t="array" ref="D694">_xlfn.XLOOKUP(_xlfn.FLOOR.MATH(C694),'Mortality Tables'!$B$4:$B$124,_xlfn.XLOOKUP(mortality_table,'Mortality Tables'!$B$3:$G$3,'Mortality Tables'!$B$4:$G$124,0,0),0,0)</f>
        <v>5.6499999999999996E-3</v>
      </c>
      <c r="E694" s="1">
        <f t="shared" si="73"/>
        <v>4.708333333333333E-4</v>
      </c>
      <c r="F694" s="1">
        <f t="shared" si="77"/>
        <v>0.99952916666666669</v>
      </c>
      <c r="G694" s="1">
        <f t="shared" si="78"/>
        <v>0.9390989099581476</v>
      </c>
      <c r="H694" s="34">
        <f t="shared" si="74"/>
        <v>6.1722595184006038E-2</v>
      </c>
      <c r="I694" s="36">
        <f t="shared" si="75"/>
        <v>5.7963621857088081E-2</v>
      </c>
    </row>
    <row r="695" spans="2:9" x14ac:dyDescent="0.35">
      <c r="B695" s="16">
        <f t="shared" si="76"/>
        <v>57.166666666667197</v>
      </c>
      <c r="C695" s="17">
        <f t="shared" si="72"/>
        <v>57.166666666667197</v>
      </c>
      <c r="D695" s="1" cm="1">
        <f t="array" ref="D695">_xlfn.XLOOKUP(_xlfn.FLOOR.MATH(C695),'Mortality Tables'!$B$4:$B$124,_xlfn.XLOOKUP(mortality_table,'Mortality Tables'!$B$3:$G$3,'Mortality Tables'!$B$4:$G$124,0,0),0,0)</f>
        <v>5.6499999999999996E-3</v>
      </c>
      <c r="E695" s="1">
        <f t="shared" si="73"/>
        <v>4.708333333333333E-4</v>
      </c>
      <c r="F695" s="1">
        <f t="shared" si="77"/>
        <v>0.99952916666666669</v>
      </c>
      <c r="G695" s="1">
        <f t="shared" si="78"/>
        <v>0.93865675088804235</v>
      </c>
      <c r="H695" s="34">
        <f t="shared" si="74"/>
        <v>6.1472150035514352E-2</v>
      </c>
      <c r="I695" s="36">
        <f t="shared" si="75"/>
        <v>5.770124862243816E-2</v>
      </c>
    </row>
    <row r="696" spans="2:9" x14ac:dyDescent="0.35">
      <c r="B696" s="16">
        <f t="shared" si="76"/>
        <v>57.250000000000533</v>
      </c>
      <c r="C696" s="17">
        <f t="shared" si="72"/>
        <v>57.250000000000533</v>
      </c>
      <c r="D696" s="1" cm="1">
        <f t="array" ref="D696">_xlfn.XLOOKUP(_xlfn.FLOOR.MATH(C696),'Mortality Tables'!$B$4:$B$124,_xlfn.XLOOKUP(mortality_table,'Mortality Tables'!$B$3:$G$3,'Mortality Tables'!$B$4:$G$124,0,0),0,0)</f>
        <v>5.6499999999999996E-3</v>
      </c>
      <c r="E696" s="1">
        <f t="shared" si="73"/>
        <v>4.708333333333333E-4</v>
      </c>
      <c r="F696" s="1">
        <f t="shared" si="77"/>
        <v>0.99952916666666669</v>
      </c>
      <c r="G696" s="1">
        <f t="shared" si="78"/>
        <v>0.93821480000116586</v>
      </c>
      <c r="H696" s="34">
        <f t="shared" si="74"/>
        <v>6.1222721091416132E-2</v>
      </c>
      <c r="I696" s="36">
        <f t="shared" si="75"/>
        <v>5.7440063024310144E-2</v>
      </c>
    </row>
    <row r="697" spans="2:9" x14ac:dyDescent="0.35">
      <c r="B697" s="16">
        <f t="shared" si="76"/>
        <v>57.333333333333869</v>
      </c>
      <c r="C697" s="17">
        <f t="shared" si="72"/>
        <v>57.333333333333869</v>
      </c>
      <c r="D697" s="1" cm="1">
        <f t="array" ref="D697">_xlfn.XLOOKUP(_xlfn.FLOOR.MATH(C697),'Mortality Tables'!$B$4:$B$124,_xlfn.XLOOKUP(mortality_table,'Mortality Tables'!$B$3:$G$3,'Mortality Tables'!$B$4:$G$124,0,0),0,0)</f>
        <v>5.6499999999999996E-3</v>
      </c>
      <c r="E697" s="1">
        <f t="shared" si="73"/>
        <v>4.708333333333333E-4</v>
      </c>
      <c r="F697" s="1">
        <f t="shared" si="77"/>
        <v>0.99952916666666669</v>
      </c>
      <c r="G697" s="1">
        <f t="shared" si="78"/>
        <v>0.93777305719949866</v>
      </c>
      <c r="H697" s="34">
        <f t="shared" si="74"/>
        <v>6.0974304228367915E-2</v>
      </c>
      <c r="I697" s="36">
        <f t="shared" si="75"/>
        <v>5.7180059686848896E-2</v>
      </c>
    </row>
    <row r="698" spans="2:9" x14ac:dyDescent="0.35">
      <c r="B698" s="16">
        <f t="shared" si="76"/>
        <v>57.416666666667204</v>
      </c>
      <c r="C698" s="17">
        <f t="shared" si="72"/>
        <v>57.416666666667204</v>
      </c>
      <c r="D698" s="1" cm="1">
        <f t="array" ref="D698">_xlfn.XLOOKUP(_xlfn.FLOOR.MATH(C698),'Mortality Tables'!$B$4:$B$124,_xlfn.XLOOKUP(mortality_table,'Mortality Tables'!$B$3:$G$3,'Mortality Tables'!$B$4:$G$124,0,0),0,0)</f>
        <v>5.6499999999999996E-3</v>
      </c>
      <c r="E698" s="1">
        <f t="shared" si="73"/>
        <v>4.708333333333333E-4</v>
      </c>
      <c r="F698" s="1">
        <f t="shared" si="77"/>
        <v>0.99952916666666669</v>
      </c>
      <c r="G698" s="1">
        <f t="shared" si="78"/>
        <v>0.93733152238506723</v>
      </c>
      <c r="H698" s="34">
        <f t="shared" si="74"/>
        <v>6.0726895339757087E-2</v>
      </c>
      <c r="I698" s="36">
        <f t="shared" si="75"/>
        <v>5.6921233258533155E-2</v>
      </c>
    </row>
    <row r="699" spans="2:9" x14ac:dyDescent="0.35">
      <c r="B699" s="16">
        <f t="shared" si="76"/>
        <v>57.50000000000054</v>
      </c>
      <c r="C699" s="17">
        <f t="shared" si="72"/>
        <v>57.50000000000054</v>
      </c>
      <c r="D699" s="1" cm="1">
        <f t="array" ref="D699">_xlfn.XLOOKUP(_xlfn.FLOOR.MATH(C699),'Mortality Tables'!$B$4:$B$124,_xlfn.XLOOKUP(mortality_table,'Mortality Tables'!$B$3:$G$3,'Mortality Tables'!$B$4:$G$124,0,0),0,0)</f>
        <v>5.6499999999999996E-3</v>
      </c>
      <c r="E699" s="1">
        <f t="shared" si="73"/>
        <v>4.708333333333333E-4</v>
      </c>
      <c r="F699" s="1">
        <f t="shared" si="77"/>
        <v>0.99952916666666669</v>
      </c>
      <c r="G699" s="1">
        <f t="shared" si="78"/>
        <v>0.93689019545994423</v>
      </c>
      <c r="H699" s="34">
        <f t="shared" si="74"/>
        <v>6.0480490335633956E-2</v>
      </c>
      <c r="I699" s="36">
        <f t="shared" si="75"/>
        <v>5.6663578412065367E-2</v>
      </c>
    </row>
    <row r="700" spans="2:9" x14ac:dyDescent="0.35">
      <c r="B700" s="16">
        <f t="shared" si="76"/>
        <v>57.583333333333876</v>
      </c>
      <c r="C700" s="17">
        <f t="shared" si="72"/>
        <v>57.583333333333876</v>
      </c>
      <c r="D700" s="1" cm="1">
        <f t="array" ref="D700">_xlfn.XLOOKUP(_xlfn.FLOOR.MATH(C700),'Mortality Tables'!$B$4:$B$124,_xlfn.XLOOKUP(mortality_table,'Mortality Tables'!$B$3:$G$3,'Mortality Tables'!$B$4:$G$124,0,0),0,0)</f>
        <v>5.6499999999999996E-3</v>
      </c>
      <c r="E700" s="1">
        <f t="shared" si="73"/>
        <v>4.708333333333333E-4</v>
      </c>
      <c r="F700" s="1">
        <f t="shared" si="77"/>
        <v>0.99952916666666669</v>
      </c>
      <c r="G700" s="1">
        <f t="shared" si="78"/>
        <v>0.93644907632624852</v>
      </c>
      <c r="H700" s="34">
        <f t="shared" si="74"/>
        <v>6.0235085142644217E-2</v>
      </c>
      <c r="I700" s="36">
        <f t="shared" si="75"/>
        <v>5.6407089844262112E-2</v>
      </c>
    </row>
    <row r="701" spans="2:9" x14ac:dyDescent="0.35">
      <c r="B701" s="16">
        <f t="shared" si="76"/>
        <v>57.666666666667211</v>
      </c>
      <c r="C701" s="17">
        <f t="shared" si="72"/>
        <v>57.666666666667211</v>
      </c>
      <c r="D701" s="1" cm="1">
        <f t="array" ref="D701">_xlfn.XLOOKUP(_xlfn.FLOOR.MATH(C701),'Mortality Tables'!$B$4:$B$124,_xlfn.XLOOKUP(mortality_table,'Mortality Tables'!$B$3:$G$3,'Mortality Tables'!$B$4:$G$124,0,0),0,0)</f>
        <v>5.6499999999999996E-3</v>
      </c>
      <c r="E701" s="1">
        <f t="shared" si="73"/>
        <v>4.708333333333333E-4</v>
      </c>
      <c r="F701" s="1">
        <f t="shared" si="77"/>
        <v>0.99952916666666669</v>
      </c>
      <c r="G701" s="1">
        <f t="shared" si="78"/>
        <v>0.93600816488614491</v>
      </c>
      <c r="H701" s="34">
        <f t="shared" si="74"/>
        <v>5.999067570396157E-2</v>
      </c>
      <c r="I701" s="36">
        <f t="shared" si="75"/>
        <v>5.6151762275944907E-2</v>
      </c>
    </row>
    <row r="702" spans="2:9" x14ac:dyDescent="0.35">
      <c r="B702" s="16">
        <f t="shared" si="76"/>
        <v>57.750000000000547</v>
      </c>
      <c r="C702" s="17">
        <f t="shared" si="72"/>
        <v>57.750000000000547</v>
      </c>
      <c r="D702" s="1" cm="1">
        <f t="array" ref="D702">_xlfn.XLOOKUP(_xlfn.FLOOR.MATH(C702),'Mortality Tables'!$B$4:$B$124,_xlfn.XLOOKUP(mortality_table,'Mortality Tables'!$B$3:$G$3,'Mortality Tables'!$B$4:$G$124,0,0),0,0)</f>
        <v>5.6499999999999996E-3</v>
      </c>
      <c r="E702" s="1">
        <f t="shared" si="73"/>
        <v>4.708333333333333E-4</v>
      </c>
      <c r="F702" s="1">
        <f t="shared" si="77"/>
        <v>0.99952916666666669</v>
      </c>
      <c r="G702" s="1">
        <f t="shared" si="78"/>
        <v>0.93556746104184441</v>
      </c>
      <c r="H702" s="34">
        <f t="shared" si="74"/>
        <v>5.9747257979220654E-2</v>
      </c>
      <c r="I702" s="36">
        <f t="shared" si="75"/>
        <v>5.5897590451831548E-2</v>
      </c>
    </row>
    <row r="703" spans="2:9" x14ac:dyDescent="0.35">
      <c r="B703" s="16">
        <f t="shared" si="76"/>
        <v>57.833333333333883</v>
      </c>
      <c r="C703" s="17">
        <f t="shared" si="72"/>
        <v>57.833333333333883</v>
      </c>
      <c r="D703" s="1" cm="1">
        <f t="array" ref="D703">_xlfn.XLOOKUP(_xlfn.FLOOR.MATH(C703),'Mortality Tables'!$B$4:$B$124,_xlfn.XLOOKUP(mortality_table,'Mortality Tables'!$B$3:$G$3,'Mortality Tables'!$B$4:$G$124,0,0),0,0)</f>
        <v>5.6499999999999996E-3</v>
      </c>
      <c r="E703" s="1">
        <f t="shared" si="73"/>
        <v>4.708333333333333E-4</v>
      </c>
      <c r="F703" s="1">
        <f t="shared" si="77"/>
        <v>0.99952916666666669</v>
      </c>
      <c r="G703" s="1">
        <f t="shared" si="78"/>
        <v>0.93512696469560386</v>
      </c>
      <c r="H703" s="34">
        <f t="shared" si="74"/>
        <v>5.950482794445025E-2</v>
      </c>
      <c r="I703" s="36">
        <f t="shared" si="75"/>
        <v>5.564456914042791E-2</v>
      </c>
    </row>
    <row r="704" spans="2:9" x14ac:dyDescent="0.35">
      <c r="B704" s="16">
        <f t="shared" si="76"/>
        <v>57.916666666667219</v>
      </c>
      <c r="C704" s="17">
        <f t="shared" si="72"/>
        <v>57.916666666667219</v>
      </c>
      <c r="D704" s="1" cm="1">
        <f t="array" ref="D704">_xlfn.XLOOKUP(_xlfn.FLOOR.MATH(C704),'Mortality Tables'!$B$4:$B$124,_xlfn.XLOOKUP(mortality_table,'Mortality Tables'!$B$3:$G$3,'Mortality Tables'!$B$4:$G$124,0,0),0,0)</f>
        <v>5.6499999999999996E-3</v>
      </c>
      <c r="E704" s="1">
        <f t="shared" si="73"/>
        <v>4.708333333333333E-4</v>
      </c>
      <c r="F704" s="1">
        <f t="shared" si="77"/>
        <v>0.99952916666666669</v>
      </c>
      <c r="G704" s="1">
        <f t="shared" si="78"/>
        <v>0.93468667574972641</v>
      </c>
      <c r="H704" s="34">
        <f t="shared" si="74"/>
        <v>5.926338159200685E-2</v>
      </c>
      <c r="I704" s="36">
        <f t="shared" si="75"/>
        <v>5.5392693133920409E-2</v>
      </c>
    </row>
    <row r="705" spans="2:9" x14ac:dyDescent="0.35">
      <c r="B705" s="16">
        <f t="shared" si="76"/>
        <v>58.000000000000554</v>
      </c>
      <c r="C705" s="17">
        <f t="shared" si="72"/>
        <v>58.000000000000554</v>
      </c>
      <c r="D705" s="1" cm="1">
        <f t="array" ref="D705">_xlfn.XLOOKUP(_xlfn.FLOOR.MATH(C705),'Mortality Tables'!$B$4:$B$124,_xlfn.XLOOKUP(mortality_table,'Mortality Tables'!$B$3:$G$3,'Mortality Tables'!$B$4:$G$124,0,0),0,0)</f>
        <v>6.352E-3</v>
      </c>
      <c r="E705" s="1">
        <f t="shared" si="73"/>
        <v>5.2933333333333326E-4</v>
      </c>
      <c r="F705" s="1">
        <f t="shared" si="77"/>
        <v>0.99947066666666662</v>
      </c>
      <c r="G705" s="1">
        <f t="shared" si="78"/>
        <v>0.93424659410656097</v>
      </c>
      <c r="H705" s="34">
        <f t="shared" si="74"/>
        <v>5.9022914930508201E-2</v>
      </c>
      <c r="I705" s="36">
        <f t="shared" si="75"/>
        <v>5.5141957248068571E-2</v>
      </c>
    </row>
    <row r="706" spans="2:9" x14ac:dyDescent="0.35">
      <c r="B706" s="16">
        <f t="shared" si="76"/>
        <v>58.08333333333389</v>
      </c>
      <c r="C706" s="17">
        <f t="shared" si="72"/>
        <v>58.08333333333389</v>
      </c>
      <c r="D706" s="1" cm="1">
        <f t="array" ref="D706">_xlfn.XLOOKUP(_xlfn.FLOOR.MATH(C706),'Mortality Tables'!$B$4:$B$124,_xlfn.XLOOKUP(mortality_table,'Mortality Tables'!$B$3:$G$3,'Mortality Tables'!$B$4:$G$124,0,0),0,0)</f>
        <v>6.352E-3</v>
      </c>
      <c r="E706" s="1">
        <f t="shared" si="73"/>
        <v>5.2933333333333326E-4</v>
      </c>
      <c r="F706" s="1">
        <f t="shared" si="77"/>
        <v>0.99947066666666662</v>
      </c>
      <c r="G706" s="1">
        <f t="shared" si="78"/>
        <v>0.9337520662427472</v>
      </c>
      <c r="H706" s="34">
        <f t="shared" si="74"/>
        <v>5.8783423984767574E-2</v>
      </c>
      <c r="I706" s="36">
        <f t="shared" si="75"/>
        <v>5.4889143606600188E-2</v>
      </c>
    </row>
    <row r="707" spans="2:9" x14ac:dyDescent="0.35">
      <c r="B707" s="16">
        <f t="shared" si="76"/>
        <v>58.166666666667226</v>
      </c>
      <c r="C707" s="17">
        <f t="shared" si="72"/>
        <v>58.166666666667226</v>
      </c>
      <c r="D707" s="1" cm="1">
        <f t="array" ref="D707">_xlfn.XLOOKUP(_xlfn.FLOOR.MATH(C707),'Mortality Tables'!$B$4:$B$124,_xlfn.XLOOKUP(mortality_table,'Mortality Tables'!$B$3:$G$3,'Mortality Tables'!$B$4:$G$124,0,0),0,0)</f>
        <v>6.352E-3</v>
      </c>
      <c r="E707" s="1">
        <f t="shared" si="73"/>
        <v>5.2933333333333326E-4</v>
      </c>
      <c r="F707" s="1">
        <f t="shared" si="77"/>
        <v>0.99947066666666662</v>
      </c>
      <c r="G707" s="1">
        <f t="shared" si="78"/>
        <v>0.93325780014901605</v>
      </c>
      <c r="H707" s="34">
        <f t="shared" si="74"/>
        <v>5.854490479572786E-2</v>
      </c>
      <c r="I707" s="36">
        <f t="shared" si="75"/>
        <v>5.4637489059594563E-2</v>
      </c>
    </row>
    <row r="708" spans="2:9" x14ac:dyDescent="0.35">
      <c r="B708" s="16">
        <f t="shared" si="76"/>
        <v>58.250000000000561</v>
      </c>
      <c r="C708" s="17">
        <f t="shared" si="72"/>
        <v>58.250000000000561</v>
      </c>
      <c r="D708" s="1" cm="1">
        <f t="array" ref="D708">_xlfn.XLOOKUP(_xlfn.FLOOR.MATH(C708),'Mortality Tables'!$B$4:$B$124,_xlfn.XLOOKUP(mortality_table,'Mortality Tables'!$B$3:$G$3,'Mortality Tables'!$B$4:$G$124,0,0),0,0)</f>
        <v>6.352E-3</v>
      </c>
      <c r="E708" s="1">
        <f t="shared" si="73"/>
        <v>5.2933333333333326E-4</v>
      </c>
      <c r="F708" s="1">
        <f t="shared" si="77"/>
        <v>0.99947066666666662</v>
      </c>
      <c r="G708" s="1">
        <f t="shared" si="78"/>
        <v>0.93276379568680379</v>
      </c>
      <c r="H708" s="34">
        <f t="shared" si="74"/>
        <v>5.8307353420396224E-2</v>
      </c>
      <c r="I708" s="36">
        <f t="shared" si="75"/>
        <v>5.4386988292860726E-2</v>
      </c>
    </row>
    <row r="709" spans="2:9" x14ac:dyDescent="0.35">
      <c r="B709" s="16">
        <f t="shared" si="76"/>
        <v>58.333333333333897</v>
      </c>
      <c r="C709" s="17">
        <f t="shared" si="72"/>
        <v>58.333333333333897</v>
      </c>
      <c r="D709" s="1" cm="1">
        <f t="array" ref="D709">_xlfn.XLOOKUP(_xlfn.FLOOR.MATH(C709),'Mortality Tables'!$B$4:$B$124,_xlfn.XLOOKUP(mortality_table,'Mortality Tables'!$B$3:$G$3,'Mortality Tables'!$B$4:$G$124,0,0),0,0)</f>
        <v>6.352E-3</v>
      </c>
      <c r="E709" s="1">
        <f t="shared" si="73"/>
        <v>5.2933333333333326E-4</v>
      </c>
      <c r="F709" s="1">
        <f t="shared" si="77"/>
        <v>0.99947066666666662</v>
      </c>
      <c r="G709" s="1">
        <f t="shared" si="78"/>
        <v>0.9322700527176202</v>
      </c>
      <c r="H709" s="34">
        <f t="shared" si="74"/>
        <v>5.8070765931778887E-2</v>
      </c>
      <c r="I709" s="36">
        <f t="shared" si="75"/>
        <v>5.4137636016572087E-2</v>
      </c>
    </row>
    <row r="710" spans="2:9" x14ac:dyDescent="0.35">
      <c r="B710" s="16">
        <f t="shared" si="76"/>
        <v>58.416666666667233</v>
      </c>
      <c r="C710" s="17">
        <f t="shared" si="72"/>
        <v>58.416666666667233</v>
      </c>
      <c r="D710" s="1" cm="1">
        <f t="array" ref="D710">_xlfn.XLOOKUP(_xlfn.FLOOR.MATH(C710),'Mortality Tables'!$B$4:$B$124,_xlfn.XLOOKUP(mortality_table,'Mortality Tables'!$B$3:$G$3,'Mortality Tables'!$B$4:$G$124,0,0),0,0)</f>
        <v>6.352E-3</v>
      </c>
      <c r="E710" s="1">
        <f t="shared" si="73"/>
        <v>5.2933333333333326E-4</v>
      </c>
      <c r="F710" s="1">
        <f t="shared" si="77"/>
        <v>0.99947066666666662</v>
      </c>
      <c r="G710" s="1">
        <f t="shared" si="78"/>
        <v>0.93177657110304835</v>
      </c>
      <c r="H710" s="34">
        <f t="shared" si="74"/>
        <v>5.7835138418816184E-2</v>
      </c>
      <c r="I710" s="36">
        <f t="shared" si="75"/>
        <v>5.3889426965154724E-2</v>
      </c>
    </row>
    <row r="711" spans="2:9" x14ac:dyDescent="0.35">
      <c r="B711" s="16">
        <f t="shared" si="76"/>
        <v>58.500000000000568</v>
      </c>
      <c r="C711" s="17">
        <f t="shared" si="72"/>
        <v>58.500000000000568</v>
      </c>
      <c r="D711" s="1" cm="1">
        <f t="array" ref="D711">_xlfn.XLOOKUP(_xlfn.FLOOR.MATH(C711),'Mortality Tables'!$B$4:$B$124,_xlfn.XLOOKUP(mortality_table,'Mortality Tables'!$B$3:$G$3,'Mortality Tables'!$B$4:$G$124,0,0),0,0)</f>
        <v>6.352E-3</v>
      </c>
      <c r="E711" s="1">
        <f t="shared" si="73"/>
        <v>5.2933333333333326E-4</v>
      </c>
      <c r="F711" s="1">
        <f t="shared" si="77"/>
        <v>0.99947066666666662</v>
      </c>
      <c r="G711" s="1">
        <f t="shared" si="78"/>
        <v>0.93128335070474444</v>
      </c>
      <c r="H711" s="34">
        <f t="shared" si="74"/>
        <v>5.7600466986317968E-2</v>
      </c>
      <c r="I711" s="36">
        <f t="shared" si="75"/>
        <v>5.3642355897176211E-2</v>
      </c>
    </row>
    <row r="712" spans="2:9" x14ac:dyDescent="0.35">
      <c r="B712" s="16">
        <f t="shared" si="76"/>
        <v>58.583333333333904</v>
      </c>
      <c r="C712" s="17">
        <f t="shared" si="72"/>
        <v>58.583333333333904</v>
      </c>
      <c r="D712" s="1" cm="1">
        <f t="array" ref="D712">_xlfn.XLOOKUP(_xlfn.FLOOR.MATH(C712),'Mortality Tables'!$B$4:$B$124,_xlfn.XLOOKUP(mortality_table,'Mortality Tables'!$B$3:$G$3,'Mortality Tables'!$B$4:$G$124,0,0),0,0)</f>
        <v>6.352E-3</v>
      </c>
      <c r="E712" s="1">
        <f t="shared" si="73"/>
        <v>5.2933333333333326E-4</v>
      </c>
      <c r="F712" s="1">
        <f t="shared" si="77"/>
        <v>0.99947066666666662</v>
      </c>
      <c r="G712" s="1">
        <f t="shared" si="78"/>
        <v>0.93079039138443798</v>
      </c>
      <c r="H712" s="34">
        <f t="shared" si="74"/>
        <v>5.7366747754899174E-2</v>
      </c>
      <c r="I712" s="36">
        <f t="shared" si="75"/>
        <v>5.3396417595234932E-2</v>
      </c>
    </row>
    <row r="713" spans="2:9" x14ac:dyDescent="0.35">
      <c r="B713" s="16">
        <f t="shared" si="76"/>
        <v>58.66666666666724</v>
      </c>
      <c r="C713" s="17">
        <f t="shared" ref="C713:C776" si="79">current_age+B713</f>
        <v>58.66666666666724</v>
      </c>
      <c r="D713" s="1" cm="1">
        <f t="array" ref="D713">_xlfn.XLOOKUP(_xlfn.FLOOR.MATH(C713),'Mortality Tables'!$B$4:$B$124,_xlfn.XLOOKUP(mortality_table,'Mortality Tables'!$B$3:$G$3,'Mortality Tables'!$B$4:$G$124,0,0),0,0)</f>
        <v>6.352E-3</v>
      </c>
      <c r="E713" s="1">
        <f t="shared" ref="E713:E776" si="80">$F$5*D713</f>
        <v>5.2933333333333326E-4</v>
      </c>
      <c r="F713" s="1">
        <f t="shared" si="77"/>
        <v>0.99947066666666662</v>
      </c>
      <c r="G713" s="1">
        <f t="shared" si="78"/>
        <v>0.93029769300393172</v>
      </c>
      <c r="H713" s="34">
        <f t="shared" ref="H713:H776" si="81">(1+interest_rate)^-(B713)</f>
        <v>5.7133976860915696E-2</v>
      </c>
      <c r="I713" s="36">
        <f t="shared" ref="I713:I776" si="82">IF(current_age+B713&lt;=$C$5,G713*H713,0)</f>
        <v>5.3151606865849889E-2</v>
      </c>
    </row>
    <row r="714" spans="2:9" x14ac:dyDescent="0.35">
      <c r="B714" s="16">
        <f t="shared" ref="B714:B777" si="83">B713+$F$5</f>
        <v>58.750000000000576</v>
      </c>
      <c r="C714" s="17">
        <f t="shared" si="79"/>
        <v>58.750000000000576</v>
      </c>
      <c r="D714" s="1" cm="1">
        <f t="array" ref="D714">_xlfn.XLOOKUP(_xlfn.FLOOR.MATH(C714),'Mortality Tables'!$B$4:$B$124,_xlfn.XLOOKUP(mortality_table,'Mortality Tables'!$B$3:$G$3,'Mortality Tables'!$B$4:$G$124,0,0),0,0)</f>
        <v>6.352E-3</v>
      </c>
      <c r="E714" s="1">
        <f t="shared" si="80"/>
        <v>5.2933333333333326E-4</v>
      </c>
      <c r="F714" s="1">
        <f t="shared" si="77"/>
        <v>0.99947066666666662</v>
      </c>
      <c r="G714" s="1">
        <f t="shared" si="78"/>
        <v>0.92980525542510162</v>
      </c>
      <c r="H714" s="34">
        <f t="shared" si="81"/>
        <v>5.6902150456400534E-2</v>
      </c>
      <c r="I714" s="36">
        <f t="shared" si="82"/>
        <v>5.2907918539351062E-2</v>
      </c>
    </row>
    <row r="715" spans="2:9" x14ac:dyDescent="0.35">
      <c r="B715" s="16">
        <f t="shared" si="83"/>
        <v>58.833333333333911</v>
      </c>
      <c r="C715" s="17">
        <f t="shared" si="79"/>
        <v>58.833333333333911</v>
      </c>
      <c r="D715" s="1" cm="1">
        <f t="array" ref="D715">_xlfn.XLOOKUP(_xlfn.FLOOR.MATH(C715),'Mortality Tables'!$B$4:$B$124,_xlfn.XLOOKUP(mortality_table,'Mortality Tables'!$B$3:$G$3,'Mortality Tables'!$B$4:$G$124,0,0),0,0)</f>
        <v>6.352E-3</v>
      </c>
      <c r="E715" s="1">
        <f t="shared" si="80"/>
        <v>5.2933333333333326E-4</v>
      </c>
      <c r="F715" s="1">
        <f t="shared" si="77"/>
        <v>0.99947066666666662</v>
      </c>
      <c r="G715" s="1">
        <f t="shared" si="78"/>
        <v>0.92931307850989653</v>
      </c>
      <c r="H715" s="34">
        <f t="shared" si="81"/>
        <v>5.6671264709000184E-2</v>
      </c>
      <c r="I715" s="36">
        <f t="shared" si="82"/>
        <v>5.2665347469770217E-2</v>
      </c>
    </row>
    <row r="716" spans="2:9" x14ac:dyDescent="0.35">
      <c r="B716" s="16">
        <f t="shared" si="83"/>
        <v>58.916666666667247</v>
      </c>
      <c r="C716" s="17">
        <f t="shared" si="79"/>
        <v>58.916666666667247</v>
      </c>
      <c r="D716" s="1" cm="1">
        <f t="array" ref="D716">_xlfn.XLOOKUP(_xlfn.FLOOR.MATH(C716),'Mortality Tables'!$B$4:$B$124,_xlfn.XLOOKUP(mortality_table,'Mortality Tables'!$B$3:$G$3,'Mortality Tables'!$B$4:$G$124,0,0),0,0)</f>
        <v>6.352E-3</v>
      </c>
      <c r="E716" s="1">
        <f t="shared" si="80"/>
        <v>5.2933333333333326E-4</v>
      </c>
      <c r="F716" s="1">
        <f t="shared" si="77"/>
        <v>0.99947066666666662</v>
      </c>
      <c r="G716" s="1">
        <f t="shared" si="78"/>
        <v>0.92882116212033861</v>
      </c>
      <c r="H716" s="34">
        <f t="shared" si="81"/>
        <v>5.6441315801911203E-2</v>
      </c>
      <c r="I716" s="36">
        <f t="shared" si="82"/>
        <v>5.2423888534732198E-2</v>
      </c>
    </row>
    <row r="717" spans="2:9" x14ac:dyDescent="0.35">
      <c r="B717" s="16">
        <f t="shared" si="83"/>
        <v>59.000000000000583</v>
      </c>
      <c r="C717" s="17">
        <f t="shared" si="79"/>
        <v>59.000000000000583</v>
      </c>
      <c r="D717" s="1" cm="1">
        <f t="array" ref="D717">_xlfn.XLOOKUP(_xlfn.FLOOR.MATH(C717),'Mortality Tables'!$B$4:$B$124,_xlfn.XLOOKUP(mortality_table,'Mortality Tables'!$B$3:$G$3,'Mortality Tables'!$B$4:$G$124,0,0),0,0)</f>
        <v>7.1399999999999996E-3</v>
      </c>
      <c r="E717" s="1">
        <f t="shared" si="80"/>
        <v>5.9499999999999993E-4</v>
      </c>
      <c r="F717" s="1">
        <f t="shared" si="77"/>
        <v>0.99940499999999999</v>
      </c>
      <c r="G717" s="1">
        <f t="shared" si="78"/>
        <v>0.92832950611852283</v>
      </c>
      <c r="H717" s="34">
        <f t="shared" si="81"/>
        <v>5.6212299933817253E-2</v>
      </c>
      <c r="I717" s="36">
        <f t="shared" si="82"/>
        <v>5.2183536635346847E-2</v>
      </c>
    </row>
    <row r="718" spans="2:9" x14ac:dyDescent="0.35">
      <c r="B718" s="16">
        <f t="shared" si="83"/>
        <v>59.083333333333918</v>
      </c>
      <c r="C718" s="17">
        <f t="shared" si="79"/>
        <v>59.083333333333918</v>
      </c>
      <c r="D718" s="1" cm="1">
        <f t="array" ref="D718">_xlfn.XLOOKUP(_xlfn.FLOOR.MATH(C718),'Mortality Tables'!$B$4:$B$124,_xlfn.XLOOKUP(mortality_table,'Mortality Tables'!$B$3:$G$3,'Mortality Tables'!$B$4:$G$124,0,0),0,0)</f>
        <v>7.1399999999999996E-3</v>
      </c>
      <c r="E718" s="1">
        <f t="shared" si="80"/>
        <v>5.9499999999999993E-4</v>
      </c>
      <c r="F718" s="1">
        <f t="shared" si="77"/>
        <v>0.99940499999999999</v>
      </c>
      <c r="G718" s="1">
        <f t="shared" si="78"/>
        <v>0.92777715006238226</v>
      </c>
      <c r="H718" s="34">
        <f t="shared" si="81"/>
        <v>5.5984213318826179E-2</v>
      </c>
      <c r="I718" s="36">
        <f t="shared" si="82"/>
        <v>5.1940873881425015E-2</v>
      </c>
    </row>
    <row r="719" spans="2:9" x14ac:dyDescent="0.35">
      <c r="B719" s="16">
        <f t="shared" si="83"/>
        <v>59.166666666667254</v>
      </c>
      <c r="C719" s="17">
        <f t="shared" si="79"/>
        <v>59.166666666667254</v>
      </c>
      <c r="D719" s="1" cm="1">
        <f t="array" ref="D719">_xlfn.XLOOKUP(_xlfn.FLOOR.MATH(C719),'Mortality Tables'!$B$4:$B$124,_xlfn.XLOOKUP(mortality_table,'Mortality Tables'!$B$3:$G$3,'Mortality Tables'!$B$4:$G$124,0,0),0,0)</f>
        <v>7.1399999999999996E-3</v>
      </c>
      <c r="E719" s="1">
        <f t="shared" si="80"/>
        <v>5.9499999999999993E-4</v>
      </c>
      <c r="F719" s="1">
        <f t="shared" si="77"/>
        <v>0.99940499999999999</v>
      </c>
      <c r="G719" s="1">
        <f t="shared" si="78"/>
        <v>0.92722512265809509</v>
      </c>
      <c r="H719" s="34">
        <f t="shared" si="81"/>
        <v>5.5757052186407405E-2</v>
      </c>
      <c r="I719" s="36">
        <f t="shared" si="82"/>
        <v>5.1699339552595418E-2</v>
      </c>
    </row>
    <row r="720" spans="2:9" x14ac:dyDescent="0.35">
      <c r="B720" s="16">
        <f t="shared" si="83"/>
        <v>59.25000000000059</v>
      </c>
      <c r="C720" s="17">
        <f t="shared" si="79"/>
        <v>59.25000000000059</v>
      </c>
      <c r="D720" s="1" cm="1">
        <f t="array" ref="D720">_xlfn.XLOOKUP(_xlfn.FLOOR.MATH(C720),'Mortality Tables'!$B$4:$B$124,_xlfn.XLOOKUP(mortality_table,'Mortality Tables'!$B$3:$G$3,'Mortality Tables'!$B$4:$G$124,0,0),0,0)</f>
        <v>7.1399999999999996E-3</v>
      </c>
      <c r="E720" s="1">
        <f t="shared" si="80"/>
        <v>5.9499999999999993E-4</v>
      </c>
      <c r="F720" s="1">
        <f t="shared" si="77"/>
        <v>0.99940499999999999</v>
      </c>
      <c r="G720" s="1">
        <f t="shared" si="78"/>
        <v>0.92667342371011352</v>
      </c>
      <c r="H720" s="34">
        <f t="shared" si="81"/>
        <v>5.5530812781329653E-2</v>
      </c>
      <c r="I720" s="36">
        <f t="shared" si="82"/>
        <v>5.1458928401480079E-2</v>
      </c>
    </row>
    <row r="721" spans="2:9" x14ac:dyDescent="0.35">
      <c r="B721" s="16">
        <f t="shared" si="83"/>
        <v>59.333333333333925</v>
      </c>
      <c r="C721" s="17">
        <f t="shared" si="79"/>
        <v>59.333333333333925</v>
      </c>
      <c r="D721" s="1" cm="1">
        <f t="array" ref="D721">_xlfn.XLOOKUP(_xlfn.FLOOR.MATH(C721),'Mortality Tables'!$B$4:$B$124,_xlfn.XLOOKUP(mortality_table,'Mortality Tables'!$B$3:$G$3,'Mortality Tables'!$B$4:$G$124,0,0),0,0)</f>
        <v>7.1399999999999996E-3</v>
      </c>
      <c r="E721" s="1">
        <f t="shared" si="80"/>
        <v>5.9499999999999993E-4</v>
      </c>
      <c r="F721" s="1">
        <f t="shared" si="77"/>
        <v>0.99940499999999999</v>
      </c>
      <c r="G721" s="1">
        <f t="shared" si="78"/>
        <v>0.92612205302300599</v>
      </c>
      <c r="H721" s="34">
        <f t="shared" si="81"/>
        <v>5.5305491363598858E-2</v>
      </c>
      <c r="I721" s="36">
        <f t="shared" si="82"/>
        <v>5.1219635205102303E-2</v>
      </c>
    </row>
    <row r="722" spans="2:9" x14ac:dyDescent="0.35">
      <c r="B722" s="16">
        <f t="shared" si="83"/>
        <v>59.416666666667261</v>
      </c>
      <c r="C722" s="17">
        <f t="shared" si="79"/>
        <v>59.416666666667261</v>
      </c>
      <c r="D722" s="1" cm="1">
        <f t="array" ref="D722">_xlfn.XLOOKUP(_xlfn.FLOOR.MATH(C722),'Mortality Tables'!$B$4:$B$124,_xlfn.XLOOKUP(mortality_table,'Mortality Tables'!$B$3:$G$3,'Mortality Tables'!$B$4:$G$124,0,0),0,0)</f>
        <v>7.1399999999999996E-3</v>
      </c>
      <c r="E722" s="1">
        <f t="shared" si="80"/>
        <v>5.9499999999999993E-4</v>
      </c>
      <c r="F722" s="1">
        <f t="shared" si="77"/>
        <v>0.99940499999999999</v>
      </c>
      <c r="G722" s="1">
        <f t="shared" si="78"/>
        <v>0.92557101040145728</v>
      </c>
      <c r="H722" s="34">
        <f t="shared" si="81"/>
        <v>5.5081084208396282E-2</v>
      </c>
      <c r="I722" s="36">
        <f t="shared" si="82"/>
        <v>5.0981454764773101E-2</v>
      </c>
    </row>
    <row r="723" spans="2:9" x14ac:dyDescent="0.35">
      <c r="B723" s="16">
        <f t="shared" si="83"/>
        <v>59.500000000000597</v>
      </c>
      <c r="C723" s="17">
        <f t="shared" si="79"/>
        <v>59.500000000000597</v>
      </c>
      <c r="D723" s="1" cm="1">
        <f t="array" ref="D723">_xlfn.XLOOKUP(_xlfn.FLOOR.MATH(C723),'Mortality Tables'!$B$4:$B$124,_xlfn.XLOOKUP(mortality_table,'Mortality Tables'!$B$3:$G$3,'Mortality Tables'!$B$4:$G$124,0,0),0,0)</f>
        <v>7.1399999999999996E-3</v>
      </c>
      <c r="E723" s="1">
        <f t="shared" si="80"/>
        <v>5.9499999999999993E-4</v>
      </c>
      <c r="F723" s="1">
        <f t="shared" si="77"/>
        <v>0.99940499999999999</v>
      </c>
      <c r="G723" s="1">
        <f t="shared" si="78"/>
        <v>0.92502029565026844</v>
      </c>
      <c r="H723" s="34">
        <f t="shared" si="81"/>
        <v>5.4857587606017034E-2</v>
      </c>
      <c r="I723" s="36">
        <f t="shared" si="82"/>
        <v>5.0744381905978381E-2</v>
      </c>
    </row>
    <row r="724" spans="2:9" x14ac:dyDescent="0.35">
      <c r="B724" s="16">
        <f t="shared" si="83"/>
        <v>59.583333333333933</v>
      </c>
      <c r="C724" s="17">
        <f t="shared" si="79"/>
        <v>59.583333333333933</v>
      </c>
      <c r="D724" s="1" cm="1">
        <f t="array" ref="D724">_xlfn.XLOOKUP(_xlfn.FLOOR.MATH(C724),'Mortality Tables'!$B$4:$B$124,_xlfn.XLOOKUP(mortality_table,'Mortality Tables'!$B$3:$G$3,'Mortality Tables'!$B$4:$G$124,0,0),0,0)</f>
        <v>7.1399999999999996E-3</v>
      </c>
      <c r="E724" s="1">
        <f t="shared" si="80"/>
        <v>5.9499999999999993E-4</v>
      </c>
      <c r="F724" s="1">
        <f t="shared" si="77"/>
        <v>0.99940499999999999</v>
      </c>
      <c r="G724" s="1">
        <f t="shared" si="78"/>
        <v>0.92446990857435651</v>
      </c>
      <c r="H724" s="34">
        <f t="shared" si="81"/>
        <v>5.4634997861808657E-2</v>
      </c>
      <c r="I724" s="36">
        <f t="shared" si="82"/>
        <v>5.0508411478266416E-2</v>
      </c>
    </row>
    <row r="725" spans="2:9" x14ac:dyDescent="0.35">
      <c r="B725" s="16">
        <f t="shared" si="83"/>
        <v>59.666666666667268</v>
      </c>
      <c r="C725" s="17">
        <f t="shared" si="79"/>
        <v>59.666666666667268</v>
      </c>
      <c r="D725" s="1" cm="1">
        <f t="array" ref="D725">_xlfn.XLOOKUP(_xlfn.FLOOR.MATH(C725),'Mortality Tables'!$B$4:$B$124,_xlfn.XLOOKUP(mortality_table,'Mortality Tables'!$B$3:$G$3,'Mortality Tables'!$B$4:$G$124,0,0),0,0)</f>
        <v>7.1399999999999996E-3</v>
      </c>
      <c r="E725" s="1">
        <f t="shared" si="80"/>
        <v>5.9499999999999993E-4</v>
      </c>
      <c r="F725" s="1">
        <f t="shared" si="77"/>
        <v>0.99940499999999999</v>
      </c>
      <c r="G725" s="1">
        <f t="shared" si="78"/>
        <v>0.92391984897875479</v>
      </c>
      <c r="H725" s="34">
        <f t="shared" si="81"/>
        <v>5.4413311296110108E-2</v>
      </c>
      <c r="I725" s="36">
        <f t="shared" si="82"/>
        <v>5.0273538355136024E-2</v>
      </c>
    </row>
    <row r="726" spans="2:9" x14ac:dyDescent="0.35">
      <c r="B726" s="16">
        <f t="shared" si="83"/>
        <v>59.750000000000604</v>
      </c>
      <c r="C726" s="17">
        <f t="shared" si="79"/>
        <v>59.750000000000604</v>
      </c>
      <c r="D726" s="1" cm="1">
        <f t="array" ref="D726">_xlfn.XLOOKUP(_xlfn.FLOOR.MATH(C726),'Mortality Tables'!$B$4:$B$124,_xlfn.XLOOKUP(mortality_table,'Mortality Tables'!$B$3:$G$3,'Mortality Tables'!$B$4:$G$124,0,0),0,0)</f>
        <v>7.1399999999999996E-3</v>
      </c>
      <c r="E726" s="1">
        <f t="shared" si="80"/>
        <v>5.9499999999999993E-4</v>
      </c>
      <c r="F726" s="1">
        <f t="shared" si="77"/>
        <v>0.99940499999999999</v>
      </c>
      <c r="G726" s="1">
        <f t="shared" si="78"/>
        <v>0.92337011666861246</v>
      </c>
      <c r="H726" s="34">
        <f t="shared" si="81"/>
        <v>5.4192524244190923E-2</v>
      </c>
      <c r="I726" s="36">
        <f t="shared" si="82"/>
        <v>5.0039757433925185E-2</v>
      </c>
    </row>
    <row r="727" spans="2:9" x14ac:dyDescent="0.35">
      <c r="B727" s="16">
        <f t="shared" si="83"/>
        <v>59.83333333333394</v>
      </c>
      <c r="C727" s="17">
        <f t="shared" si="79"/>
        <v>59.83333333333394</v>
      </c>
      <c r="D727" s="1" cm="1">
        <f t="array" ref="D727">_xlfn.XLOOKUP(_xlfn.FLOOR.MATH(C727),'Mortality Tables'!$B$4:$B$124,_xlfn.XLOOKUP(mortality_table,'Mortality Tables'!$B$3:$G$3,'Mortality Tables'!$B$4:$G$124,0,0),0,0)</f>
        <v>7.1399999999999996E-3</v>
      </c>
      <c r="E727" s="1">
        <f t="shared" si="80"/>
        <v>5.9499999999999993E-4</v>
      </c>
      <c r="F727" s="1">
        <f t="shared" si="77"/>
        <v>0.99940499999999999</v>
      </c>
      <c r="G727" s="1">
        <f t="shared" si="78"/>
        <v>0.92282071144919464</v>
      </c>
      <c r="H727" s="34">
        <f t="shared" si="81"/>
        <v>5.3972633056190565E-2</v>
      </c>
      <c r="I727" s="36">
        <f t="shared" si="82"/>
        <v>4.9807063635700095E-2</v>
      </c>
    </row>
    <row r="728" spans="2:9" x14ac:dyDescent="0.35">
      <c r="B728" s="16">
        <f t="shared" si="83"/>
        <v>59.916666666667275</v>
      </c>
      <c r="C728" s="17">
        <f t="shared" si="79"/>
        <v>59.916666666667275</v>
      </c>
      <c r="D728" s="1" cm="1">
        <f t="array" ref="D728">_xlfn.XLOOKUP(_xlfn.FLOOR.MATH(C728),'Mortality Tables'!$B$4:$B$124,_xlfn.XLOOKUP(mortality_table,'Mortality Tables'!$B$3:$G$3,'Mortality Tables'!$B$4:$G$124,0,0),0,0)</f>
        <v>7.1399999999999996E-3</v>
      </c>
      <c r="E728" s="1">
        <f t="shared" si="80"/>
        <v>5.9499999999999993E-4</v>
      </c>
      <c r="F728" s="1">
        <f t="shared" si="77"/>
        <v>0.99940499999999999</v>
      </c>
      <c r="G728" s="1">
        <f t="shared" si="78"/>
        <v>0.92227163312588234</v>
      </c>
      <c r="H728" s="34">
        <f t="shared" si="81"/>
        <v>5.375363409705821E-2</v>
      </c>
      <c r="I728" s="36">
        <f t="shared" si="82"/>
        <v>4.9575451905144986E-2</v>
      </c>
    </row>
    <row r="729" spans="2:9" x14ac:dyDescent="0.35">
      <c r="B729" s="16">
        <f t="shared" si="83"/>
        <v>60.000000000000611</v>
      </c>
      <c r="C729" s="17">
        <f t="shared" si="79"/>
        <v>60.000000000000611</v>
      </c>
      <c r="D729" s="1" cm="1">
        <f t="array" ref="D729">_xlfn.XLOOKUP(_xlfn.FLOOR.MATH(C729),'Mortality Tables'!$B$4:$B$124,_xlfn.XLOOKUP(mortality_table,'Mortality Tables'!$B$3:$G$3,'Mortality Tables'!$B$4:$G$124,0,0),0,0)</f>
        <v>8.0219999999999996E-3</v>
      </c>
      <c r="E729" s="1">
        <f t="shared" si="80"/>
        <v>6.6849999999999993E-4</v>
      </c>
      <c r="F729" s="1">
        <f t="shared" si="77"/>
        <v>0.99933150000000004</v>
      </c>
      <c r="G729" s="1">
        <f t="shared" si="78"/>
        <v>0.92172288150417248</v>
      </c>
      <c r="H729" s="34">
        <f t="shared" si="81"/>
        <v>5.3535523746492543E-2</v>
      </c>
      <c r="I729" s="36">
        <f t="shared" si="82"/>
        <v>4.9344917210452158E-2</v>
      </c>
    </row>
    <row r="730" spans="2:9" x14ac:dyDescent="0.35">
      <c r="B730" s="16">
        <f t="shared" si="83"/>
        <v>60.083333333333947</v>
      </c>
      <c r="C730" s="17">
        <f t="shared" si="79"/>
        <v>60.083333333333947</v>
      </c>
      <c r="D730" s="1" cm="1">
        <f t="array" ref="D730">_xlfn.XLOOKUP(_xlfn.FLOOR.MATH(C730),'Mortality Tables'!$B$4:$B$124,_xlfn.XLOOKUP(mortality_table,'Mortality Tables'!$B$3:$G$3,'Mortality Tables'!$B$4:$G$124,0,0),0,0)</f>
        <v>8.0219999999999996E-3</v>
      </c>
      <c r="E730" s="1">
        <f t="shared" si="80"/>
        <v>6.6849999999999993E-4</v>
      </c>
      <c r="F730" s="1">
        <f t="shared" si="77"/>
        <v>0.99933150000000004</v>
      </c>
      <c r="G730" s="1">
        <f t="shared" si="78"/>
        <v>0.921106709757887</v>
      </c>
      <c r="H730" s="34">
        <f t="shared" si="81"/>
        <v>5.3318298398881997E-2</v>
      </c>
      <c r="I730" s="36">
        <f t="shared" si="82"/>
        <v>4.911184240808341E-2</v>
      </c>
    </row>
    <row r="731" spans="2:9" x14ac:dyDescent="0.35">
      <c r="B731" s="16">
        <f t="shared" si="83"/>
        <v>60.166666666667282</v>
      </c>
      <c r="C731" s="17">
        <f t="shared" si="79"/>
        <v>60.166666666667282</v>
      </c>
      <c r="D731" s="1" cm="1">
        <f t="array" ref="D731">_xlfn.XLOOKUP(_xlfn.FLOOR.MATH(C731),'Mortality Tables'!$B$4:$B$124,_xlfn.XLOOKUP(mortality_table,'Mortality Tables'!$B$3:$G$3,'Mortality Tables'!$B$4:$G$124,0,0),0,0)</f>
        <v>8.0219999999999996E-3</v>
      </c>
      <c r="E731" s="1">
        <f t="shared" si="80"/>
        <v>6.6849999999999993E-4</v>
      </c>
      <c r="F731" s="1">
        <f t="shared" ref="F731:F794" si="84">1-E731</f>
        <v>0.99933150000000004</v>
      </c>
      <c r="G731" s="1">
        <f t="shared" ref="G731:G794" si="85">G730*F730</f>
        <v>0.92049094992241387</v>
      </c>
      <c r="H731" s="34">
        <f t="shared" si="81"/>
        <v>5.3101954463245067E-2</v>
      </c>
      <c r="I731" s="36">
        <f t="shared" si="82"/>
        <v>4.887986850660922E-2</v>
      </c>
    </row>
    <row r="732" spans="2:9" x14ac:dyDescent="0.35">
      <c r="B732" s="16">
        <f t="shared" si="83"/>
        <v>60.250000000000618</v>
      </c>
      <c r="C732" s="17">
        <f t="shared" si="79"/>
        <v>60.250000000000618</v>
      </c>
      <c r="D732" s="1" cm="1">
        <f t="array" ref="D732">_xlfn.XLOOKUP(_xlfn.FLOOR.MATH(C732),'Mortality Tables'!$B$4:$B$124,_xlfn.XLOOKUP(mortality_table,'Mortality Tables'!$B$3:$G$3,'Mortality Tables'!$B$4:$G$124,0,0),0,0)</f>
        <v>8.0219999999999996E-3</v>
      </c>
      <c r="E732" s="1">
        <f t="shared" si="80"/>
        <v>6.6849999999999993E-4</v>
      </c>
      <c r="F732" s="1">
        <f t="shared" si="84"/>
        <v>0.99933150000000004</v>
      </c>
      <c r="G732" s="1">
        <f t="shared" si="85"/>
        <v>0.9198756017223908</v>
      </c>
      <c r="H732" s="34">
        <f t="shared" si="81"/>
        <v>5.2886488363171023E-2</v>
      </c>
      <c r="I732" s="36">
        <f t="shared" si="82"/>
        <v>4.8648990306056163E-2</v>
      </c>
    </row>
    <row r="733" spans="2:9" x14ac:dyDescent="0.35">
      <c r="B733" s="16">
        <f t="shared" si="83"/>
        <v>60.333333333333954</v>
      </c>
      <c r="C733" s="17">
        <f t="shared" si="79"/>
        <v>60.333333333333954</v>
      </c>
      <c r="D733" s="1" cm="1">
        <f t="array" ref="D733">_xlfn.XLOOKUP(_xlfn.FLOOR.MATH(C733),'Mortality Tables'!$B$4:$B$124,_xlfn.XLOOKUP(mortality_table,'Mortality Tables'!$B$3:$G$3,'Mortality Tables'!$B$4:$G$124,0,0),0,0)</f>
        <v>8.0219999999999996E-3</v>
      </c>
      <c r="E733" s="1">
        <f t="shared" si="80"/>
        <v>6.6849999999999993E-4</v>
      </c>
      <c r="F733" s="1">
        <f t="shared" si="84"/>
        <v>0.99933150000000004</v>
      </c>
      <c r="G733" s="1">
        <f t="shared" si="85"/>
        <v>0.91926066488263947</v>
      </c>
      <c r="H733" s="34">
        <f t="shared" si="81"/>
        <v>5.2671896536760736E-2</v>
      </c>
      <c r="I733" s="36">
        <f t="shared" si="82"/>
        <v>4.8419202631012272E-2</v>
      </c>
    </row>
    <row r="734" spans="2:9" x14ac:dyDescent="0.35">
      <c r="B734" s="16">
        <f t="shared" si="83"/>
        <v>60.41666666666729</v>
      </c>
      <c r="C734" s="17">
        <f t="shared" si="79"/>
        <v>60.41666666666729</v>
      </c>
      <c r="D734" s="1" cm="1">
        <f t="array" ref="D734">_xlfn.XLOOKUP(_xlfn.FLOOR.MATH(C734),'Mortality Tables'!$B$4:$B$124,_xlfn.XLOOKUP(mortality_table,'Mortality Tables'!$B$3:$G$3,'Mortality Tables'!$B$4:$G$124,0,0),0,0)</f>
        <v>8.0219999999999996E-3</v>
      </c>
      <c r="E734" s="1">
        <f t="shared" si="80"/>
        <v>6.6849999999999993E-4</v>
      </c>
      <c r="F734" s="1">
        <f t="shared" si="84"/>
        <v>0.99933150000000004</v>
      </c>
      <c r="G734" s="1">
        <f t="shared" si="85"/>
        <v>0.91864613912816551</v>
      </c>
      <c r="H734" s="34">
        <f t="shared" si="81"/>
        <v>5.2458175436567812E-2</v>
      </c>
      <c r="I734" s="36">
        <f t="shared" si="82"/>
        <v>4.8190500330510991E-2</v>
      </c>
    </row>
    <row r="735" spans="2:9" x14ac:dyDescent="0.35">
      <c r="B735" s="16">
        <f t="shared" si="83"/>
        <v>60.500000000000625</v>
      </c>
      <c r="C735" s="17">
        <f t="shared" si="79"/>
        <v>60.500000000000625</v>
      </c>
      <c r="D735" s="1" cm="1">
        <f t="array" ref="D735">_xlfn.XLOOKUP(_xlfn.FLOOR.MATH(C735),'Mortality Tables'!$B$4:$B$124,_xlfn.XLOOKUP(mortality_table,'Mortality Tables'!$B$3:$G$3,'Mortality Tables'!$B$4:$G$124,0,0),0,0)</f>
        <v>8.0219999999999996E-3</v>
      </c>
      <c r="E735" s="1">
        <f t="shared" si="80"/>
        <v>6.6849999999999993E-4</v>
      </c>
      <c r="F735" s="1">
        <f t="shared" si="84"/>
        <v>0.99933150000000004</v>
      </c>
      <c r="G735" s="1">
        <f t="shared" si="85"/>
        <v>0.91803202418415841</v>
      </c>
      <c r="H735" s="34">
        <f t="shared" si="81"/>
        <v>5.2245321529539958E-2</v>
      </c>
      <c r="I735" s="36">
        <f t="shared" si="82"/>
        <v>4.796287827791576E-2</v>
      </c>
    </row>
    <row r="736" spans="2:9" x14ac:dyDescent="0.35">
      <c r="B736" s="16">
        <f t="shared" si="83"/>
        <v>60.583333333333961</v>
      </c>
      <c r="C736" s="17">
        <f t="shared" si="79"/>
        <v>60.583333333333961</v>
      </c>
      <c r="D736" s="1" cm="1">
        <f t="array" ref="D736">_xlfn.XLOOKUP(_xlfn.FLOOR.MATH(C736),'Mortality Tables'!$B$4:$B$124,_xlfn.XLOOKUP(mortality_table,'Mortality Tables'!$B$3:$G$3,'Mortality Tables'!$B$4:$G$124,0,0),0,0)</f>
        <v>8.0219999999999996E-3</v>
      </c>
      <c r="E736" s="1">
        <f t="shared" si="80"/>
        <v>6.6849999999999993E-4</v>
      </c>
      <c r="F736" s="1">
        <f t="shared" si="84"/>
        <v>0.99933150000000004</v>
      </c>
      <c r="G736" s="1">
        <f t="shared" si="85"/>
        <v>0.91741831977599131</v>
      </c>
      <c r="H736" s="34">
        <f t="shared" si="81"/>
        <v>5.2033331296960576E-2</v>
      </c>
      <c r="I736" s="36">
        <f t="shared" si="82"/>
        <v>4.7736331370805074E-2</v>
      </c>
    </row>
    <row r="737" spans="2:9" x14ac:dyDescent="0.35">
      <c r="B737" s="16">
        <f t="shared" si="83"/>
        <v>60.666666666667297</v>
      </c>
      <c r="C737" s="17">
        <f t="shared" si="79"/>
        <v>60.666666666667297</v>
      </c>
      <c r="D737" s="1" cm="1">
        <f t="array" ref="D737">_xlfn.XLOOKUP(_xlfn.FLOOR.MATH(C737),'Mortality Tables'!$B$4:$B$124,_xlfn.XLOOKUP(mortality_table,'Mortality Tables'!$B$3:$G$3,'Mortality Tables'!$B$4:$G$124,0,0),0,0)</f>
        <v>8.0219999999999996E-3</v>
      </c>
      <c r="E737" s="1">
        <f t="shared" si="80"/>
        <v>6.6849999999999993E-4</v>
      </c>
      <c r="F737" s="1">
        <f t="shared" si="84"/>
        <v>0.99933150000000004</v>
      </c>
      <c r="G737" s="1">
        <f t="shared" si="85"/>
        <v>0.91680502562922106</v>
      </c>
      <c r="H737" s="34">
        <f t="shared" si="81"/>
        <v>5.1822201234390526E-2</v>
      </c>
      <c r="I737" s="36">
        <f t="shared" si="82"/>
        <v>4.7510854530858057E-2</v>
      </c>
    </row>
    <row r="738" spans="2:9" x14ac:dyDescent="0.35">
      <c r="B738" s="16">
        <f t="shared" si="83"/>
        <v>60.750000000000632</v>
      </c>
      <c r="C738" s="17">
        <f t="shared" si="79"/>
        <v>60.750000000000632</v>
      </c>
      <c r="D738" s="1" cm="1">
        <f t="array" ref="D738">_xlfn.XLOOKUP(_xlfn.FLOOR.MATH(C738),'Mortality Tables'!$B$4:$B$124,_xlfn.XLOOKUP(mortality_table,'Mortality Tables'!$B$3:$G$3,'Mortality Tables'!$B$4:$G$124,0,0),0,0)</f>
        <v>8.0219999999999996E-3</v>
      </c>
      <c r="E738" s="1">
        <f t="shared" si="80"/>
        <v>6.6849999999999993E-4</v>
      </c>
      <c r="F738" s="1">
        <f t="shared" si="84"/>
        <v>0.99933150000000004</v>
      </c>
      <c r="G738" s="1">
        <f t="shared" si="85"/>
        <v>0.91619214146958794</v>
      </c>
      <c r="H738" s="34">
        <f t="shared" si="81"/>
        <v>5.1611927851610326E-2</v>
      </c>
      <c r="I738" s="36">
        <f t="shared" si="82"/>
        <v>4.728644270374073E-2</v>
      </c>
    </row>
    <row r="739" spans="2:9" x14ac:dyDescent="0.35">
      <c r="B739" s="16">
        <f t="shared" si="83"/>
        <v>60.833333333333968</v>
      </c>
      <c r="C739" s="17">
        <f t="shared" si="79"/>
        <v>60.833333333333968</v>
      </c>
      <c r="D739" s="1" cm="1">
        <f t="array" ref="D739">_xlfn.XLOOKUP(_xlfn.FLOOR.MATH(C739),'Mortality Tables'!$B$4:$B$124,_xlfn.XLOOKUP(mortality_table,'Mortality Tables'!$B$3:$G$3,'Mortality Tables'!$B$4:$G$124,0,0),0,0)</f>
        <v>8.0219999999999996E-3</v>
      </c>
      <c r="E739" s="1">
        <f t="shared" si="80"/>
        <v>6.6849999999999993E-4</v>
      </c>
      <c r="F739" s="1">
        <f t="shared" si="84"/>
        <v>0.99933150000000004</v>
      </c>
      <c r="G739" s="1">
        <f t="shared" si="85"/>
        <v>0.91557966702301552</v>
      </c>
      <c r="H739" s="34">
        <f t="shared" si="81"/>
        <v>5.1402507672562367E-2</v>
      </c>
      <c r="I739" s="36">
        <f t="shared" si="82"/>
        <v>4.706309085899265E-2</v>
      </c>
    </row>
    <row r="740" spans="2:9" x14ac:dyDescent="0.35">
      <c r="B740" s="16">
        <f t="shared" si="83"/>
        <v>60.916666666667304</v>
      </c>
      <c r="C740" s="17">
        <f t="shared" si="79"/>
        <v>60.916666666667304</v>
      </c>
      <c r="D740" s="1" cm="1">
        <f t="array" ref="D740">_xlfn.XLOOKUP(_xlfn.FLOOR.MATH(C740),'Mortality Tables'!$B$4:$B$124,_xlfn.XLOOKUP(mortality_table,'Mortality Tables'!$B$3:$G$3,'Mortality Tables'!$B$4:$G$124,0,0),0,0)</f>
        <v>8.0219999999999996E-3</v>
      </c>
      <c r="E740" s="1">
        <f t="shared" si="80"/>
        <v>6.6849999999999993E-4</v>
      </c>
      <c r="F740" s="1">
        <f t="shared" si="84"/>
        <v>0.99933150000000004</v>
      </c>
      <c r="G740" s="1">
        <f t="shared" si="85"/>
        <v>0.91496760201561067</v>
      </c>
      <c r="H740" s="34">
        <f t="shared" si="81"/>
        <v>5.1193937235293453E-2</v>
      </c>
      <c r="I740" s="36">
        <f t="shared" si="82"/>
        <v>4.6840793989914135E-2</v>
      </c>
    </row>
    <row r="741" spans="2:9" x14ac:dyDescent="0.35">
      <c r="B741" s="16">
        <f t="shared" si="83"/>
        <v>61.000000000000639</v>
      </c>
      <c r="C741" s="17">
        <f t="shared" si="79"/>
        <v>61.000000000000639</v>
      </c>
      <c r="D741" s="1" cm="1">
        <f t="array" ref="D741">_xlfn.XLOOKUP(_xlfn.FLOOR.MATH(C741),'Mortality Tables'!$B$4:$B$124,_xlfn.XLOOKUP(mortality_table,'Mortality Tables'!$B$3:$G$3,'Mortality Tables'!$B$4:$G$124,0,0),0,0)</f>
        <v>9.0089999999999996E-3</v>
      </c>
      <c r="E741" s="1">
        <f t="shared" si="80"/>
        <v>7.507499999999999E-4</v>
      </c>
      <c r="F741" s="1">
        <f t="shared" si="84"/>
        <v>0.99924924999999998</v>
      </c>
      <c r="G741" s="1">
        <f t="shared" si="85"/>
        <v>0.91435594617366323</v>
      </c>
      <c r="H741" s="34">
        <f t="shared" si="81"/>
        <v>5.0986213091897589E-2</v>
      </c>
      <c r="I741" s="36">
        <f t="shared" si="82"/>
        <v>4.6619547113454035E-2</v>
      </c>
    </row>
    <row r="742" spans="2:9" x14ac:dyDescent="0.35">
      <c r="B742" s="16">
        <f t="shared" si="83"/>
        <v>61.083333333333975</v>
      </c>
      <c r="C742" s="17">
        <f t="shared" si="79"/>
        <v>61.083333333333975</v>
      </c>
      <c r="D742" s="1" cm="1">
        <f t="array" ref="D742">_xlfn.XLOOKUP(_xlfn.FLOOR.MATH(C742),'Mortality Tables'!$B$4:$B$124,_xlfn.XLOOKUP(mortality_table,'Mortality Tables'!$B$3:$G$3,'Mortality Tables'!$B$4:$G$124,0,0),0,0)</f>
        <v>9.0089999999999996E-3</v>
      </c>
      <c r="E742" s="1">
        <f t="shared" si="80"/>
        <v>7.507499999999999E-4</v>
      </c>
      <c r="F742" s="1">
        <f t="shared" si="84"/>
        <v>0.99924924999999998</v>
      </c>
      <c r="G742" s="1">
        <f t="shared" si="85"/>
        <v>0.91366949344707338</v>
      </c>
      <c r="H742" s="34">
        <f t="shared" si="81"/>
        <v>5.0779331808458963E-2</v>
      </c>
      <c r="I742" s="36">
        <f t="shared" si="82"/>
        <v>4.6395526371015565E-2</v>
      </c>
    </row>
    <row r="743" spans="2:9" x14ac:dyDescent="0.35">
      <c r="B743" s="16">
        <f t="shared" si="83"/>
        <v>61.166666666667311</v>
      </c>
      <c r="C743" s="17">
        <f t="shared" si="79"/>
        <v>61.166666666667311</v>
      </c>
      <c r="D743" s="1" cm="1">
        <f t="array" ref="D743">_xlfn.XLOOKUP(_xlfn.FLOOR.MATH(C743),'Mortality Tables'!$B$4:$B$124,_xlfn.XLOOKUP(mortality_table,'Mortality Tables'!$B$3:$G$3,'Mortality Tables'!$B$4:$G$124,0,0),0,0)</f>
        <v>9.0089999999999996E-3</v>
      </c>
      <c r="E743" s="1">
        <f t="shared" si="80"/>
        <v>7.507499999999999E-4</v>
      </c>
      <c r="F743" s="1">
        <f t="shared" si="84"/>
        <v>0.99924924999999998</v>
      </c>
      <c r="G743" s="1">
        <f t="shared" si="85"/>
        <v>0.91298355607486792</v>
      </c>
      <c r="H743" s="34">
        <f t="shared" si="81"/>
        <v>5.057328996499523E-2</v>
      </c>
      <c r="I743" s="36">
        <f t="shared" si="82"/>
        <v>4.6172582114646775E-2</v>
      </c>
    </row>
    <row r="744" spans="2:9" x14ac:dyDescent="0.35">
      <c r="B744" s="16">
        <f t="shared" si="83"/>
        <v>61.250000000000647</v>
      </c>
      <c r="C744" s="17">
        <f t="shared" si="79"/>
        <v>61.250000000000647</v>
      </c>
      <c r="D744" s="1" cm="1">
        <f t="array" ref="D744">_xlfn.XLOOKUP(_xlfn.FLOOR.MATH(C744),'Mortality Tables'!$B$4:$B$124,_xlfn.XLOOKUP(mortality_table,'Mortality Tables'!$B$3:$G$3,'Mortality Tables'!$B$4:$G$124,0,0),0,0)</f>
        <v>9.0089999999999996E-3</v>
      </c>
      <c r="E744" s="1">
        <f t="shared" si="80"/>
        <v>7.507499999999999E-4</v>
      </c>
      <c r="F744" s="1">
        <f t="shared" si="84"/>
        <v>0.99924924999999998</v>
      </c>
      <c r="G744" s="1">
        <f t="shared" si="85"/>
        <v>0.91229813367014467</v>
      </c>
      <c r="H744" s="34">
        <f t="shared" si="81"/>
        <v>5.0368084155400901E-2</v>
      </c>
      <c r="I744" s="36">
        <f t="shared" si="82"/>
        <v>4.5950709171513025E-2</v>
      </c>
    </row>
    <row r="745" spans="2:9" x14ac:dyDescent="0.35">
      <c r="B745" s="16">
        <f t="shared" si="83"/>
        <v>61.333333333333982</v>
      </c>
      <c r="C745" s="17">
        <f t="shared" si="79"/>
        <v>61.333333333333982</v>
      </c>
      <c r="D745" s="1" cm="1">
        <f t="array" ref="D745">_xlfn.XLOOKUP(_xlfn.FLOOR.MATH(C745),'Mortality Tables'!$B$4:$B$124,_xlfn.XLOOKUP(mortality_table,'Mortality Tables'!$B$3:$G$3,'Mortality Tables'!$B$4:$G$124,0,0),0,0)</f>
        <v>9.0089999999999996E-3</v>
      </c>
      <c r="E745" s="1">
        <f t="shared" si="80"/>
        <v>7.507499999999999E-4</v>
      </c>
      <c r="F745" s="1">
        <f t="shared" si="84"/>
        <v>0.99924924999999998</v>
      </c>
      <c r="G745" s="1">
        <f t="shared" si="85"/>
        <v>0.91161322584629179</v>
      </c>
      <c r="H745" s="34">
        <f t="shared" si="81"/>
        <v>5.0163710987391107E-2</v>
      </c>
      <c r="I745" s="36">
        <f t="shared" si="82"/>
        <v>4.5729902393636675E-2</v>
      </c>
    </row>
    <row r="746" spans="2:9" x14ac:dyDescent="0.35">
      <c r="B746" s="16">
        <f t="shared" si="83"/>
        <v>61.416666666667318</v>
      </c>
      <c r="C746" s="17">
        <f t="shared" si="79"/>
        <v>61.416666666667318</v>
      </c>
      <c r="D746" s="1" cm="1">
        <f t="array" ref="D746">_xlfn.XLOOKUP(_xlfn.FLOOR.MATH(C746),'Mortality Tables'!$B$4:$B$124,_xlfn.XLOOKUP(mortality_table,'Mortality Tables'!$B$3:$G$3,'Mortality Tables'!$B$4:$G$124,0,0),0,0)</f>
        <v>9.0089999999999996E-3</v>
      </c>
      <c r="E746" s="1">
        <f t="shared" si="80"/>
        <v>7.507499999999999E-4</v>
      </c>
      <c r="F746" s="1">
        <f t="shared" si="84"/>
        <v>0.99924924999999998</v>
      </c>
      <c r="G746" s="1">
        <f t="shared" si="85"/>
        <v>0.91092883221698762</v>
      </c>
      <c r="H746" s="34">
        <f t="shared" si="81"/>
        <v>4.9960167082445467E-2</v>
      </c>
      <c r="I746" s="36">
        <f t="shared" si="82"/>
        <v>4.5510156657777634E-2</v>
      </c>
    </row>
    <row r="747" spans="2:9" x14ac:dyDescent="0.35">
      <c r="B747" s="16">
        <f t="shared" si="83"/>
        <v>61.500000000000654</v>
      </c>
      <c r="C747" s="17">
        <f t="shared" si="79"/>
        <v>61.500000000000654</v>
      </c>
      <c r="D747" s="1" cm="1">
        <f t="array" ref="D747">_xlfn.XLOOKUP(_xlfn.FLOOR.MATH(C747),'Mortality Tables'!$B$4:$B$124,_xlfn.XLOOKUP(mortality_table,'Mortality Tables'!$B$3:$G$3,'Mortality Tables'!$B$4:$G$124,0,0),0,0)</f>
        <v>9.0089999999999996E-3</v>
      </c>
      <c r="E747" s="1">
        <f t="shared" si="80"/>
        <v>7.507499999999999E-4</v>
      </c>
      <c r="F747" s="1">
        <f t="shared" si="84"/>
        <v>0.99924924999999998</v>
      </c>
      <c r="G747" s="1">
        <f t="shared" si="85"/>
        <v>0.91024495239620073</v>
      </c>
      <c r="H747" s="34">
        <f t="shared" si="81"/>
        <v>4.9757449075752282E-2</v>
      </c>
      <c r="I747" s="36">
        <f t="shared" si="82"/>
        <v>4.5291466865314517E-2</v>
      </c>
    </row>
    <row r="748" spans="2:9" x14ac:dyDescent="0.35">
      <c r="B748" s="16">
        <f t="shared" si="83"/>
        <v>61.583333333333989</v>
      </c>
      <c r="C748" s="17">
        <f t="shared" si="79"/>
        <v>61.583333333333989</v>
      </c>
      <c r="D748" s="1" cm="1">
        <f t="array" ref="D748">_xlfn.XLOOKUP(_xlfn.FLOOR.MATH(C748),'Mortality Tables'!$B$4:$B$124,_xlfn.XLOOKUP(mortality_table,'Mortality Tables'!$B$3:$G$3,'Mortality Tables'!$B$4:$G$124,0,0),0,0)</f>
        <v>9.0089999999999996E-3</v>
      </c>
      <c r="E748" s="1">
        <f t="shared" si="80"/>
        <v>7.507499999999999E-4</v>
      </c>
      <c r="F748" s="1">
        <f t="shared" si="84"/>
        <v>0.99924924999999998</v>
      </c>
      <c r="G748" s="1">
        <f t="shared" si="85"/>
        <v>0.90956158599818926</v>
      </c>
      <c r="H748" s="34">
        <f t="shared" si="81"/>
        <v>4.9555553616152846E-2</v>
      </c>
      <c r="I748" s="36">
        <f t="shared" si="82"/>
        <v>4.5073827942126284E-2</v>
      </c>
    </row>
    <row r="749" spans="2:9" x14ac:dyDescent="0.35">
      <c r="B749" s="16">
        <f t="shared" si="83"/>
        <v>61.666666666667325</v>
      </c>
      <c r="C749" s="17">
        <f t="shared" si="79"/>
        <v>61.666666666667325</v>
      </c>
      <c r="D749" s="1" cm="1">
        <f t="array" ref="D749">_xlfn.XLOOKUP(_xlfn.FLOOR.MATH(C749),'Mortality Tables'!$B$4:$B$124,_xlfn.XLOOKUP(mortality_table,'Mortality Tables'!$B$3:$G$3,'Mortality Tables'!$B$4:$G$124,0,0),0,0)</f>
        <v>9.0089999999999996E-3</v>
      </c>
      <c r="E749" s="1">
        <f t="shared" si="80"/>
        <v>7.507499999999999E-4</v>
      </c>
      <c r="F749" s="1">
        <f t="shared" si="84"/>
        <v>0.99924924999999998</v>
      </c>
      <c r="G749" s="1">
        <f t="shared" si="85"/>
        <v>0.90887873263750107</v>
      </c>
      <c r="H749" s="34">
        <f t="shared" si="81"/>
        <v>4.9354477366086141E-2</v>
      </c>
      <c r="I749" s="36">
        <f t="shared" si="82"/>
        <v>4.4857234838474605E-2</v>
      </c>
    </row>
    <row r="750" spans="2:9" x14ac:dyDescent="0.35">
      <c r="B750" s="16">
        <f t="shared" si="83"/>
        <v>61.750000000000661</v>
      </c>
      <c r="C750" s="17">
        <f t="shared" si="79"/>
        <v>61.750000000000661</v>
      </c>
      <c r="D750" s="1" cm="1">
        <f t="array" ref="D750">_xlfn.XLOOKUP(_xlfn.FLOOR.MATH(C750),'Mortality Tables'!$B$4:$B$124,_xlfn.XLOOKUP(mortality_table,'Mortality Tables'!$B$3:$G$3,'Mortality Tables'!$B$4:$G$124,0,0),0,0)</f>
        <v>9.0089999999999996E-3</v>
      </c>
      <c r="E750" s="1">
        <f t="shared" si="80"/>
        <v>7.507499999999999E-4</v>
      </c>
      <c r="F750" s="1">
        <f t="shared" si="84"/>
        <v>0.99924924999999998</v>
      </c>
      <c r="G750" s="1">
        <f t="shared" si="85"/>
        <v>0.9081963919289735</v>
      </c>
      <c r="H750" s="34">
        <f t="shared" si="81"/>
        <v>4.9154217001533572E-2</v>
      </c>
      <c r="I750" s="36">
        <f t="shared" si="82"/>
        <v>4.4641682528886596E-2</v>
      </c>
    </row>
    <row r="751" spans="2:9" x14ac:dyDescent="0.35">
      <c r="B751" s="16">
        <f t="shared" si="83"/>
        <v>61.833333333333997</v>
      </c>
      <c r="C751" s="17">
        <f t="shared" si="79"/>
        <v>61.833333333333997</v>
      </c>
      <c r="D751" s="1" cm="1">
        <f t="array" ref="D751">_xlfn.XLOOKUP(_xlfn.FLOOR.MATH(C751),'Mortality Tables'!$B$4:$B$124,_xlfn.XLOOKUP(mortality_table,'Mortality Tables'!$B$3:$G$3,'Mortality Tables'!$B$4:$G$124,0,0),0,0)</f>
        <v>9.0089999999999996E-3</v>
      </c>
      <c r="E751" s="1">
        <f t="shared" si="80"/>
        <v>7.507499999999999E-4</v>
      </c>
      <c r="F751" s="1">
        <f t="shared" si="84"/>
        <v>0.99924924999999998</v>
      </c>
      <c r="G751" s="1">
        <f t="shared" si="85"/>
        <v>0.90751456348773285</v>
      </c>
      <c r="H751" s="34">
        <f t="shared" si="81"/>
        <v>4.8954769211964087E-2</v>
      </c>
      <c r="I751" s="36">
        <f t="shared" si="82"/>
        <v>4.4427166012038291E-2</v>
      </c>
    </row>
    <row r="752" spans="2:9" x14ac:dyDescent="0.35">
      <c r="B752" s="16">
        <f t="shared" si="83"/>
        <v>61.916666666667332</v>
      </c>
      <c r="C752" s="17">
        <f t="shared" si="79"/>
        <v>61.916666666667332</v>
      </c>
      <c r="D752" s="1" cm="1">
        <f t="array" ref="D752">_xlfn.XLOOKUP(_xlfn.FLOOR.MATH(C752),'Mortality Tables'!$B$4:$B$124,_xlfn.XLOOKUP(mortality_table,'Mortality Tables'!$B$3:$G$3,'Mortality Tables'!$B$4:$G$124,0,0),0,0)</f>
        <v>9.0089999999999996E-3</v>
      </c>
      <c r="E752" s="1">
        <f t="shared" si="80"/>
        <v>7.507499999999999E-4</v>
      </c>
      <c r="F752" s="1">
        <f t="shared" si="84"/>
        <v>0.99924924999999998</v>
      </c>
      <c r="G752" s="1">
        <f t="shared" si="85"/>
        <v>0.90683324692919443</v>
      </c>
      <c r="H752" s="34">
        <f t="shared" si="81"/>
        <v>4.8756130700279406E-2</v>
      </c>
      <c r="I752" s="36">
        <f t="shared" si="82"/>
        <v>4.4213680310638548E-2</v>
      </c>
    </row>
    <row r="753" spans="2:9" x14ac:dyDescent="0.35">
      <c r="B753" s="16">
        <f t="shared" si="83"/>
        <v>62.000000000000668</v>
      </c>
      <c r="C753" s="17">
        <f t="shared" si="79"/>
        <v>62.000000000000668</v>
      </c>
      <c r="D753" s="1" cm="1">
        <f t="array" ref="D753">_xlfn.XLOOKUP(_xlfn.FLOOR.MATH(C753),'Mortality Tables'!$B$4:$B$124,_xlfn.XLOOKUP(mortality_table,'Mortality Tables'!$B$3:$G$3,'Mortality Tables'!$B$4:$G$124,0,0),0,0)</f>
        <v>1.0111999999999999E-2</v>
      </c>
      <c r="E753" s="1">
        <f t="shared" si="80"/>
        <v>8.4266666666666659E-4</v>
      </c>
      <c r="F753" s="1">
        <f t="shared" si="84"/>
        <v>0.99915733333333334</v>
      </c>
      <c r="G753" s="1">
        <f t="shared" si="85"/>
        <v>0.9061524418690623</v>
      </c>
      <c r="H753" s="34">
        <f t="shared" si="81"/>
        <v>4.8558298182759529E-2</v>
      </c>
      <c r="I753" s="36">
        <f t="shared" si="82"/>
        <v>4.40012204713136E-2</v>
      </c>
    </row>
    <row r="754" spans="2:9" x14ac:dyDescent="0.35">
      <c r="B754" s="16">
        <f t="shared" si="83"/>
        <v>62.083333333334004</v>
      </c>
      <c r="C754" s="17">
        <f t="shared" si="79"/>
        <v>62.083333333334004</v>
      </c>
      <c r="D754" s="1" cm="1">
        <f t="array" ref="D754">_xlfn.XLOOKUP(_xlfn.FLOOR.MATH(C754),'Mortality Tables'!$B$4:$B$124,_xlfn.XLOOKUP(mortality_table,'Mortality Tables'!$B$3:$G$3,'Mortality Tables'!$B$4:$G$124,0,0),0,0)</f>
        <v>1.0111999999999999E-2</v>
      </c>
      <c r="E754" s="1">
        <f t="shared" si="80"/>
        <v>8.4266666666666659E-4</v>
      </c>
      <c r="F754" s="1">
        <f t="shared" si="84"/>
        <v>0.99915733333333334</v>
      </c>
      <c r="G754" s="1">
        <f t="shared" si="85"/>
        <v>0.90538885741138064</v>
      </c>
      <c r="H754" s="34">
        <f t="shared" si="81"/>
        <v>4.836126838900847E-2</v>
      </c>
      <c r="I754" s="36">
        <f t="shared" si="82"/>
        <v>4.3785753529689497E-2</v>
      </c>
    </row>
    <row r="755" spans="2:9" x14ac:dyDescent="0.35">
      <c r="B755" s="16">
        <f t="shared" si="83"/>
        <v>62.166666666667339</v>
      </c>
      <c r="C755" s="17">
        <f t="shared" si="79"/>
        <v>62.166666666667339</v>
      </c>
      <c r="D755" s="1" cm="1">
        <f t="array" ref="D755">_xlfn.XLOOKUP(_xlfn.FLOOR.MATH(C755),'Mortality Tables'!$B$4:$B$124,_xlfn.XLOOKUP(mortality_table,'Mortality Tables'!$B$3:$G$3,'Mortality Tables'!$B$4:$G$124,0,0),0,0)</f>
        <v>1.0111999999999999E-2</v>
      </c>
      <c r="E755" s="1">
        <f t="shared" si="80"/>
        <v>8.4266666666666659E-4</v>
      </c>
      <c r="F755" s="1">
        <f t="shared" si="84"/>
        <v>0.99915733333333334</v>
      </c>
      <c r="G755" s="1">
        <f t="shared" si="85"/>
        <v>0.90462591640086865</v>
      </c>
      <c r="H755" s="34">
        <f t="shared" si="81"/>
        <v>4.8165038061900145E-2</v>
      </c>
      <c r="I755" s="36">
        <f t="shared" si="82"/>
        <v>4.3571341695229138E-2</v>
      </c>
    </row>
    <row r="756" spans="2:9" x14ac:dyDescent="0.35">
      <c r="B756" s="16">
        <f t="shared" si="83"/>
        <v>62.250000000000675</v>
      </c>
      <c r="C756" s="17">
        <f t="shared" si="79"/>
        <v>62.250000000000675</v>
      </c>
      <c r="D756" s="1" cm="1">
        <f t="array" ref="D756">_xlfn.XLOOKUP(_xlfn.FLOOR.MATH(C756),'Mortality Tables'!$B$4:$B$124,_xlfn.XLOOKUP(mortality_table,'Mortality Tables'!$B$3:$G$3,'Mortality Tables'!$B$4:$G$124,0,0),0,0)</f>
        <v>1.0111999999999999E-2</v>
      </c>
      <c r="E756" s="1">
        <f t="shared" si="80"/>
        <v>8.4266666666666659E-4</v>
      </c>
      <c r="F756" s="1">
        <f t="shared" si="84"/>
        <v>0.99915733333333334</v>
      </c>
      <c r="G756" s="1">
        <f t="shared" si="85"/>
        <v>0.90386361829531481</v>
      </c>
      <c r="H756" s="34">
        <f t="shared" si="81"/>
        <v>4.7969603957524594E-2</v>
      </c>
      <c r="I756" s="36">
        <f t="shared" si="82"/>
        <v>4.3357979801241432E-2</v>
      </c>
    </row>
    <row r="757" spans="2:9" x14ac:dyDescent="0.35">
      <c r="B757" s="16">
        <f t="shared" si="83"/>
        <v>62.333333333334011</v>
      </c>
      <c r="C757" s="17">
        <f t="shared" si="79"/>
        <v>62.333333333334011</v>
      </c>
      <c r="D757" s="1" cm="1">
        <f t="array" ref="D757">_xlfn.XLOOKUP(_xlfn.FLOOR.MATH(C757),'Mortality Tables'!$B$4:$B$124,_xlfn.XLOOKUP(mortality_table,'Mortality Tables'!$B$3:$G$3,'Mortality Tables'!$B$4:$G$124,0,0),0,0)</f>
        <v>1.0111999999999999E-2</v>
      </c>
      <c r="E757" s="1">
        <f t="shared" si="80"/>
        <v>8.4266666666666659E-4</v>
      </c>
      <c r="F757" s="1">
        <f t="shared" si="84"/>
        <v>0.99915733333333334</v>
      </c>
      <c r="G757" s="1">
        <f t="shared" si="85"/>
        <v>0.9031019625529646</v>
      </c>
      <c r="H757" s="34">
        <f t="shared" si="81"/>
        <v>4.7774962845134314E-2</v>
      </c>
      <c r="I757" s="36">
        <f t="shared" si="82"/>
        <v>4.3145662706335762E-2</v>
      </c>
    </row>
    <row r="758" spans="2:9" x14ac:dyDescent="0.35">
      <c r="B758" s="16">
        <f t="shared" si="83"/>
        <v>62.416666666667346</v>
      </c>
      <c r="C758" s="17">
        <f t="shared" si="79"/>
        <v>62.416666666667346</v>
      </c>
      <c r="D758" s="1" cm="1">
        <f t="array" ref="D758">_xlfn.XLOOKUP(_xlfn.FLOOR.MATH(C758),'Mortality Tables'!$B$4:$B$124,_xlfn.XLOOKUP(mortality_table,'Mortality Tables'!$B$3:$G$3,'Mortality Tables'!$B$4:$G$124,0,0),0,0)</f>
        <v>1.0111999999999999E-2</v>
      </c>
      <c r="E758" s="1">
        <f t="shared" si="80"/>
        <v>8.4266666666666659E-4</v>
      </c>
      <c r="F758" s="1">
        <f t="shared" si="84"/>
        <v>0.99915733333333334</v>
      </c>
      <c r="G758" s="1">
        <f t="shared" si="85"/>
        <v>0.90234094863252001</v>
      </c>
      <c r="H758" s="34">
        <f t="shared" si="81"/>
        <v>4.7581111507090865E-2</v>
      </c>
      <c r="I758" s="36">
        <f t="shared" si="82"/>
        <v>4.2934385294298084E-2</v>
      </c>
    </row>
    <row r="759" spans="2:9" x14ac:dyDescent="0.35">
      <c r="B759" s="16">
        <f t="shared" si="83"/>
        <v>62.500000000000682</v>
      </c>
      <c r="C759" s="17">
        <f t="shared" si="79"/>
        <v>62.500000000000682</v>
      </c>
      <c r="D759" s="1" cm="1">
        <f t="array" ref="D759">_xlfn.XLOOKUP(_xlfn.FLOOR.MATH(C759),'Mortality Tables'!$B$4:$B$124,_xlfn.XLOOKUP(mortality_table,'Mortality Tables'!$B$3:$G$3,'Mortality Tables'!$B$4:$G$124,0,0),0,0)</f>
        <v>1.0111999999999999E-2</v>
      </c>
      <c r="E759" s="1">
        <f t="shared" si="80"/>
        <v>8.4266666666666659E-4</v>
      </c>
      <c r="F759" s="1">
        <f t="shared" si="84"/>
        <v>0.99915733333333334</v>
      </c>
      <c r="G759" s="1">
        <f t="shared" si="85"/>
        <v>0.90158057599313901</v>
      </c>
      <c r="H759" s="34">
        <f t="shared" si="81"/>
        <v>4.7388046738811626E-2</v>
      </c>
      <c r="I759" s="36">
        <f t="shared" si="82"/>
        <v>4.272414247396758E-2</v>
      </c>
    </row>
    <row r="760" spans="2:9" x14ac:dyDescent="0.35">
      <c r="B760" s="16">
        <f t="shared" si="83"/>
        <v>62.583333333334018</v>
      </c>
      <c r="C760" s="17">
        <f t="shared" si="79"/>
        <v>62.583333333334018</v>
      </c>
      <c r="D760" s="1" cm="1">
        <f t="array" ref="D760">_xlfn.XLOOKUP(_xlfn.FLOOR.MATH(C760),'Mortality Tables'!$B$4:$B$124,_xlfn.XLOOKUP(mortality_table,'Mortality Tables'!$B$3:$G$3,'Mortality Tables'!$B$4:$G$124,0,0),0,0)</f>
        <v>1.0111999999999999E-2</v>
      </c>
      <c r="E760" s="1">
        <f t="shared" si="80"/>
        <v>8.4266666666666659E-4</v>
      </c>
      <c r="F760" s="1">
        <f t="shared" si="84"/>
        <v>0.99915733333333334</v>
      </c>
      <c r="G760" s="1">
        <f t="shared" si="85"/>
        <v>0.90082084409443541</v>
      </c>
      <c r="H760" s="34">
        <f t="shared" si="81"/>
        <v>4.7195765348716924E-2</v>
      </c>
      <c r="I760" s="36">
        <f t="shared" si="82"/>
        <v>4.2514929179114085E-2</v>
      </c>
    </row>
    <row r="761" spans="2:9" x14ac:dyDescent="0.35">
      <c r="B761" s="16">
        <f t="shared" si="83"/>
        <v>62.666666666667354</v>
      </c>
      <c r="C761" s="17">
        <f t="shared" si="79"/>
        <v>62.666666666667354</v>
      </c>
      <c r="D761" s="1" cm="1">
        <f t="array" ref="D761">_xlfn.XLOOKUP(_xlfn.FLOOR.MATH(C761),'Mortality Tables'!$B$4:$B$124,_xlfn.XLOOKUP(mortality_table,'Mortality Tables'!$B$3:$G$3,'Mortality Tables'!$B$4:$G$124,0,0),0,0)</f>
        <v>1.0111999999999999E-2</v>
      </c>
      <c r="E761" s="1">
        <f t="shared" si="80"/>
        <v>8.4266666666666659E-4</v>
      </c>
      <c r="F761" s="1">
        <f t="shared" si="84"/>
        <v>0.99915733333333334</v>
      </c>
      <c r="G761" s="1">
        <f t="shared" si="85"/>
        <v>0.90006175239647856</v>
      </c>
      <c r="H761" s="34">
        <f t="shared" si="81"/>
        <v>4.7004264158177204E-2</v>
      </c>
      <c r="I761" s="36">
        <f t="shared" si="82"/>
        <v>4.2306740368315963E-2</v>
      </c>
    </row>
    <row r="762" spans="2:9" x14ac:dyDescent="0.35">
      <c r="B762" s="16">
        <f t="shared" si="83"/>
        <v>62.750000000000689</v>
      </c>
      <c r="C762" s="17">
        <f t="shared" si="79"/>
        <v>62.750000000000689</v>
      </c>
      <c r="D762" s="1" cm="1">
        <f t="array" ref="D762">_xlfn.XLOOKUP(_xlfn.FLOOR.MATH(C762),'Mortality Tables'!$B$4:$B$124,_xlfn.XLOOKUP(mortality_table,'Mortality Tables'!$B$3:$G$3,'Mortality Tables'!$B$4:$G$124,0,0),0,0)</f>
        <v>1.0111999999999999E-2</v>
      </c>
      <c r="E762" s="1">
        <f t="shared" si="80"/>
        <v>8.4266666666666659E-4</v>
      </c>
      <c r="F762" s="1">
        <f t="shared" si="84"/>
        <v>0.99915733333333334</v>
      </c>
      <c r="G762" s="1">
        <f t="shared" si="85"/>
        <v>0.89930330035979245</v>
      </c>
      <c r="H762" s="34">
        <f t="shared" si="81"/>
        <v>4.6813540001460471E-2</v>
      </c>
      <c r="I762" s="36">
        <f t="shared" si="82"/>
        <v>4.2099571024838564E-2</v>
      </c>
    </row>
    <row r="763" spans="2:9" x14ac:dyDescent="0.35">
      <c r="B763" s="16">
        <f t="shared" si="83"/>
        <v>62.833333333334025</v>
      </c>
      <c r="C763" s="17">
        <f t="shared" si="79"/>
        <v>62.833333333334025</v>
      </c>
      <c r="D763" s="1" cm="1">
        <f t="array" ref="D763">_xlfn.XLOOKUP(_xlfn.FLOOR.MATH(C763),'Mortality Tables'!$B$4:$B$124,_xlfn.XLOOKUP(mortality_table,'Mortality Tables'!$B$3:$G$3,'Mortality Tables'!$B$4:$G$124,0,0),0,0)</f>
        <v>1.0111999999999999E-2</v>
      </c>
      <c r="E763" s="1">
        <f t="shared" si="80"/>
        <v>8.4266666666666659E-4</v>
      </c>
      <c r="F763" s="1">
        <f t="shared" si="84"/>
        <v>0.99915733333333334</v>
      </c>
      <c r="G763" s="1">
        <f t="shared" si="85"/>
        <v>0.89854548744535589</v>
      </c>
      <c r="H763" s="34">
        <f t="shared" si="81"/>
        <v>4.6623589725680009E-2</v>
      </c>
      <c r="I763" s="36">
        <f t="shared" si="82"/>
        <v>4.189341615651343E-2</v>
      </c>
    </row>
    <row r="764" spans="2:9" x14ac:dyDescent="0.35">
      <c r="B764" s="16">
        <f t="shared" si="83"/>
        <v>62.916666666667361</v>
      </c>
      <c r="C764" s="17">
        <f t="shared" si="79"/>
        <v>62.916666666667361</v>
      </c>
      <c r="D764" s="1" cm="1">
        <f t="array" ref="D764">_xlfn.XLOOKUP(_xlfn.FLOOR.MATH(C764),'Mortality Tables'!$B$4:$B$124,_xlfn.XLOOKUP(mortality_table,'Mortality Tables'!$B$3:$G$3,'Mortality Tables'!$B$4:$G$124,0,0),0,0)</f>
        <v>1.0111999999999999E-2</v>
      </c>
      <c r="E764" s="1">
        <f t="shared" si="80"/>
        <v>8.4266666666666659E-4</v>
      </c>
      <c r="F764" s="1">
        <f t="shared" si="84"/>
        <v>0.99915733333333334</v>
      </c>
      <c r="G764" s="1">
        <f t="shared" si="85"/>
        <v>0.89778831311460194</v>
      </c>
      <c r="H764" s="34">
        <f t="shared" si="81"/>
        <v>4.6434410190742216E-2</v>
      </c>
      <c r="I764" s="36">
        <f t="shared" si="82"/>
        <v>4.1688270795617939E-2</v>
      </c>
    </row>
    <row r="765" spans="2:9" x14ac:dyDescent="0.35">
      <c r="B765" s="16">
        <f t="shared" si="83"/>
        <v>63.000000000000696</v>
      </c>
      <c r="C765" s="17">
        <f t="shared" si="79"/>
        <v>63.000000000000696</v>
      </c>
      <c r="D765" s="1" cm="1">
        <f t="array" ref="D765">_xlfn.XLOOKUP(_xlfn.FLOOR.MATH(C765),'Mortality Tables'!$B$4:$B$124,_xlfn.XLOOKUP(mortality_table,'Mortality Tables'!$B$3:$G$3,'Mortality Tables'!$B$4:$G$124,0,0),0,0)</f>
        <v>1.1344E-2</v>
      </c>
      <c r="E765" s="1">
        <f t="shared" si="80"/>
        <v>9.4533333333333329E-4</v>
      </c>
      <c r="F765" s="1">
        <f t="shared" si="84"/>
        <v>0.99905466666666665</v>
      </c>
      <c r="G765" s="1">
        <f t="shared" si="85"/>
        <v>0.89703177682941737</v>
      </c>
      <c r="H765" s="34">
        <f t="shared" si="81"/>
        <v>4.6245998269294722E-2</v>
      </c>
      <c r="I765" s="36">
        <f t="shared" si="82"/>
        <v>4.1484129998755608E-2</v>
      </c>
    </row>
    <row r="766" spans="2:9" x14ac:dyDescent="0.35">
      <c r="B766" s="16">
        <f t="shared" si="83"/>
        <v>63.083333333334032</v>
      </c>
      <c r="C766" s="17">
        <f t="shared" si="79"/>
        <v>63.083333333334032</v>
      </c>
      <c r="D766" s="1" cm="1">
        <f t="array" ref="D766">_xlfn.XLOOKUP(_xlfn.FLOOR.MATH(C766),'Mortality Tables'!$B$4:$B$124,_xlfn.XLOOKUP(mortality_table,'Mortality Tables'!$B$3:$G$3,'Mortality Tables'!$B$4:$G$124,0,0),0,0)</f>
        <v>1.1344E-2</v>
      </c>
      <c r="E766" s="1">
        <f t="shared" si="80"/>
        <v>9.4533333333333329E-4</v>
      </c>
      <c r="F766" s="1">
        <f t="shared" si="84"/>
        <v>0.99905466666666665</v>
      </c>
      <c r="G766" s="1">
        <f t="shared" si="85"/>
        <v>0.89618378278972133</v>
      </c>
      <c r="H766" s="34">
        <f t="shared" si="81"/>
        <v>4.6058350846674659E-2</v>
      </c>
      <c r="I766" s="36">
        <f t="shared" si="82"/>
        <v>4.1276747090829062E-2</v>
      </c>
    </row>
    <row r="767" spans="2:9" x14ac:dyDescent="0.35">
      <c r="B767" s="16">
        <f t="shared" si="83"/>
        <v>63.166666666667368</v>
      </c>
      <c r="C767" s="17">
        <f t="shared" si="79"/>
        <v>63.166666666667368</v>
      </c>
      <c r="D767" s="1" cm="1">
        <f t="array" ref="D767">_xlfn.XLOOKUP(_xlfn.FLOOR.MATH(C767),'Mortality Tables'!$B$4:$B$124,_xlfn.XLOOKUP(mortality_table,'Mortality Tables'!$B$3:$G$3,'Mortality Tables'!$B$4:$G$124,0,0),0,0)</f>
        <v>1.1344E-2</v>
      </c>
      <c r="E767" s="1">
        <f t="shared" si="80"/>
        <v>9.4533333333333329E-4</v>
      </c>
      <c r="F767" s="1">
        <f t="shared" si="84"/>
        <v>0.99905466666666665</v>
      </c>
      <c r="G767" s="1">
        <f t="shared" si="85"/>
        <v>0.89533659038705737</v>
      </c>
      <c r="H767" s="34">
        <f t="shared" si="81"/>
        <v>4.5871464820857216E-2</v>
      </c>
      <c r="I767" s="36">
        <f t="shared" si="82"/>
        <v>4.1070400908766153E-2</v>
      </c>
    </row>
    <row r="768" spans="2:9" x14ac:dyDescent="0.35">
      <c r="B768" s="16">
        <f t="shared" si="83"/>
        <v>63.250000000000703</v>
      </c>
      <c r="C768" s="17">
        <f t="shared" si="79"/>
        <v>63.250000000000703</v>
      </c>
      <c r="D768" s="1" cm="1">
        <f t="array" ref="D768">_xlfn.XLOOKUP(_xlfn.FLOOR.MATH(C768),'Mortality Tables'!$B$4:$B$124,_xlfn.XLOOKUP(mortality_table,'Mortality Tables'!$B$3:$G$3,'Mortality Tables'!$B$4:$G$124,0,0),0,0)</f>
        <v>1.1344E-2</v>
      </c>
      <c r="E768" s="1">
        <f t="shared" si="80"/>
        <v>9.4533333333333329E-4</v>
      </c>
      <c r="F768" s="1">
        <f t="shared" si="84"/>
        <v>0.99905466666666665</v>
      </c>
      <c r="G768" s="1">
        <f t="shared" si="85"/>
        <v>0.89449019886361147</v>
      </c>
      <c r="H768" s="34">
        <f t="shared" si="81"/>
        <v>4.5685337102404328E-2</v>
      </c>
      <c r="I768" s="36">
        <f t="shared" si="82"/>
        <v>4.0865086269880772E-2</v>
      </c>
    </row>
    <row r="769" spans="2:9" x14ac:dyDescent="0.35">
      <c r="B769" s="16">
        <f t="shared" si="83"/>
        <v>63.333333333334039</v>
      </c>
      <c r="C769" s="17">
        <f t="shared" si="79"/>
        <v>63.333333333334039</v>
      </c>
      <c r="D769" s="1" cm="1">
        <f t="array" ref="D769">_xlfn.XLOOKUP(_xlfn.FLOOR.MATH(C769),'Mortality Tables'!$B$4:$B$124,_xlfn.XLOOKUP(mortality_table,'Mortality Tables'!$B$3:$G$3,'Mortality Tables'!$B$4:$G$124,0,0),0,0)</f>
        <v>1.1344E-2</v>
      </c>
      <c r="E769" s="1">
        <f t="shared" si="80"/>
        <v>9.4533333333333329E-4</v>
      </c>
      <c r="F769" s="1">
        <f t="shared" si="84"/>
        <v>0.99905466666666665</v>
      </c>
      <c r="G769" s="1">
        <f t="shared" si="85"/>
        <v>0.89364460746228569</v>
      </c>
      <c r="H769" s="34">
        <f t="shared" si="81"/>
        <v>4.5499964614413579E-2</v>
      </c>
      <c r="I769" s="36">
        <f t="shared" si="82"/>
        <v>4.0660798017395514E-2</v>
      </c>
    </row>
    <row r="770" spans="2:9" x14ac:dyDescent="0.35">
      <c r="B770" s="16">
        <f t="shared" si="83"/>
        <v>63.416666666667375</v>
      </c>
      <c r="C770" s="17">
        <f t="shared" si="79"/>
        <v>63.416666666667375</v>
      </c>
      <c r="D770" s="1" cm="1">
        <f t="array" ref="D770">_xlfn.XLOOKUP(_xlfn.FLOOR.MATH(C770),'Mortality Tables'!$B$4:$B$124,_xlfn.XLOOKUP(mortality_table,'Mortality Tables'!$B$3:$G$3,'Mortality Tables'!$B$4:$G$124,0,0),0,0)</f>
        <v>1.1344E-2</v>
      </c>
      <c r="E770" s="1">
        <f t="shared" si="80"/>
        <v>9.4533333333333329E-4</v>
      </c>
      <c r="F770" s="1">
        <f t="shared" si="84"/>
        <v>0.99905466666666665</v>
      </c>
      <c r="G770" s="1">
        <f t="shared" si="85"/>
        <v>0.89279981542669795</v>
      </c>
      <c r="H770" s="34">
        <f t="shared" si="81"/>
        <v>4.5315344292467426E-2</v>
      </c>
      <c r="I770" s="36">
        <f t="shared" si="82"/>
        <v>4.0457531020312187E-2</v>
      </c>
    </row>
    <row r="771" spans="2:9" x14ac:dyDescent="0.35">
      <c r="B771" s="16">
        <f t="shared" si="83"/>
        <v>63.500000000000711</v>
      </c>
      <c r="C771" s="17">
        <f t="shared" si="79"/>
        <v>63.500000000000711</v>
      </c>
      <c r="D771" s="1" cm="1">
        <f t="array" ref="D771">_xlfn.XLOOKUP(_xlfn.FLOOR.MATH(C771),'Mortality Tables'!$B$4:$B$124,_xlfn.XLOOKUP(mortality_table,'Mortality Tables'!$B$3:$G$3,'Mortality Tables'!$B$4:$G$124,0,0),0,0)</f>
        <v>1.1344E-2</v>
      </c>
      <c r="E771" s="1">
        <f t="shared" si="80"/>
        <v>9.4533333333333329E-4</v>
      </c>
      <c r="F771" s="1">
        <f t="shared" si="84"/>
        <v>0.99905466666666665</v>
      </c>
      <c r="G771" s="1">
        <f t="shared" si="85"/>
        <v>0.89195582200118118</v>
      </c>
      <c r="H771" s="34">
        <f t="shared" si="81"/>
        <v>4.5131473084582437E-2</v>
      </c>
      <c r="I771" s="36">
        <f t="shared" si="82"/>
        <v>4.0255280173282913E-2</v>
      </c>
    </row>
    <row r="772" spans="2:9" x14ac:dyDescent="0.35">
      <c r="B772" s="16">
        <f t="shared" si="83"/>
        <v>63.583333333334046</v>
      </c>
      <c r="C772" s="17">
        <f t="shared" si="79"/>
        <v>63.583333333334046</v>
      </c>
      <c r="D772" s="1" cm="1">
        <f t="array" ref="D772">_xlfn.XLOOKUP(_xlfn.FLOOR.MATH(C772),'Mortality Tables'!$B$4:$B$124,_xlfn.XLOOKUP(mortality_table,'Mortality Tables'!$B$3:$G$3,'Mortality Tables'!$B$4:$G$124,0,0),0,0)</f>
        <v>1.1344E-2</v>
      </c>
      <c r="E772" s="1">
        <f t="shared" si="80"/>
        <v>9.4533333333333329E-4</v>
      </c>
      <c r="F772" s="1">
        <f t="shared" si="84"/>
        <v>0.99905466666666665</v>
      </c>
      <c r="G772" s="1">
        <f t="shared" si="85"/>
        <v>0.89111262643078271</v>
      </c>
      <c r="H772" s="34">
        <f t="shared" si="81"/>
        <v>4.4948347951158908E-2</v>
      </c>
      <c r="I772" s="36">
        <f t="shared" si="82"/>
        <v>4.0054040396481902E-2</v>
      </c>
    </row>
    <row r="773" spans="2:9" x14ac:dyDescent="0.35">
      <c r="B773" s="16">
        <f t="shared" si="83"/>
        <v>63.666666666667382</v>
      </c>
      <c r="C773" s="17">
        <f t="shared" si="79"/>
        <v>63.666666666667382</v>
      </c>
      <c r="D773" s="1" cm="1">
        <f t="array" ref="D773">_xlfn.XLOOKUP(_xlfn.FLOOR.MATH(C773),'Mortality Tables'!$B$4:$B$124,_xlfn.XLOOKUP(mortality_table,'Mortality Tables'!$B$3:$G$3,'Mortality Tables'!$B$4:$G$124,0,0),0,0)</f>
        <v>1.1344E-2</v>
      </c>
      <c r="E773" s="1">
        <f t="shared" si="80"/>
        <v>9.4533333333333329E-4</v>
      </c>
      <c r="F773" s="1">
        <f t="shared" si="84"/>
        <v>0.99905466666666665</v>
      </c>
      <c r="G773" s="1">
        <f t="shared" si="85"/>
        <v>0.89027022796126343</v>
      </c>
      <c r="H773" s="34">
        <f t="shared" si="81"/>
        <v>4.4765965864930604E-2</v>
      </c>
      <c r="I773" s="36">
        <f t="shared" si="82"/>
        <v>3.9853806635477905E-2</v>
      </c>
    </row>
    <row r="774" spans="2:9" x14ac:dyDescent="0.35">
      <c r="B774" s="16">
        <f t="shared" si="83"/>
        <v>63.750000000000718</v>
      </c>
      <c r="C774" s="17">
        <f t="shared" si="79"/>
        <v>63.750000000000718</v>
      </c>
      <c r="D774" s="1" cm="1">
        <f t="array" ref="D774">_xlfn.XLOOKUP(_xlfn.FLOOR.MATH(C774),'Mortality Tables'!$B$4:$B$124,_xlfn.XLOOKUP(mortality_table,'Mortality Tables'!$B$3:$G$3,'Mortality Tables'!$B$4:$G$124,0,0),0,0)</f>
        <v>1.1344E-2</v>
      </c>
      <c r="E774" s="1">
        <f t="shared" si="80"/>
        <v>9.4533333333333329E-4</v>
      </c>
      <c r="F774" s="1">
        <f t="shared" si="84"/>
        <v>0.99905466666666665</v>
      </c>
      <c r="G774" s="1">
        <f t="shared" si="85"/>
        <v>0.88942862583909732</v>
      </c>
      <c r="H774" s="34">
        <f t="shared" si="81"/>
        <v>4.4584323810914671E-2</v>
      </c>
      <c r="I774" s="36">
        <f t="shared" si="82"/>
        <v>3.9654573861107184E-2</v>
      </c>
    </row>
    <row r="775" spans="2:9" x14ac:dyDescent="0.35">
      <c r="B775" s="16">
        <f t="shared" si="83"/>
        <v>63.833333333334053</v>
      </c>
      <c r="C775" s="17">
        <f t="shared" si="79"/>
        <v>63.833333333334053</v>
      </c>
      <c r="D775" s="1" cm="1">
        <f t="array" ref="D775">_xlfn.XLOOKUP(_xlfn.FLOOR.MATH(C775),'Mortality Tables'!$B$4:$B$124,_xlfn.XLOOKUP(mortality_table,'Mortality Tables'!$B$3:$G$3,'Mortality Tables'!$B$4:$G$124,0,0),0,0)</f>
        <v>1.1344E-2</v>
      </c>
      <c r="E775" s="1">
        <f t="shared" si="80"/>
        <v>9.4533333333333329E-4</v>
      </c>
      <c r="F775" s="1">
        <f t="shared" si="84"/>
        <v>0.99905466666666665</v>
      </c>
      <c r="G775" s="1">
        <f t="shared" si="85"/>
        <v>0.88858781931147079</v>
      </c>
      <c r="H775" s="34">
        <f t="shared" si="81"/>
        <v>4.4403418786361851E-2</v>
      </c>
      <c r="I775" s="36">
        <f t="shared" si="82"/>
        <v>3.9456337069347272E-2</v>
      </c>
    </row>
    <row r="776" spans="2:9" x14ac:dyDescent="0.35">
      <c r="B776" s="16">
        <f t="shared" si="83"/>
        <v>63.916666666667389</v>
      </c>
      <c r="C776" s="17">
        <f t="shared" si="79"/>
        <v>63.916666666667389</v>
      </c>
      <c r="D776" s="1" cm="1">
        <f t="array" ref="D776">_xlfn.XLOOKUP(_xlfn.FLOOR.MATH(C776),'Mortality Tables'!$B$4:$B$124,_xlfn.XLOOKUP(mortality_table,'Mortality Tables'!$B$3:$G$3,'Mortality Tables'!$B$4:$G$124,0,0),0,0)</f>
        <v>1.1344E-2</v>
      </c>
      <c r="E776" s="1">
        <f t="shared" si="80"/>
        <v>9.4533333333333329E-4</v>
      </c>
      <c r="F776" s="1">
        <f t="shared" si="84"/>
        <v>0.99905466666666665</v>
      </c>
      <c r="G776" s="1">
        <f t="shared" si="85"/>
        <v>0.88774780762628169</v>
      </c>
      <c r="H776" s="34">
        <f t="shared" si="81"/>
        <v>4.4223247800706814E-2</v>
      </c>
      <c r="I776" s="36">
        <f t="shared" si="82"/>
        <v>3.9259091281191261E-2</v>
      </c>
    </row>
    <row r="777" spans="2:9" x14ac:dyDescent="0.35">
      <c r="B777" s="16">
        <f t="shared" si="83"/>
        <v>64.000000000000725</v>
      </c>
      <c r="C777" s="17">
        <f t="shared" ref="C777:C840" si="86">current_age+B777</f>
        <v>64.000000000000725</v>
      </c>
      <c r="D777" s="1" cm="1">
        <f t="array" ref="D777">_xlfn.XLOOKUP(_xlfn.FLOOR.MATH(C777),'Mortality Tables'!$B$4:$B$124,_xlfn.XLOOKUP(mortality_table,'Mortality Tables'!$B$3:$G$3,'Mortality Tables'!$B$4:$G$124,0,0),0,0)</f>
        <v>1.2716E-2</v>
      </c>
      <c r="E777" s="1">
        <f t="shared" ref="E777:E840" si="87">$F$5*D777</f>
        <v>1.0596666666666667E-3</v>
      </c>
      <c r="F777" s="1">
        <f t="shared" si="84"/>
        <v>0.99894033333333332</v>
      </c>
      <c r="G777" s="1">
        <f t="shared" si="85"/>
        <v>0.88690859003213895</v>
      </c>
      <c r="H777" s="34">
        <f t="shared" ref="H777:H840" si="88">(1+interest_rate)^-(B777)</f>
        <v>4.4043807875518717E-2</v>
      </c>
      <c r="I777" s="36">
        <f t="shared" ref="I777:I840" si="89">IF(current_age+B777&lt;=$C$5,G777*H777,0)</f>
        <v>3.906283154252272E-2</v>
      </c>
    </row>
    <row r="778" spans="2:9" x14ac:dyDescent="0.35">
      <c r="B778" s="16">
        <f t="shared" ref="B778:B841" si="90">B777+$F$5</f>
        <v>64.083333333334053</v>
      </c>
      <c r="C778" s="17">
        <f t="shared" si="86"/>
        <v>64.083333333334053</v>
      </c>
      <c r="D778" s="1" cm="1">
        <f t="array" ref="D778">_xlfn.XLOOKUP(_xlfn.FLOOR.MATH(C778),'Mortality Tables'!$B$4:$B$124,_xlfn.XLOOKUP(mortality_table,'Mortality Tables'!$B$3:$G$3,'Mortality Tables'!$B$4:$G$124,0,0),0,0)</f>
        <v>1.2716E-2</v>
      </c>
      <c r="E778" s="1">
        <f t="shared" si="87"/>
        <v>1.0596666666666667E-3</v>
      </c>
      <c r="F778" s="1">
        <f t="shared" si="84"/>
        <v>0.99894033333333332</v>
      </c>
      <c r="G778" s="1">
        <f t="shared" si="85"/>
        <v>0.88596876256290158</v>
      </c>
      <c r="H778" s="34">
        <f t="shared" si="88"/>
        <v>4.3865096044452011E-2</v>
      </c>
      <c r="I778" s="36">
        <f t="shared" si="89"/>
        <v>3.8863104862205976E-2</v>
      </c>
    </row>
    <row r="779" spans="2:9" x14ac:dyDescent="0.35">
      <c r="B779" s="16">
        <f t="shared" si="90"/>
        <v>64.166666666667382</v>
      </c>
      <c r="C779" s="17">
        <f t="shared" si="86"/>
        <v>64.166666666667382</v>
      </c>
      <c r="D779" s="1" cm="1">
        <f t="array" ref="D779">_xlfn.XLOOKUP(_xlfn.FLOOR.MATH(C779),'Mortality Tables'!$B$4:$B$124,_xlfn.XLOOKUP(mortality_table,'Mortality Tables'!$B$3:$G$3,'Mortality Tables'!$B$4:$G$124,0,0),0,0)</f>
        <v>1.2716E-2</v>
      </c>
      <c r="E779" s="1">
        <f t="shared" si="87"/>
        <v>1.0596666666666667E-3</v>
      </c>
      <c r="F779" s="1">
        <f t="shared" si="84"/>
        <v>0.99894033333333332</v>
      </c>
      <c r="G779" s="1">
        <f t="shared" si="85"/>
        <v>0.88502993099750571</v>
      </c>
      <c r="H779" s="34">
        <f t="shared" si="88"/>
        <v>4.368710935319732E-2</v>
      </c>
      <c r="I779" s="36">
        <f t="shared" si="89"/>
        <v>3.8664399376340711E-2</v>
      </c>
    </row>
    <row r="780" spans="2:9" x14ac:dyDescent="0.35">
      <c r="B780" s="16">
        <f t="shared" si="90"/>
        <v>64.250000000000711</v>
      </c>
      <c r="C780" s="17">
        <f t="shared" si="86"/>
        <v>64.250000000000711</v>
      </c>
      <c r="D780" s="1" cm="1">
        <f t="array" ref="D780">_xlfn.XLOOKUP(_xlfn.FLOOR.MATH(C780),'Mortality Tables'!$B$4:$B$124,_xlfn.XLOOKUP(mortality_table,'Mortality Tables'!$B$3:$G$3,'Mortality Tables'!$B$4:$G$124,0,0),0,0)</f>
        <v>1.2716E-2</v>
      </c>
      <c r="E780" s="1">
        <f t="shared" si="87"/>
        <v>1.0596666666666667E-3</v>
      </c>
      <c r="F780" s="1">
        <f t="shared" si="84"/>
        <v>0.99894033333333332</v>
      </c>
      <c r="G780" s="1">
        <f t="shared" si="85"/>
        <v>0.8840920942806253</v>
      </c>
      <c r="H780" s="34">
        <f t="shared" si="88"/>
        <v>4.350984485943267E-2</v>
      </c>
      <c r="I780" s="36">
        <f t="shared" si="89"/>
        <v>3.8466709863600929E-2</v>
      </c>
    </row>
    <row r="781" spans="2:9" x14ac:dyDescent="0.35">
      <c r="B781" s="16">
        <f t="shared" si="90"/>
        <v>64.333333333334039</v>
      </c>
      <c r="C781" s="17">
        <f t="shared" si="86"/>
        <v>64.333333333334039</v>
      </c>
      <c r="D781" s="1" cm="1">
        <f t="array" ref="D781">_xlfn.XLOOKUP(_xlfn.FLOOR.MATH(C781),'Mortality Tables'!$B$4:$B$124,_xlfn.XLOOKUP(mortality_table,'Mortality Tables'!$B$3:$G$3,'Mortality Tables'!$B$4:$G$124,0,0),0,0)</f>
        <v>1.2716E-2</v>
      </c>
      <c r="E781" s="1">
        <f t="shared" si="87"/>
        <v>1.0596666666666667E-3</v>
      </c>
      <c r="F781" s="1">
        <f t="shared" si="84"/>
        <v>0.99894033333333332</v>
      </c>
      <c r="G781" s="1">
        <f t="shared" si="85"/>
        <v>0.88315525135805262</v>
      </c>
      <c r="H781" s="34">
        <f t="shared" si="88"/>
        <v>4.3333299632774831E-2</v>
      </c>
      <c r="I781" s="36">
        <f t="shared" si="89"/>
        <v>3.8270031129357063E-2</v>
      </c>
    </row>
    <row r="782" spans="2:9" x14ac:dyDescent="0.35">
      <c r="B782" s="16">
        <f t="shared" si="90"/>
        <v>64.416666666667368</v>
      </c>
      <c r="C782" s="17">
        <f t="shared" si="86"/>
        <v>64.416666666667368</v>
      </c>
      <c r="D782" s="1" cm="1">
        <f t="array" ref="D782">_xlfn.XLOOKUP(_xlfn.FLOOR.MATH(C782),'Mortality Tables'!$B$4:$B$124,_xlfn.XLOOKUP(mortality_table,'Mortality Tables'!$B$3:$G$3,'Mortality Tables'!$B$4:$G$124,0,0),0,0)</f>
        <v>1.2716E-2</v>
      </c>
      <c r="E782" s="1">
        <f t="shared" si="87"/>
        <v>1.0596666666666667E-3</v>
      </c>
      <c r="F782" s="1">
        <f t="shared" si="84"/>
        <v>0.99894033333333332</v>
      </c>
      <c r="G782" s="1">
        <f t="shared" si="85"/>
        <v>0.88221940117669684</v>
      </c>
      <c r="H782" s="34">
        <f t="shared" si="88"/>
        <v>4.3157470754730892E-2</v>
      </c>
      <c r="I782" s="36">
        <f t="shared" si="89"/>
        <v>3.8074358005539495E-2</v>
      </c>
    </row>
    <row r="783" spans="2:9" x14ac:dyDescent="0.35">
      <c r="B783" s="16">
        <f t="shared" si="90"/>
        <v>64.500000000000696</v>
      </c>
      <c r="C783" s="17">
        <f t="shared" si="86"/>
        <v>64.500000000000696</v>
      </c>
      <c r="D783" s="1" cm="1">
        <f t="array" ref="D783">_xlfn.XLOOKUP(_xlfn.FLOOR.MATH(C783),'Mortality Tables'!$B$4:$B$124,_xlfn.XLOOKUP(mortality_table,'Mortality Tables'!$B$3:$G$3,'Mortality Tables'!$B$4:$G$124,0,0),0,0)</f>
        <v>1.2716E-2</v>
      </c>
      <c r="E783" s="1">
        <f t="shared" si="87"/>
        <v>1.0596666666666667E-3</v>
      </c>
      <c r="F783" s="1">
        <f t="shared" si="84"/>
        <v>0.99894033333333332</v>
      </c>
      <c r="G783" s="1">
        <f t="shared" si="85"/>
        <v>0.88128454268458323</v>
      </c>
      <c r="H783" s="34">
        <f t="shared" si="88"/>
        <v>4.2982355318649967E-2</v>
      </c>
      <c r="I783" s="36">
        <f t="shared" si="89"/>
        <v>3.78796853505027E-2</v>
      </c>
    </row>
    <row r="784" spans="2:9" x14ac:dyDescent="0.35">
      <c r="B784" s="16">
        <f t="shared" si="90"/>
        <v>64.583333333334025</v>
      </c>
      <c r="C784" s="17">
        <f t="shared" si="86"/>
        <v>64.583333333334025</v>
      </c>
      <c r="D784" s="1" cm="1">
        <f t="array" ref="D784">_xlfn.XLOOKUP(_xlfn.FLOOR.MATH(C784),'Mortality Tables'!$B$4:$B$124,_xlfn.XLOOKUP(mortality_table,'Mortality Tables'!$B$3:$G$3,'Mortality Tables'!$B$4:$G$124,0,0),0,0)</f>
        <v>1.2716E-2</v>
      </c>
      <c r="E784" s="1">
        <f t="shared" si="87"/>
        <v>1.0596666666666667E-3</v>
      </c>
      <c r="F784" s="1">
        <f t="shared" si="84"/>
        <v>0.99894033333333332</v>
      </c>
      <c r="G784" s="1">
        <f t="shared" si="85"/>
        <v>0.88035067483085183</v>
      </c>
      <c r="H784" s="34">
        <f t="shared" si="88"/>
        <v>4.2807950429675189E-2</v>
      </c>
      <c r="I784" s="36">
        <f t="shared" si="89"/>
        <v>3.7686008048890204E-2</v>
      </c>
    </row>
    <row r="785" spans="2:9" x14ac:dyDescent="0.35">
      <c r="B785" s="16">
        <f t="shared" si="90"/>
        <v>64.666666666667354</v>
      </c>
      <c r="C785" s="17">
        <f t="shared" si="86"/>
        <v>64.666666666667354</v>
      </c>
      <c r="D785" s="1" cm="1">
        <f t="array" ref="D785">_xlfn.XLOOKUP(_xlfn.FLOOR.MATH(C785),'Mortality Tables'!$B$4:$B$124,_xlfn.XLOOKUP(mortality_table,'Mortality Tables'!$B$3:$G$3,'Mortality Tables'!$B$4:$G$124,0,0),0,0)</f>
        <v>1.2716E-2</v>
      </c>
      <c r="E785" s="1">
        <f t="shared" si="87"/>
        <v>1.0596666666666667E-3</v>
      </c>
      <c r="F785" s="1">
        <f t="shared" si="84"/>
        <v>0.99894033333333332</v>
      </c>
      <c r="G785" s="1">
        <f t="shared" si="85"/>
        <v>0.87941779656575603</v>
      </c>
      <c r="H785" s="34">
        <f t="shared" si="88"/>
        <v>4.2634253204695861E-2</v>
      </c>
      <c r="I785" s="36">
        <f t="shared" si="89"/>
        <v>3.7493321011500158E-2</v>
      </c>
    </row>
    <row r="786" spans="2:9" x14ac:dyDescent="0.35">
      <c r="B786" s="16">
        <f t="shared" si="90"/>
        <v>64.750000000000682</v>
      </c>
      <c r="C786" s="17">
        <f t="shared" si="86"/>
        <v>64.750000000000682</v>
      </c>
      <c r="D786" s="1" cm="1">
        <f t="array" ref="D786">_xlfn.XLOOKUP(_xlfn.FLOOR.MATH(C786),'Mortality Tables'!$B$4:$B$124,_xlfn.XLOOKUP(mortality_table,'Mortality Tables'!$B$3:$G$3,'Mortality Tables'!$B$4:$G$124,0,0),0,0)</f>
        <v>1.2716E-2</v>
      </c>
      <c r="E786" s="1">
        <f t="shared" si="87"/>
        <v>1.0596666666666667E-3</v>
      </c>
      <c r="F786" s="1">
        <f t="shared" si="84"/>
        <v>0.99894033333333332</v>
      </c>
      <c r="G786" s="1">
        <f t="shared" si="85"/>
        <v>0.87848590684066186</v>
      </c>
      <c r="H786" s="34">
        <f t="shared" si="88"/>
        <v>4.2461260772299753E-2</v>
      </c>
      <c r="I786" s="36">
        <f t="shared" si="89"/>
        <v>3.7301619175151568E-2</v>
      </c>
    </row>
    <row r="787" spans="2:9" x14ac:dyDescent="0.35">
      <c r="B787" s="16">
        <f t="shared" si="90"/>
        <v>64.833333333334011</v>
      </c>
      <c r="C787" s="17">
        <f t="shared" si="86"/>
        <v>64.833333333334011</v>
      </c>
      <c r="D787" s="1" cm="1">
        <f t="array" ref="D787">_xlfn.XLOOKUP(_xlfn.FLOOR.MATH(C787),'Mortality Tables'!$B$4:$B$124,_xlfn.XLOOKUP(mortality_table,'Mortality Tables'!$B$3:$G$3,'Mortality Tables'!$B$4:$G$124,0,0),0,0)</f>
        <v>1.2716E-2</v>
      </c>
      <c r="E787" s="1">
        <f t="shared" si="87"/>
        <v>1.0596666666666667E-3</v>
      </c>
      <c r="F787" s="1">
        <f t="shared" si="84"/>
        <v>0.99894033333333332</v>
      </c>
      <c r="G787" s="1">
        <f t="shared" si="85"/>
        <v>0.87755500460804636</v>
      </c>
      <c r="H787" s="34">
        <f t="shared" si="88"/>
        <v>4.2288970272725664E-2</v>
      </c>
      <c r="I787" s="36">
        <f t="shared" si="89"/>
        <v>3.7110897502551303E-2</v>
      </c>
    </row>
    <row r="788" spans="2:9" x14ac:dyDescent="0.35">
      <c r="B788" s="16">
        <f t="shared" si="90"/>
        <v>64.916666666667339</v>
      </c>
      <c r="C788" s="17">
        <f t="shared" si="86"/>
        <v>64.916666666667339</v>
      </c>
      <c r="D788" s="1" cm="1">
        <f t="array" ref="D788">_xlfn.XLOOKUP(_xlfn.FLOOR.MATH(C788),'Mortality Tables'!$B$4:$B$124,_xlfn.XLOOKUP(mortality_table,'Mortality Tables'!$B$3:$G$3,'Mortality Tables'!$B$4:$G$124,0,0),0,0)</f>
        <v>1.2716E-2</v>
      </c>
      <c r="E788" s="1">
        <f t="shared" si="87"/>
        <v>1.0596666666666667E-3</v>
      </c>
      <c r="F788" s="1">
        <f t="shared" si="84"/>
        <v>0.99894033333333332</v>
      </c>
      <c r="G788" s="1">
        <f t="shared" si="85"/>
        <v>0.8766250888214967</v>
      </c>
      <c r="H788" s="34">
        <f t="shared" si="88"/>
        <v>4.2117378857816114E-2</v>
      </c>
      <c r="I788" s="36">
        <f t="shared" si="89"/>
        <v>3.6921150982161678E-2</v>
      </c>
    </row>
    <row r="789" spans="2:9" x14ac:dyDescent="0.35">
      <c r="B789" s="16">
        <f t="shared" si="90"/>
        <v>65.000000000000668</v>
      </c>
      <c r="C789" s="17">
        <f t="shared" si="86"/>
        <v>65.000000000000668</v>
      </c>
      <c r="D789" s="1" cm="1">
        <f t="array" ref="D789">_xlfn.XLOOKUP(_xlfn.FLOOR.MATH(C789),'Mortality Tables'!$B$4:$B$124,_xlfn.XLOOKUP(mortality_table,'Mortality Tables'!$B$3:$G$3,'Mortality Tables'!$B$4:$G$124,0,0),0,0)</f>
        <v>1.4243E-2</v>
      </c>
      <c r="E789" s="1">
        <f t="shared" si="87"/>
        <v>1.1869166666666666E-3</v>
      </c>
      <c r="F789" s="1">
        <f t="shared" si="84"/>
        <v>0.9988130833333333</v>
      </c>
      <c r="G789" s="1">
        <f t="shared" si="85"/>
        <v>0.8756961584357088</v>
      </c>
      <c r="H789" s="34">
        <f t="shared" si="88"/>
        <v>4.1946483690970336E-2</v>
      </c>
      <c r="I789" s="36">
        <f t="shared" si="89"/>
        <v>3.6732374628068838E-2</v>
      </c>
    </row>
    <row r="790" spans="2:9" x14ac:dyDescent="0.35">
      <c r="B790" s="16">
        <f t="shared" si="90"/>
        <v>65.083333333333997</v>
      </c>
      <c r="C790" s="17">
        <f t="shared" si="86"/>
        <v>65.083333333333997</v>
      </c>
      <c r="D790" s="1" cm="1">
        <f t="array" ref="D790">_xlfn.XLOOKUP(_xlfn.FLOOR.MATH(C790),'Mortality Tables'!$B$4:$B$124,_xlfn.XLOOKUP(mortality_table,'Mortality Tables'!$B$3:$G$3,'Mortality Tables'!$B$4:$G$124,0,0),0,0)</f>
        <v>1.4243E-2</v>
      </c>
      <c r="E790" s="1">
        <f t="shared" si="87"/>
        <v>1.1869166666666666E-3</v>
      </c>
      <c r="F790" s="1">
        <f t="shared" si="84"/>
        <v>0.9988130833333333</v>
      </c>
      <c r="G790" s="1">
        <f t="shared" si="85"/>
        <v>0.87465678007032543</v>
      </c>
      <c r="H790" s="34">
        <f t="shared" si="88"/>
        <v>4.1776281947097274E-2</v>
      </c>
      <c r="I790" s="36">
        <f t="shared" si="89"/>
        <v>3.6539908251158167E-2</v>
      </c>
    </row>
    <row r="791" spans="2:9" x14ac:dyDescent="0.35">
      <c r="B791" s="16">
        <f t="shared" si="90"/>
        <v>65.166666666667325</v>
      </c>
      <c r="C791" s="17">
        <f t="shared" si="86"/>
        <v>65.166666666667325</v>
      </c>
      <c r="D791" s="1" cm="1">
        <f t="array" ref="D791">_xlfn.XLOOKUP(_xlfn.FLOOR.MATH(C791),'Mortality Tables'!$B$4:$B$124,_xlfn.XLOOKUP(mortality_table,'Mortality Tables'!$B$3:$G$3,'Mortality Tables'!$B$4:$G$124,0,0),0,0)</f>
        <v>1.4243E-2</v>
      </c>
      <c r="E791" s="1">
        <f t="shared" si="87"/>
        <v>1.1869166666666666E-3</v>
      </c>
      <c r="F791" s="1">
        <f t="shared" si="84"/>
        <v>0.9988130833333333</v>
      </c>
      <c r="G791" s="1">
        <f t="shared" si="85"/>
        <v>0.87361863536044693</v>
      </c>
      <c r="H791" s="34">
        <f t="shared" si="88"/>
        <v>4.1606770812568999E-2</v>
      </c>
      <c r="I791" s="36">
        <f t="shared" si="89"/>
        <v>3.6348450339031405E-2</v>
      </c>
    </row>
    <row r="792" spans="2:9" x14ac:dyDescent="0.35">
      <c r="B792" s="16">
        <f t="shared" si="90"/>
        <v>65.250000000000654</v>
      </c>
      <c r="C792" s="17">
        <f t="shared" si="86"/>
        <v>65.250000000000654</v>
      </c>
      <c r="D792" s="1" cm="1">
        <f t="array" ref="D792">_xlfn.XLOOKUP(_xlfn.FLOOR.MATH(C792),'Mortality Tables'!$B$4:$B$124,_xlfn.XLOOKUP(mortality_table,'Mortality Tables'!$B$3:$G$3,'Mortality Tables'!$B$4:$G$124,0,0),0,0)</f>
        <v>1.4243E-2</v>
      </c>
      <c r="E792" s="1">
        <f t="shared" si="87"/>
        <v>1.1869166666666666E-3</v>
      </c>
      <c r="F792" s="1">
        <f t="shared" si="84"/>
        <v>0.9988130833333333</v>
      </c>
      <c r="G792" s="1">
        <f t="shared" si="85"/>
        <v>0.872581722841827</v>
      </c>
      <c r="H792" s="34">
        <f t="shared" si="88"/>
        <v>4.1437947485174077E-2</v>
      </c>
      <c r="I792" s="36">
        <f t="shared" si="89"/>
        <v>3.6157995607642351E-2</v>
      </c>
    </row>
    <row r="793" spans="2:9" x14ac:dyDescent="0.35">
      <c r="B793" s="16">
        <f t="shared" si="90"/>
        <v>65.333333333333982</v>
      </c>
      <c r="C793" s="17">
        <f t="shared" si="86"/>
        <v>65.333333333333982</v>
      </c>
      <c r="D793" s="1" cm="1">
        <f t="array" ref="D793">_xlfn.XLOOKUP(_xlfn.FLOOR.MATH(C793),'Mortality Tables'!$B$4:$B$124,_xlfn.XLOOKUP(mortality_table,'Mortality Tables'!$B$3:$G$3,'Mortality Tables'!$B$4:$G$124,0,0),0,0)</f>
        <v>1.4243E-2</v>
      </c>
      <c r="E793" s="1">
        <f t="shared" si="87"/>
        <v>1.1869166666666666E-3</v>
      </c>
      <c r="F793" s="1">
        <f t="shared" si="84"/>
        <v>0.9988130833333333</v>
      </c>
      <c r="G793" s="1">
        <f t="shared" si="85"/>
        <v>0.87154604105195732</v>
      </c>
      <c r="H793" s="34">
        <f t="shared" si="88"/>
        <v>4.126980917407138E-2</v>
      </c>
      <c r="I793" s="36">
        <f t="shared" si="89"/>
        <v>3.5968538800631659E-2</v>
      </c>
    </row>
    <row r="794" spans="2:9" x14ac:dyDescent="0.35">
      <c r="B794" s="16">
        <f t="shared" si="90"/>
        <v>65.416666666667311</v>
      </c>
      <c r="C794" s="17">
        <f t="shared" si="86"/>
        <v>65.416666666667311</v>
      </c>
      <c r="D794" s="1" cm="1">
        <f t="array" ref="D794">_xlfn.XLOOKUP(_xlfn.FLOOR.MATH(C794),'Mortality Tables'!$B$4:$B$124,_xlfn.XLOOKUP(mortality_table,'Mortality Tables'!$B$3:$G$3,'Mortality Tables'!$B$4:$G$124,0,0),0,0)</f>
        <v>1.4243E-2</v>
      </c>
      <c r="E794" s="1">
        <f t="shared" si="87"/>
        <v>1.1869166666666666E-3</v>
      </c>
      <c r="F794" s="1">
        <f t="shared" si="84"/>
        <v>0.9988130833333333</v>
      </c>
      <c r="G794" s="1">
        <f t="shared" si="85"/>
        <v>0.87051158853006538</v>
      </c>
      <c r="H794" s="34">
        <f t="shared" si="88"/>
        <v>4.1102353099743812E-2</v>
      </c>
      <c r="I794" s="36">
        <f t="shared" si="89"/>
        <v>3.5780074689181644E-2</v>
      </c>
    </row>
    <row r="795" spans="2:9" x14ac:dyDescent="0.35">
      <c r="B795" s="16">
        <f t="shared" si="90"/>
        <v>65.500000000000639</v>
      </c>
      <c r="C795" s="17">
        <f t="shared" si="86"/>
        <v>65.500000000000639</v>
      </c>
      <c r="D795" s="1" cm="1">
        <f t="array" ref="D795">_xlfn.XLOOKUP(_xlfn.FLOOR.MATH(C795),'Mortality Tables'!$B$4:$B$124,_xlfn.XLOOKUP(mortality_table,'Mortality Tables'!$B$3:$G$3,'Mortality Tables'!$B$4:$G$124,0,0),0,0)</f>
        <v>1.4243E-2</v>
      </c>
      <c r="E795" s="1">
        <f t="shared" si="87"/>
        <v>1.1869166666666666E-3</v>
      </c>
      <c r="F795" s="1">
        <f t="shared" ref="F795:F858" si="91">1-E795</f>
        <v>0.9988130833333333</v>
      </c>
      <c r="G795" s="1">
        <f t="shared" ref="G795:G858" si="92">G794*F794</f>
        <v>0.86947836381711252</v>
      </c>
      <c r="H795" s="34">
        <f t="shared" si="88"/>
        <v>4.0935576493952457E-2</v>
      </c>
      <c r="I795" s="36">
        <f t="shared" si="89"/>
        <v>3.5592598071872032E-2</v>
      </c>
    </row>
    <row r="796" spans="2:9" x14ac:dyDescent="0.35">
      <c r="B796" s="16">
        <f t="shared" si="90"/>
        <v>65.583333333333968</v>
      </c>
      <c r="C796" s="17">
        <f t="shared" si="86"/>
        <v>65.583333333333968</v>
      </c>
      <c r="D796" s="1" cm="1">
        <f t="array" ref="D796">_xlfn.XLOOKUP(_xlfn.FLOOR.MATH(C796),'Mortality Tables'!$B$4:$B$124,_xlfn.XLOOKUP(mortality_table,'Mortality Tables'!$B$3:$G$3,'Mortality Tables'!$B$4:$G$124,0,0),0,0)</f>
        <v>1.4243E-2</v>
      </c>
      <c r="E796" s="1">
        <f t="shared" si="87"/>
        <v>1.1869166666666666E-3</v>
      </c>
      <c r="F796" s="1">
        <f t="shared" si="91"/>
        <v>0.9988130833333333</v>
      </c>
      <c r="G796" s="1">
        <f t="shared" si="92"/>
        <v>0.8684463654557919</v>
      </c>
      <c r="H796" s="34">
        <f t="shared" si="88"/>
        <v>4.0769476599690775E-2</v>
      </c>
      <c r="I796" s="36">
        <f t="shared" si="89"/>
        <v>3.5406103774536409E-2</v>
      </c>
    </row>
    <row r="797" spans="2:9" x14ac:dyDescent="0.35">
      <c r="B797" s="16">
        <f t="shared" si="90"/>
        <v>65.666666666667297</v>
      </c>
      <c r="C797" s="17">
        <f t="shared" si="86"/>
        <v>65.666666666667297</v>
      </c>
      <c r="D797" s="1" cm="1">
        <f t="array" ref="D797">_xlfn.XLOOKUP(_xlfn.FLOOR.MATH(C797),'Mortality Tables'!$B$4:$B$124,_xlfn.XLOOKUP(mortality_table,'Mortality Tables'!$B$3:$G$3,'Mortality Tables'!$B$4:$G$124,0,0),0,0)</f>
        <v>1.4243E-2</v>
      </c>
      <c r="E797" s="1">
        <f t="shared" si="87"/>
        <v>1.1869166666666666E-3</v>
      </c>
      <c r="F797" s="1">
        <f t="shared" si="91"/>
        <v>0.9988130833333333</v>
      </c>
      <c r="G797" s="1">
        <f t="shared" si="92"/>
        <v>0.86741559199052631</v>
      </c>
      <c r="H797" s="34">
        <f t="shared" si="88"/>
        <v>4.0604050671139036E-2</v>
      </c>
      <c r="I797" s="36">
        <f t="shared" si="89"/>
        <v>3.5220586650119394E-2</v>
      </c>
    </row>
    <row r="798" spans="2:9" x14ac:dyDescent="0.35">
      <c r="B798" s="16">
        <f t="shared" si="90"/>
        <v>65.750000000000625</v>
      </c>
      <c r="C798" s="17">
        <f t="shared" si="86"/>
        <v>65.750000000000625</v>
      </c>
      <c r="D798" s="1" cm="1">
        <f t="array" ref="D798">_xlfn.XLOOKUP(_xlfn.FLOOR.MATH(C798),'Mortality Tables'!$B$4:$B$124,_xlfn.XLOOKUP(mortality_table,'Mortality Tables'!$B$3:$G$3,'Mortality Tables'!$B$4:$G$124,0,0),0,0)</f>
        <v>1.4243E-2</v>
      </c>
      <c r="E798" s="1">
        <f t="shared" si="87"/>
        <v>1.1869166666666666E-3</v>
      </c>
      <c r="F798" s="1">
        <f t="shared" si="91"/>
        <v>0.9988130833333333</v>
      </c>
      <c r="G798" s="1">
        <f t="shared" si="92"/>
        <v>0.86638604196746616</v>
      </c>
      <c r="H798" s="34">
        <f t="shared" si="88"/>
        <v>4.0439295973618936E-2</v>
      </c>
      <c r="I798" s="36">
        <f t="shared" si="89"/>
        <v>3.5036041578534599E-2</v>
      </c>
    </row>
    <row r="799" spans="2:9" x14ac:dyDescent="0.35">
      <c r="B799" s="16">
        <f t="shared" si="90"/>
        <v>65.833333333333954</v>
      </c>
      <c r="C799" s="17">
        <f t="shared" si="86"/>
        <v>65.833333333333954</v>
      </c>
      <c r="D799" s="1" cm="1">
        <f t="array" ref="D799">_xlfn.XLOOKUP(_xlfn.FLOOR.MATH(C799),'Mortality Tables'!$B$4:$B$124,_xlfn.XLOOKUP(mortality_table,'Mortality Tables'!$B$3:$G$3,'Mortality Tables'!$B$4:$G$124,0,0),0,0)</f>
        <v>1.4243E-2</v>
      </c>
      <c r="E799" s="1">
        <f t="shared" si="87"/>
        <v>1.1869166666666666E-3</v>
      </c>
      <c r="F799" s="1">
        <f t="shared" si="91"/>
        <v>0.9988130833333333</v>
      </c>
      <c r="G799" s="1">
        <f t="shared" si="92"/>
        <v>0.86535771393448757</v>
      </c>
      <c r="H799" s="34">
        <f t="shared" si="88"/>
        <v>4.0275209783548364E-2</v>
      </c>
      <c r="I799" s="36">
        <f t="shared" si="89"/>
        <v>3.485246346652332E-2</v>
      </c>
    </row>
    <row r="800" spans="2:9" x14ac:dyDescent="0.35">
      <c r="B800" s="16">
        <f t="shared" si="90"/>
        <v>65.916666666667282</v>
      </c>
      <c r="C800" s="17">
        <f t="shared" si="86"/>
        <v>65.916666666667282</v>
      </c>
      <c r="D800" s="1" cm="1">
        <f t="array" ref="D800">_xlfn.XLOOKUP(_xlfn.FLOOR.MATH(C800),'Mortality Tables'!$B$4:$B$124,_xlfn.XLOOKUP(mortality_table,'Mortality Tables'!$B$3:$G$3,'Mortality Tables'!$B$4:$G$124,0,0),0,0)</f>
        <v>1.4243E-2</v>
      </c>
      <c r="E800" s="1">
        <f t="shared" si="87"/>
        <v>1.1869166666666666E-3</v>
      </c>
      <c r="F800" s="1">
        <f t="shared" si="91"/>
        <v>0.9988130833333333</v>
      </c>
      <c r="G800" s="1">
        <f t="shared" si="92"/>
        <v>0.86433060644119009</v>
      </c>
      <c r="H800" s="34">
        <f t="shared" si="88"/>
        <v>4.01117893883964E-2</v>
      </c>
      <c r="I800" s="36">
        <f t="shared" si="89"/>
        <v>3.466984724751395E-2</v>
      </c>
    </row>
    <row r="801" spans="2:9" x14ac:dyDescent="0.35">
      <c r="B801" s="16">
        <f t="shared" si="90"/>
        <v>66.000000000000611</v>
      </c>
      <c r="C801" s="17">
        <f t="shared" si="86"/>
        <v>66.000000000000611</v>
      </c>
      <c r="D801" s="1" cm="1">
        <f t="array" ref="D801">_xlfn.XLOOKUP(_xlfn.FLOOR.MATH(C801),'Mortality Tables'!$B$4:$B$124,_xlfn.XLOOKUP(mortality_table,'Mortality Tables'!$B$3:$G$3,'Mortality Tables'!$B$4:$G$124,0,0),0,0)</f>
        <v>1.5939999999999999E-2</v>
      </c>
      <c r="E801" s="1">
        <f t="shared" si="87"/>
        <v>1.3283333333333333E-3</v>
      </c>
      <c r="F801" s="1">
        <f t="shared" si="91"/>
        <v>0.99867166666666662</v>
      </c>
      <c r="G801" s="1">
        <f t="shared" si="92"/>
        <v>0.86330471803889486</v>
      </c>
      <c r="H801" s="34">
        <f t="shared" si="88"/>
        <v>3.9949032086638511E-2</v>
      </c>
      <c r="I801" s="36">
        <f t="shared" si="89"/>
        <v>3.4488187881482224E-2</v>
      </c>
    </row>
    <row r="802" spans="2:9" x14ac:dyDescent="0.35">
      <c r="B802" s="16">
        <f t="shared" si="90"/>
        <v>66.08333333333394</v>
      </c>
      <c r="C802" s="17">
        <f t="shared" si="86"/>
        <v>66.08333333333394</v>
      </c>
      <c r="D802" s="1" cm="1">
        <f t="array" ref="D802">_xlfn.XLOOKUP(_xlfn.FLOOR.MATH(C802),'Mortality Tables'!$B$4:$B$124,_xlfn.XLOOKUP(mortality_table,'Mortality Tables'!$B$3:$G$3,'Mortality Tables'!$B$4:$G$124,0,0),0,0)</f>
        <v>1.5939999999999999E-2</v>
      </c>
      <c r="E802" s="1">
        <f t="shared" si="87"/>
        <v>1.3283333333333333E-3</v>
      </c>
      <c r="F802" s="1">
        <f t="shared" si="91"/>
        <v>0.99867166666666662</v>
      </c>
      <c r="G802" s="1">
        <f t="shared" si="92"/>
        <v>0.86215796160509983</v>
      </c>
      <c r="H802" s="34">
        <f t="shared" si="88"/>
        <v>3.9786935187711793E-2</v>
      </c>
      <c r="I802" s="36">
        <f t="shared" si="89"/>
        <v>3.4302622939951823E-2</v>
      </c>
    </row>
    <row r="803" spans="2:9" x14ac:dyDescent="0.35">
      <c r="B803" s="16">
        <f t="shared" si="90"/>
        <v>66.166666666667268</v>
      </c>
      <c r="C803" s="17">
        <f t="shared" si="86"/>
        <v>66.166666666667268</v>
      </c>
      <c r="D803" s="1" cm="1">
        <f t="array" ref="D803">_xlfn.XLOOKUP(_xlfn.FLOOR.MATH(C803),'Mortality Tables'!$B$4:$B$124,_xlfn.XLOOKUP(mortality_table,'Mortality Tables'!$B$3:$G$3,'Mortality Tables'!$B$4:$G$124,0,0),0,0)</f>
        <v>1.5939999999999999E-2</v>
      </c>
      <c r="E803" s="1">
        <f t="shared" si="87"/>
        <v>1.3283333333333333E-3</v>
      </c>
      <c r="F803" s="1">
        <f t="shared" si="91"/>
        <v>0.99867166666666662</v>
      </c>
      <c r="G803" s="1">
        <f t="shared" si="92"/>
        <v>0.86101272844610099</v>
      </c>
      <c r="H803" s="34">
        <f t="shared" si="88"/>
        <v>3.9625496011970573E-2</v>
      </c>
      <c r="I803" s="36">
        <f t="shared" si="89"/>
        <v>3.411805643729688E-2</v>
      </c>
    </row>
    <row r="804" spans="2:9" x14ac:dyDescent="0.35">
      <c r="B804" s="16">
        <f t="shared" si="90"/>
        <v>66.250000000000597</v>
      </c>
      <c r="C804" s="17">
        <f t="shared" si="86"/>
        <v>66.250000000000597</v>
      </c>
      <c r="D804" s="1" cm="1">
        <f t="array" ref="D804">_xlfn.XLOOKUP(_xlfn.FLOOR.MATH(C804),'Mortality Tables'!$B$4:$B$124,_xlfn.XLOOKUP(mortality_table,'Mortality Tables'!$B$3:$G$3,'Mortality Tables'!$B$4:$G$124,0,0),0,0)</f>
        <v>1.5939999999999999E-2</v>
      </c>
      <c r="E804" s="1">
        <f t="shared" si="87"/>
        <v>1.3283333333333333E-3</v>
      </c>
      <c r="F804" s="1">
        <f t="shared" si="91"/>
        <v>0.99867166666666662</v>
      </c>
      <c r="G804" s="1">
        <f t="shared" si="92"/>
        <v>0.85986901653848169</v>
      </c>
      <c r="H804" s="34">
        <f t="shared" si="88"/>
        <v>3.9464711890642087E-2</v>
      </c>
      <c r="I804" s="36">
        <f t="shared" si="89"/>
        <v>3.3934483001380938E-2</v>
      </c>
    </row>
    <row r="805" spans="2:9" x14ac:dyDescent="0.35">
      <c r="B805" s="16">
        <f t="shared" si="90"/>
        <v>66.333333333333925</v>
      </c>
      <c r="C805" s="17">
        <f t="shared" si="86"/>
        <v>66.333333333333925</v>
      </c>
      <c r="D805" s="1" cm="1">
        <f t="array" ref="D805">_xlfn.XLOOKUP(_xlfn.FLOOR.MATH(C805),'Mortality Tables'!$B$4:$B$124,_xlfn.XLOOKUP(mortality_table,'Mortality Tables'!$B$3:$G$3,'Mortality Tables'!$B$4:$G$124,0,0),0,0)</f>
        <v>1.5939999999999999E-2</v>
      </c>
      <c r="E805" s="1">
        <f t="shared" si="87"/>
        <v>1.3283333333333333E-3</v>
      </c>
      <c r="F805" s="1">
        <f t="shared" si="91"/>
        <v>0.99867166666666662</v>
      </c>
      <c r="G805" s="1">
        <f t="shared" si="92"/>
        <v>0.858726823861513</v>
      </c>
      <c r="H805" s="34">
        <f t="shared" si="88"/>
        <v>3.930458016578238E-2</v>
      </c>
      <c r="I805" s="36">
        <f t="shared" si="89"/>
        <v>3.3751897288972522E-2</v>
      </c>
    </row>
    <row r="806" spans="2:9" x14ac:dyDescent="0.35">
      <c r="B806" s="16">
        <f t="shared" si="90"/>
        <v>66.416666666667254</v>
      </c>
      <c r="C806" s="17">
        <f t="shared" si="86"/>
        <v>66.416666666667254</v>
      </c>
      <c r="D806" s="1" cm="1">
        <f t="array" ref="D806">_xlfn.XLOOKUP(_xlfn.FLOOR.MATH(C806),'Mortality Tables'!$B$4:$B$124,_xlfn.XLOOKUP(mortality_table,'Mortality Tables'!$B$3:$G$3,'Mortality Tables'!$B$4:$G$124,0,0),0,0)</f>
        <v>1.5939999999999999E-2</v>
      </c>
      <c r="E806" s="1">
        <f t="shared" si="87"/>
        <v>1.3283333333333333E-3</v>
      </c>
      <c r="F806" s="1">
        <f t="shared" si="91"/>
        <v>0.99867166666666662</v>
      </c>
      <c r="G806" s="1">
        <f t="shared" si="92"/>
        <v>0.85758614839715031</v>
      </c>
      <c r="H806" s="34">
        <f t="shared" si="88"/>
        <v>3.9145098190232319E-2</v>
      </c>
      <c r="I806" s="36">
        <f t="shared" si="89"/>
        <v>3.357029398558959E-2</v>
      </c>
    </row>
    <row r="807" spans="2:9" x14ac:dyDescent="0.35">
      <c r="B807" s="16">
        <f t="shared" si="90"/>
        <v>66.500000000000583</v>
      </c>
      <c r="C807" s="17">
        <f t="shared" si="86"/>
        <v>66.500000000000583</v>
      </c>
      <c r="D807" s="1" cm="1">
        <f t="array" ref="D807">_xlfn.XLOOKUP(_xlfn.FLOOR.MATH(C807),'Mortality Tables'!$B$4:$B$124,_xlfn.XLOOKUP(mortality_table,'Mortality Tables'!$B$3:$G$3,'Mortality Tables'!$B$4:$G$124,0,0),0,0)</f>
        <v>1.5939999999999999E-2</v>
      </c>
      <c r="E807" s="1">
        <f t="shared" si="87"/>
        <v>1.3283333333333333E-3</v>
      </c>
      <c r="F807" s="1">
        <f t="shared" si="91"/>
        <v>0.99867166666666662</v>
      </c>
      <c r="G807" s="1">
        <f t="shared" si="92"/>
        <v>0.8564469881300294</v>
      </c>
      <c r="H807" s="34">
        <f t="shared" si="88"/>
        <v>3.8986263327573885E-2</v>
      </c>
      <c r="I807" s="36">
        <f t="shared" si="89"/>
        <v>3.3389667805344872E-2</v>
      </c>
    </row>
    <row r="808" spans="2:9" x14ac:dyDescent="0.35">
      <c r="B808" s="16">
        <f t="shared" si="90"/>
        <v>66.583333333333911</v>
      </c>
      <c r="C808" s="17">
        <f t="shared" si="86"/>
        <v>66.583333333333911</v>
      </c>
      <c r="D808" s="1" cm="1">
        <f t="array" ref="D808">_xlfn.XLOOKUP(_xlfn.FLOOR.MATH(C808),'Mortality Tables'!$B$4:$B$124,_xlfn.XLOOKUP(mortality_table,'Mortality Tables'!$B$3:$G$3,'Mortality Tables'!$B$4:$G$124,0,0),0,0)</f>
        <v>1.5939999999999999E-2</v>
      </c>
      <c r="E808" s="1">
        <f t="shared" si="87"/>
        <v>1.3283333333333333E-3</v>
      </c>
      <c r="F808" s="1">
        <f t="shared" si="91"/>
        <v>0.99867166666666662</v>
      </c>
      <c r="G808" s="1">
        <f t="shared" si="92"/>
        <v>0.85530934104746326</v>
      </c>
      <c r="H808" s="34">
        <f t="shared" si="88"/>
        <v>3.8828072952086547E-2</v>
      </c>
      <c r="I808" s="36">
        <f t="shared" si="89"/>
        <v>3.3210013490791973E-2</v>
      </c>
    </row>
    <row r="809" spans="2:9" x14ac:dyDescent="0.35">
      <c r="B809" s="16">
        <f t="shared" si="90"/>
        <v>66.66666666666724</v>
      </c>
      <c r="C809" s="17">
        <f t="shared" si="86"/>
        <v>66.66666666666724</v>
      </c>
      <c r="D809" s="1" cm="1">
        <f t="array" ref="D809">_xlfn.XLOOKUP(_xlfn.FLOOR.MATH(C809),'Mortality Tables'!$B$4:$B$124,_xlfn.XLOOKUP(mortality_table,'Mortality Tables'!$B$3:$G$3,'Mortality Tables'!$B$4:$G$124,0,0),0,0)</f>
        <v>1.5939999999999999E-2</v>
      </c>
      <c r="E809" s="1">
        <f t="shared" si="87"/>
        <v>1.3283333333333333E-3</v>
      </c>
      <c r="F809" s="1">
        <f t="shared" si="91"/>
        <v>0.99867166666666662</v>
      </c>
      <c r="G809" s="1">
        <f t="shared" si="92"/>
        <v>0.85417320513943851</v>
      </c>
      <c r="H809" s="34">
        <f t="shared" si="88"/>
        <v>3.867052444870394E-2</v>
      </c>
      <c r="I809" s="36">
        <f t="shared" si="89"/>
        <v>3.3031325812772461E-2</v>
      </c>
    </row>
    <row r="810" spans="2:9" x14ac:dyDescent="0.35">
      <c r="B810" s="16">
        <f t="shared" si="90"/>
        <v>66.750000000000568</v>
      </c>
      <c r="C810" s="17">
        <f t="shared" si="86"/>
        <v>66.750000000000568</v>
      </c>
      <c r="D810" s="1" cm="1">
        <f t="array" ref="D810">_xlfn.XLOOKUP(_xlfn.FLOOR.MATH(C810),'Mortality Tables'!$B$4:$B$124,_xlfn.XLOOKUP(mortality_table,'Mortality Tables'!$B$3:$G$3,'Mortality Tables'!$B$4:$G$124,0,0),0,0)</f>
        <v>1.5939999999999999E-2</v>
      </c>
      <c r="E810" s="1">
        <f t="shared" si="87"/>
        <v>1.3283333333333333E-3</v>
      </c>
      <c r="F810" s="1">
        <f t="shared" si="91"/>
        <v>0.99867166666666662</v>
      </c>
      <c r="G810" s="1">
        <f t="shared" si="92"/>
        <v>0.85303857839861164</v>
      </c>
      <c r="H810" s="34">
        <f t="shared" si="88"/>
        <v>3.851361521297051E-2</v>
      </c>
      <c r="I810" s="36">
        <f t="shared" si="89"/>
        <v>3.2853599570263507E-2</v>
      </c>
    </row>
    <row r="811" spans="2:9" x14ac:dyDescent="0.35">
      <c r="B811" s="16">
        <f t="shared" si="90"/>
        <v>66.833333333333897</v>
      </c>
      <c r="C811" s="17">
        <f t="shared" si="86"/>
        <v>66.833333333333897</v>
      </c>
      <c r="D811" s="1" cm="1">
        <f t="array" ref="D811">_xlfn.XLOOKUP(_xlfn.FLOOR.MATH(C811),'Mortality Tables'!$B$4:$B$124,_xlfn.XLOOKUP(mortality_table,'Mortality Tables'!$B$3:$G$3,'Mortality Tables'!$B$4:$G$124,0,0),0,0)</f>
        <v>1.5939999999999999E-2</v>
      </c>
      <c r="E811" s="1">
        <f t="shared" si="87"/>
        <v>1.3283333333333333E-3</v>
      </c>
      <c r="F811" s="1">
        <f t="shared" si="91"/>
        <v>0.99867166666666662</v>
      </c>
      <c r="G811" s="1">
        <f t="shared" si="92"/>
        <v>0.85190545882030544</v>
      </c>
      <c r="H811" s="34">
        <f t="shared" si="88"/>
        <v>3.8357342650998542E-2</v>
      </c>
      <c r="I811" s="36">
        <f t="shared" si="89"/>
        <v>3.2676829590226587E-2</v>
      </c>
    </row>
    <row r="812" spans="2:9" x14ac:dyDescent="0.35">
      <c r="B812" s="16">
        <f t="shared" si="90"/>
        <v>66.916666666667226</v>
      </c>
      <c r="C812" s="17">
        <f t="shared" si="86"/>
        <v>66.916666666667226</v>
      </c>
      <c r="D812" s="1" cm="1">
        <f t="array" ref="D812">_xlfn.XLOOKUP(_xlfn.FLOOR.MATH(C812),'Mortality Tables'!$B$4:$B$124,_xlfn.XLOOKUP(mortality_table,'Mortality Tables'!$B$3:$G$3,'Mortality Tables'!$B$4:$G$124,0,0),0,0)</f>
        <v>1.5939999999999999E-2</v>
      </c>
      <c r="E812" s="1">
        <f t="shared" si="87"/>
        <v>1.3283333333333333E-3</v>
      </c>
      <c r="F812" s="1">
        <f t="shared" si="91"/>
        <v>0.99867166666666662</v>
      </c>
      <c r="G812" s="1">
        <f t="shared" si="92"/>
        <v>0.85077384440250581</v>
      </c>
      <c r="H812" s="34">
        <f t="shared" si="88"/>
        <v>3.8201704179425255E-2</v>
      </c>
      <c r="I812" s="36">
        <f t="shared" si="89"/>
        <v>3.2501010727456897E-2</v>
      </c>
    </row>
    <row r="813" spans="2:9" x14ac:dyDescent="0.35">
      <c r="B813" s="16">
        <f t="shared" si="90"/>
        <v>67.000000000000554</v>
      </c>
      <c r="C813" s="17">
        <f t="shared" si="86"/>
        <v>67.000000000000554</v>
      </c>
      <c r="D813" s="1" cm="1">
        <f t="array" ref="D813">_xlfn.XLOOKUP(_xlfn.FLOOR.MATH(C813),'Mortality Tables'!$B$4:$B$124,_xlfn.XLOOKUP(mortality_table,'Mortality Tables'!$B$3:$G$3,'Mortality Tables'!$B$4:$G$124,0,0),0,0)</f>
        <v>1.7824E-2</v>
      </c>
      <c r="E813" s="1">
        <f t="shared" si="87"/>
        <v>1.4853333333333333E-3</v>
      </c>
      <c r="F813" s="1">
        <f t="shared" si="91"/>
        <v>0.99851466666666666</v>
      </c>
      <c r="G813" s="1">
        <f t="shared" si="92"/>
        <v>0.84964373314585773</v>
      </c>
      <c r="H813" s="34">
        <f t="shared" si="88"/>
        <v>3.8046697225370123E-2</v>
      </c>
      <c r="I813" s="36">
        <f t="shared" si="89"/>
        <v>3.232613786443362E-2</v>
      </c>
    </row>
    <row r="814" spans="2:9" x14ac:dyDescent="0.35">
      <c r="B814" s="16">
        <f t="shared" si="90"/>
        <v>67.083333333333883</v>
      </c>
      <c r="C814" s="17">
        <f t="shared" si="86"/>
        <v>67.083333333333883</v>
      </c>
      <c r="D814" s="1" cm="1">
        <f t="array" ref="D814">_xlfn.XLOOKUP(_xlfn.FLOOR.MATH(C814),'Mortality Tables'!$B$4:$B$124,_xlfn.XLOOKUP(mortality_table,'Mortality Tables'!$B$3:$G$3,'Mortality Tables'!$B$4:$G$124,0,0),0,0)</f>
        <v>1.7824E-2</v>
      </c>
      <c r="E814" s="1">
        <f t="shared" si="87"/>
        <v>1.4853333333333333E-3</v>
      </c>
      <c r="F814" s="1">
        <f t="shared" si="91"/>
        <v>0.99851466666666666</v>
      </c>
      <c r="G814" s="1">
        <f t="shared" si="92"/>
        <v>0.84838172898755837</v>
      </c>
      <c r="H814" s="34">
        <f t="shared" si="88"/>
        <v>3.7892319226392294E-2</v>
      </c>
      <c r="I814" s="36">
        <f t="shared" si="89"/>
        <v>3.2147151300635196E-2</v>
      </c>
    </row>
    <row r="815" spans="2:9" x14ac:dyDescent="0.35">
      <c r="B815" s="16">
        <f t="shared" si="90"/>
        <v>67.166666666667211</v>
      </c>
      <c r="C815" s="17">
        <f t="shared" si="86"/>
        <v>67.166666666667211</v>
      </c>
      <c r="D815" s="1" cm="1">
        <f t="array" ref="D815">_xlfn.XLOOKUP(_xlfn.FLOOR.MATH(C815),'Mortality Tables'!$B$4:$B$124,_xlfn.XLOOKUP(mortality_table,'Mortality Tables'!$B$3:$G$3,'Mortality Tables'!$B$4:$G$124,0,0),0,0)</f>
        <v>1.7824E-2</v>
      </c>
      <c r="E815" s="1">
        <f t="shared" si="87"/>
        <v>1.4853333333333333E-3</v>
      </c>
      <c r="F815" s="1">
        <f t="shared" si="91"/>
        <v>0.99851466666666666</v>
      </c>
      <c r="G815" s="1">
        <f t="shared" si="92"/>
        <v>0.8471215993261022</v>
      </c>
      <c r="H815" s="34">
        <f t="shared" si="88"/>
        <v>3.7738567630448278E-2</v>
      </c>
      <c r="I815" s="36">
        <f t="shared" si="89"/>
        <v>3.1969155767381616E-2</v>
      </c>
    </row>
    <row r="816" spans="2:9" x14ac:dyDescent="0.35">
      <c r="B816" s="16">
        <f t="shared" si="90"/>
        <v>67.25000000000054</v>
      </c>
      <c r="C816" s="17">
        <f t="shared" si="86"/>
        <v>67.25000000000054</v>
      </c>
      <c r="D816" s="1" cm="1">
        <f t="array" ref="D816">_xlfn.XLOOKUP(_xlfn.FLOOR.MATH(C816),'Mortality Tables'!$B$4:$B$124,_xlfn.XLOOKUP(mortality_table,'Mortality Tables'!$B$3:$G$3,'Mortality Tables'!$B$4:$G$124,0,0),0,0)</f>
        <v>1.7824E-2</v>
      </c>
      <c r="E816" s="1">
        <f t="shared" si="87"/>
        <v>1.4853333333333333E-3</v>
      </c>
      <c r="F816" s="1">
        <f t="shared" si="91"/>
        <v>0.99851466666666666</v>
      </c>
      <c r="G816" s="1">
        <f t="shared" si="92"/>
        <v>0.84586334137723651</v>
      </c>
      <c r="H816" s="34">
        <f t="shared" si="88"/>
        <v>3.7585439895849705E-2</v>
      </c>
      <c r="I816" s="36">
        <f t="shared" si="89"/>
        <v>3.1792145777436727E-2</v>
      </c>
    </row>
    <row r="817" spans="2:9" x14ac:dyDescent="0.35">
      <c r="B817" s="16">
        <f t="shared" si="90"/>
        <v>67.333333333333869</v>
      </c>
      <c r="C817" s="17">
        <f t="shared" si="86"/>
        <v>67.333333333333869</v>
      </c>
      <c r="D817" s="1" cm="1">
        <f t="array" ref="D817">_xlfn.XLOOKUP(_xlfn.FLOOR.MATH(C817),'Mortality Tables'!$B$4:$B$124,_xlfn.XLOOKUP(mortality_table,'Mortality Tables'!$B$3:$G$3,'Mortality Tables'!$B$4:$G$124,0,0),0,0)</f>
        <v>1.7824E-2</v>
      </c>
      <c r="E817" s="1">
        <f t="shared" si="87"/>
        <v>1.4853333333333333E-3</v>
      </c>
      <c r="F817" s="1">
        <f t="shared" si="91"/>
        <v>0.99851466666666666</v>
      </c>
      <c r="G817" s="1">
        <f t="shared" si="92"/>
        <v>0.84460695236084415</v>
      </c>
      <c r="H817" s="34">
        <f t="shared" si="88"/>
        <v>3.7432933491221405E-2</v>
      </c>
      <c r="I817" s="36">
        <f t="shared" si="89"/>
        <v>3.1616115873946686E-2</v>
      </c>
    </row>
    <row r="818" spans="2:9" x14ac:dyDescent="0.35">
      <c r="B818" s="16">
        <f t="shared" si="90"/>
        <v>67.416666666667197</v>
      </c>
      <c r="C818" s="17">
        <f t="shared" si="86"/>
        <v>67.416666666667197</v>
      </c>
      <c r="D818" s="1" cm="1">
        <f t="array" ref="D818">_xlfn.XLOOKUP(_xlfn.FLOOR.MATH(C818),'Mortality Tables'!$B$4:$B$124,_xlfn.XLOOKUP(mortality_table,'Mortality Tables'!$B$3:$G$3,'Mortality Tables'!$B$4:$G$124,0,0),0,0)</f>
        <v>1.7824E-2</v>
      </c>
      <c r="E818" s="1">
        <f t="shared" si="87"/>
        <v>1.4853333333333333E-3</v>
      </c>
      <c r="F818" s="1">
        <f t="shared" si="91"/>
        <v>0.99851466666666666</v>
      </c>
      <c r="G818" s="1">
        <f t="shared" si="92"/>
        <v>0.84335242950093747</v>
      </c>
      <c r="H818" s="34">
        <f t="shared" si="88"/>
        <v>3.7281045895459441E-2</v>
      </c>
      <c r="I818" s="36">
        <f t="shared" si="89"/>
        <v>3.1441060630271675E-2</v>
      </c>
    </row>
    <row r="819" spans="2:9" x14ac:dyDescent="0.35">
      <c r="B819" s="16">
        <f t="shared" si="90"/>
        <v>67.500000000000526</v>
      </c>
      <c r="C819" s="17">
        <f t="shared" si="86"/>
        <v>67.500000000000526</v>
      </c>
      <c r="D819" s="1" cm="1">
        <f t="array" ref="D819">_xlfn.XLOOKUP(_xlfn.FLOOR.MATH(C819),'Mortality Tables'!$B$4:$B$124,_xlfn.XLOOKUP(mortality_table,'Mortality Tables'!$B$3:$G$3,'Mortality Tables'!$B$4:$G$124,0,0),0,0)</f>
        <v>1.7824E-2</v>
      </c>
      <c r="E819" s="1">
        <f t="shared" si="87"/>
        <v>1.4853333333333333E-3</v>
      </c>
      <c r="F819" s="1">
        <f t="shared" si="91"/>
        <v>0.99851466666666666</v>
      </c>
      <c r="G819" s="1">
        <f t="shared" si="92"/>
        <v>0.84209977002565206</v>
      </c>
      <c r="H819" s="34">
        <f t="shared" si="88"/>
        <v>3.7129774597689506E-2</v>
      </c>
      <c r="I819" s="36">
        <f t="shared" si="89"/>
        <v>3.1266974649818632E-2</v>
      </c>
    </row>
    <row r="820" spans="2:9" x14ac:dyDescent="0.35">
      <c r="B820" s="16">
        <f t="shared" si="90"/>
        <v>67.583333333333854</v>
      </c>
      <c r="C820" s="17">
        <f t="shared" si="86"/>
        <v>67.583333333333854</v>
      </c>
      <c r="D820" s="1" cm="1">
        <f t="array" ref="D820">_xlfn.XLOOKUP(_xlfn.FLOOR.MATH(C820),'Mortality Tables'!$B$4:$B$124,_xlfn.XLOOKUP(mortality_table,'Mortality Tables'!$B$3:$G$3,'Mortality Tables'!$B$4:$G$124,0,0),0,0)</f>
        <v>1.7824E-2</v>
      </c>
      <c r="E820" s="1">
        <f t="shared" si="87"/>
        <v>1.4853333333333333E-3</v>
      </c>
      <c r="F820" s="1">
        <f t="shared" si="91"/>
        <v>0.99851466666666666</v>
      </c>
      <c r="G820" s="1">
        <f t="shared" si="92"/>
        <v>0.84084897116724067</v>
      </c>
      <c r="H820" s="34">
        <f t="shared" si="88"/>
        <v>3.6979117097225393E-2</v>
      </c>
      <c r="I820" s="36">
        <f t="shared" si="89"/>
        <v>3.109385256587489E-2</v>
      </c>
    </row>
    <row r="821" spans="2:9" x14ac:dyDescent="0.35">
      <c r="B821" s="16">
        <f t="shared" si="90"/>
        <v>67.666666666667183</v>
      </c>
      <c r="C821" s="17">
        <f t="shared" si="86"/>
        <v>67.666666666667183</v>
      </c>
      <c r="D821" s="1" cm="1">
        <f t="array" ref="D821">_xlfn.XLOOKUP(_xlfn.FLOOR.MATH(C821),'Mortality Tables'!$B$4:$B$124,_xlfn.XLOOKUP(mortality_table,'Mortality Tables'!$B$3:$G$3,'Mortality Tables'!$B$4:$G$124,0,0),0,0)</f>
        <v>1.7824E-2</v>
      </c>
      <c r="E821" s="1">
        <f t="shared" si="87"/>
        <v>1.4853333333333333E-3</v>
      </c>
      <c r="F821" s="1">
        <f t="shared" si="91"/>
        <v>0.99851466666666666</v>
      </c>
      <c r="G821" s="1">
        <f t="shared" si="92"/>
        <v>0.83960003016206697</v>
      </c>
      <c r="H821" s="34">
        <f t="shared" si="88"/>
        <v>3.6829070903527668E-2</v>
      </c>
      <c r="I821" s="36">
        <f t="shared" si="89"/>
        <v>3.0921689041442733E-2</v>
      </c>
    </row>
    <row r="822" spans="2:9" x14ac:dyDescent="0.35">
      <c r="B822" s="16">
        <f t="shared" si="90"/>
        <v>67.750000000000512</v>
      </c>
      <c r="C822" s="17">
        <f t="shared" si="86"/>
        <v>67.750000000000512</v>
      </c>
      <c r="D822" s="1" cm="1">
        <f t="array" ref="D822">_xlfn.XLOOKUP(_xlfn.FLOOR.MATH(C822),'Mortality Tables'!$B$4:$B$124,_xlfn.XLOOKUP(mortality_table,'Mortality Tables'!$B$3:$G$3,'Mortality Tables'!$B$4:$G$124,0,0),0,0)</f>
        <v>1.7824E-2</v>
      </c>
      <c r="E822" s="1">
        <f t="shared" si="87"/>
        <v>1.4853333333333333E-3</v>
      </c>
      <c r="F822" s="1">
        <f t="shared" si="91"/>
        <v>0.99851466666666666</v>
      </c>
      <c r="G822" s="1">
        <f t="shared" si="92"/>
        <v>0.83835294425059959</v>
      </c>
      <c r="H822" s="34">
        <f t="shared" si="88"/>
        <v>3.6679633536162499E-2</v>
      </c>
      <c r="I822" s="36">
        <f t="shared" si="89"/>
        <v>3.0750478769074864E-2</v>
      </c>
    </row>
    <row r="823" spans="2:9" x14ac:dyDescent="0.35">
      <c r="B823" s="16">
        <f t="shared" si="90"/>
        <v>67.83333333333384</v>
      </c>
      <c r="C823" s="17">
        <f t="shared" si="86"/>
        <v>67.83333333333384</v>
      </c>
      <c r="D823" s="1" cm="1">
        <f t="array" ref="D823">_xlfn.XLOOKUP(_xlfn.FLOOR.MATH(C823),'Mortality Tables'!$B$4:$B$124,_xlfn.XLOOKUP(mortality_table,'Mortality Tables'!$B$3:$G$3,'Mortality Tables'!$B$4:$G$124,0,0),0,0)</f>
        <v>1.7824E-2</v>
      </c>
      <c r="E823" s="1">
        <f t="shared" si="87"/>
        <v>1.4853333333333333E-3</v>
      </c>
      <c r="F823" s="1">
        <f t="shared" si="91"/>
        <v>0.99851466666666666</v>
      </c>
      <c r="G823" s="1">
        <f t="shared" si="92"/>
        <v>0.83710771067740597</v>
      </c>
      <c r="H823" s="34">
        <f t="shared" si="88"/>
        <v>3.6530802524760625E-2</v>
      </c>
      <c r="I823" s="36">
        <f t="shared" si="89"/>
        <v>3.0580216470710769E-2</v>
      </c>
    </row>
    <row r="824" spans="2:9" x14ac:dyDescent="0.35">
      <c r="B824" s="16">
        <f t="shared" si="90"/>
        <v>67.916666666667169</v>
      </c>
      <c r="C824" s="17">
        <f t="shared" si="86"/>
        <v>67.916666666667169</v>
      </c>
      <c r="D824" s="1" cm="1">
        <f t="array" ref="D824">_xlfn.XLOOKUP(_xlfn.FLOOR.MATH(C824),'Mortality Tables'!$B$4:$B$124,_xlfn.XLOOKUP(mortality_table,'Mortality Tables'!$B$3:$G$3,'Mortality Tables'!$B$4:$G$124,0,0),0,0)</f>
        <v>1.7824E-2</v>
      </c>
      <c r="E824" s="1">
        <f t="shared" si="87"/>
        <v>1.4853333333333333E-3</v>
      </c>
      <c r="F824" s="1">
        <f t="shared" si="91"/>
        <v>0.99851466666666666</v>
      </c>
      <c r="G824" s="1">
        <f t="shared" si="92"/>
        <v>0.83586432669114641</v>
      </c>
      <c r="H824" s="34">
        <f t="shared" si="88"/>
        <v>3.6382575408976527E-2</v>
      </c>
      <c r="I824" s="36">
        <f t="shared" si="89"/>
        <v>3.0410896897514025E-2</v>
      </c>
    </row>
    <row r="825" spans="2:9" x14ac:dyDescent="0.35">
      <c r="B825" s="16">
        <f t="shared" si="90"/>
        <v>68.000000000000497</v>
      </c>
      <c r="C825" s="17">
        <f t="shared" si="86"/>
        <v>68.000000000000497</v>
      </c>
      <c r="D825" s="1" cm="1">
        <f t="array" ref="D825">_xlfn.XLOOKUP(_xlfn.FLOOR.MATH(C825),'Mortality Tables'!$B$4:$B$124,_xlfn.XLOOKUP(mortality_table,'Mortality Tables'!$B$3:$G$3,'Mortality Tables'!$B$4:$G$124,0,0),0,0)</f>
        <v>1.9913E-2</v>
      </c>
      <c r="E825" s="1">
        <f t="shared" si="87"/>
        <v>1.6594166666666667E-3</v>
      </c>
      <c r="F825" s="1">
        <f t="shared" si="91"/>
        <v>0.99834058333333331</v>
      </c>
      <c r="G825" s="1">
        <f t="shared" si="92"/>
        <v>0.83462278954456781</v>
      </c>
      <c r="H825" s="34">
        <f t="shared" si="88"/>
        <v>3.6234949738447826E-2</v>
      </c>
      <c r="I825" s="36">
        <f t="shared" si="89"/>
        <v>3.0242514829710531E-2</v>
      </c>
    </row>
    <row r="826" spans="2:9" x14ac:dyDescent="0.35">
      <c r="B826" s="16">
        <f t="shared" si="90"/>
        <v>68.083333333333826</v>
      </c>
      <c r="C826" s="17">
        <f t="shared" si="86"/>
        <v>68.083333333333826</v>
      </c>
      <c r="D826" s="1" cm="1">
        <f t="array" ref="D826">_xlfn.XLOOKUP(_xlfn.FLOOR.MATH(C826),'Mortality Tables'!$B$4:$B$124,_xlfn.XLOOKUP(mortality_table,'Mortality Tables'!$B$3:$G$3,'Mortality Tables'!$B$4:$G$124,0,0),0,0)</f>
        <v>1.9913E-2</v>
      </c>
      <c r="E826" s="1">
        <f t="shared" si="87"/>
        <v>1.6594166666666667E-3</v>
      </c>
      <c r="F826" s="1">
        <f t="shared" si="91"/>
        <v>0.99834058333333331</v>
      </c>
      <c r="G826" s="1">
        <f t="shared" si="92"/>
        <v>0.83323780257721769</v>
      </c>
      <c r="H826" s="34">
        <f t="shared" si="88"/>
        <v>3.6087923072754657E-2</v>
      </c>
      <c r="I826" s="36">
        <f t="shared" si="89"/>
        <v>3.0069821720717763E-2</v>
      </c>
    </row>
    <row r="827" spans="2:9" x14ac:dyDescent="0.35">
      <c r="B827" s="16">
        <f t="shared" si="90"/>
        <v>68.166666666667155</v>
      </c>
      <c r="C827" s="17">
        <f t="shared" si="86"/>
        <v>68.166666666667155</v>
      </c>
      <c r="D827" s="1" cm="1">
        <f t="array" ref="D827">_xlfn.XLOOKUP(_xlfn.FLOOR.MATH(C827),'Mortality Tables'!$B$4:$B$124,_xlfn.XLOOKUP(mortality_table,'Mortality Tables'!$B$3:$G$3,'Mortality Tables'!$B$4:$G$124,0,0),0,0)</f>
        <v>1.9913E-2</v>
      </c>
      <c r="E827" s="1">
        <f t="shared" si="87"/>
        <v>1.6594166666666667E-3</v>
      </c>
      <c r="F827" s="1">
        <f t="shared" si="91"/>
        <v>0.99834058333333331</v>
      </c>
      <c r="G827" s="1">
        <f t="shared" si="92"/>
        <v>0.83185511388032429</v>
      </c>
      <c r="H827" s="34">
        <f t="shared" si="88"/>
        <v>3.59414929813794E-2</v>
      </c>
      <c r="I827" s="36">
        <f t="shared" si="89"/>
        <v>2.9898114737054237E-2</v>
      </c>
    </row>
    <row r="828" spans="2:9" x14ac:dyDescent="0.35">
      <c r="B828" s="16">
        <f t="shared" si="90"/>
        <v>68.250000000000483</v>
      </c>
      <c r="C828" s="17">
        <f t="shared" si="86"/>
        <v>68.250000000000483</v>
      </c>
      <c r="D828" s="1" cm="1">
        <f t="array" ref="D828">_xlfn.XLOOKUP(_xlfn.FLOOR.MATH(C828),'Mortality Tables'!$B$4:$B$124,_xlfn.XLOOKUP(mortality_table,'Mortality Tables'!$B$3:$G$3,'Mortality Tables'!$B$4:$G$124,0,0),0,0)</f>
        <v>1.9913E-2</v>
      </c>
      <c r="E828" s="1">
        <f t="shared" si="87"/>
        <v>1.6594166666666667E-3</v>
      </c>
      <c r="F828" s="1">
        <f t="shared" si="91"/>
        <v>0.99834058333333331</v>
      </c>
      <c r="G828" s="1">
        <f t="shared" si="92"/>
        <v>0.83047471964009933</v>
      </c>
      <c r="H828" s="34">
        <f t="shared" si="88"/>
        <v>3.5795657043666496E-2</v>
      </c>
      <c r="I828" s="36">
        <f t="shared" si="89"/>
        <v>2.9727388247672081E-2</v>
      </c>
    </row>
    <row r="829" spans="2:9" x14ac:dyDescent="0.35">
      <c r="B829" s="16">
        <f t="shared" si="90"/>
        <v>68.333333333333812</v>
      </c>
      <c r="C829" s="17">
        <f t="shared" si="86"/>
        <v>68.333333333333812</v>
      </c>
      <c r="D829" s="1" cm="1">
        <f t="array" ref="D829">_xlfn.XLOOKUP(_xlfn.FLOOR.MATH(C829),'Mortality Tables'!$B$4:$B$124,_xlfn.XLOOKUP(mortality_table,'Mortality Tables'!$B$3:$G$3,'Mortality Tables'!$B$4:$G$124,0,0),0,0)</f>
        <v>1.9913E-2</v>
      </c>
      <c r="E829" s="1">
        <f t="shared" si="87"/>
        <v>1.6594166666666667E-3</v>
      </c>
      <c r="F829" s="1">
        <f t="shared" si="91"/>
        <v>0.99834058333333331</v>
      </c>
      <c r="G829" s="1">
        <f t="shared" si="92"/>
        <v>0.82909661604908325</v>
      </c>
      <c r="H829" s="34">
        <f t="shared" si="88"/>
        <v>3.5650412848782398E-2</v>
      </c>
      <c r="I829" s="36">
        <f t="shared" si="89"/>
        <v>2.9557636653678245E-2</v>
      </c>
    </row>
    <row r="830" spans="2:9" x14ac:dyDescent="0.35">
      <c r="B830" s="16">
        <f t="shared" si="90"/>
        <v>68.41666666666714</v>
      </c>
      <c r="C830" s="17">
        <f t="shared" si="86"/>
        <v>68.41666666666714</v>
      </c>
      <c r="D830" s="1" cm="1">
        <f t="array" ref="D830">_xlfn.XLOOKUP(_xlfn.FLOOR.MATH(C830),'Mortality Tables'!$B$4:$B$124,_xlfn.XLOOKUP(mortality_table,'Mortality Tables'!$B$3:$G$3,'Mortality Tables'!$B$4:$G$124,0,0),0,0)</f>
        <v>1.9913E-2</v>
      </c>
      <c r="E830" s="1">
        <f t="shared" si="87"/>
        <v>1.6594166666666667E-3</v>
      </c>
      <c r="F830" s="1">
        <f t="shared" si="91"/>
        <v>0.99834058333333331</v>
      </c>
      <c r="G830" s="1">
        <f t="shared" si="92"/>
        <v>0.8277207993061344</v>
      </c>
      <c r="H830" s="34">
        <f t="shared" si="88"/>
        <v>3.5505757995675763E-2</v>
      </c>
      <c r="I830" s="36">
        <f t="shared" si="89"/>
        <v>2.9388854388150917E-2</v>
      </c>
    </row>
    <row r="831" spans="2:9" x14ac:dyDescent="0.35">
      <c r="B831" s="16">
        <f t="shared" si="90"/>
        <v>68.500000000000469</v>
      </c>
      <c r="C831" s="17">
        <f t="shared" si="86"/>
        <v>68.500000000000469</v>
      </c>
      <c r="D831" s="1" cm="1">
        <f t="array" ref="D831">_xlfn.XLOOKUP(_xlfn.FLOOR.MATH(C831),'Mortality Tables'!$B$4:$B$124,_xlfn.XLOOKUP(mortality_table,'Mortality Tables'!$B$3:$G$3,'Mortality Tables'!$B$4:$G$124,0,0),0,0)</f>
        <v>1.9913E-2</v>
      </c>
      <c r="E831" s="1">
        <f t="shared" si="87"/>
        <v>1.6594166666666667E-3</v>
      </c>
      <c r="F831" s="1">
        <f t="shared" si="91"/>
        <v>0.99834058333333331</v>
      </c>
      <c r="G831" s="1">
        <f t="shared" si="92"/>
        <v>0.82634726561641914</v>
      </c>
      <c r="H831" s="34">
        <f t="shared" si="88"/>
        <v>3.5361690093037725E-2</v>
      </c>
      <c r="I831" s="36">
        <f t="shared" si="89"/>
        <v>2.9221035915956942E-2</v>
      </c>
    </row>
    <row r="832" spans="2:9" x14ac:dyDescent="0.35">
      <c r="B832" s="16">
        <f t="shared" si="90"/>
        <v>68.583333333333798</v>
      </c>
      <c r="C832" s="17">
        <f t="shared" si="86"/>
        <v>68.583333333333798</v>
      </c>
      <c r="D832" s="1" cm="1">
        <f t="array" ref="D832">_xlfn.XLOOKUP(_xlfn.FLOOR.MATH(C832),'Mortality Tables'!$B$4:$B$124,_xlfn.XLOOKUP(mortality_table,'Mortality Tables'!$B$3:$G$3,'Mortality Tables'!$B$4:$G$124,0,0),0,0)</f>
        <v>1.9913E-2</v>
      </c>
      <c r="E832" s="1">
        <f t="shared" si="87"/>
        <v>1.6594166666666667E-3</v>
      </c>
      <c r="F832" s="1">
        <f t="shared" si="91"/>
        <v>0.99834058333333331</v>
      </c>
      <c r="G832" s="1">
        <f t="shared" si="92"/>
        <v>0.82497601119140085</v>
      </c>
      <c r="H832" s="34">
        <f t="shared" si="88"/>
        <v>3.521820675926237E-2</v>
      </c>
      <c r="I832" s="36">
        <f t="shared" si="89"/>
        <v>2.9054175733570303E-2</v>
      </c>
    </row>
    <row r="833" spans="2:9" x14ac:dyDescent="0.35">
      <c r="B833" s="16">
        <f t="shared" si="90"/>
        <v>68.666666666667126</v>
      </c>
      <c r="C833" s="17">
        <f t="shared" si="86"/>
        <v>68.666666666667126</v>
      </c>
      <c r="D833" s="1" cm="1">
        <f t="array" ref="D833">_xlfn.XLOOKUP(_xlfn.FLOOR.MATH(C833),'Mortality Tables'!$B$4:$B$124,_xlfn.XLOOKUP(mortality_table,'Mortality Tables'!$B$3:$G$3,'Mortality Tables'!$B$4:$G$124,0,0),0,0)</f>
        <v>1.9913E-2</v>
      </c>
      <c r="E833" s="1">
        <f t="shared" si="87"/>
        <v>1.6594166666666667E-3</v>
      </c>
      <c r="F833" s="1">
        <f t="shared" si="91"/>
        <v>0.99834058333333331</v>
      </c>
      <c r="G833" s="1">
        <f t="shared" si="92"/>
        <v>0.82360703224882958</v>
      </c>
      <c r="H833" s="34">
        <f t="shared" si="88"/>
        <v>3.5075305622407391E-2</v>
      </c>
      <c r="I833" s="36">
        <f t="shared" si="89"/>
        <v>2.8888268368891638E-2</v>
      </c>
    </row>
    <row r="834" spans="2:9" x14ac:dyDescent="0.35">
      <c r="B834" s="16">
        <f t="shared" si="90"/>
        <v>68.750000000000455</v>
      </c>
      <c r="C834" s="17">
        <f t="shared" si="86"/>
        <v>68.750000000000455</v>
      </c>
      <c r="D834" s="1" cm="1">
        <f t="array" ref="D834">_xlfn.XLOOKUP(_xlfn.FLOOR.MATH(C834),'Mortality Tables'!$B$4:$B$124,_xlfn.XLOOKUP(mortality_table,'Mortality Tables'!$B$3:$G$3,'Mortality Tables'!$B$4:$G$124,0,0),0,0)</f>
        <v>1.9913E-2</v>
      </c>
      <c r="E834" s="1">
        <f t="shared" si="87"/>
        <v>1.6594166666666667E-3</v>
      </c>
      <c r="F834" s="1">
        <f t="shared" si="91"/>
        <v>0.99834058333333331</v>
      </c>
      <c r="G834" s="1">
        <f t="shared" si="92"/>
        <v>0.82224032501273203</v>
      </c>
      <c r="H834" s="34">
        <f t="shared" si="88"/>
        <v>3.4932984320154854E-2</v>
      </c>
      <c r="I834" s="36">
        <f t="shared" si="89"/>
        <v>2.8723308381068801E-2</v>
      </c>
    </row>
    <row r="835" spans="2:9" x14ac:dyDescent="0.35">
      <c r="B835" s="16">
        <f t="shared" si="90"/>
        <v>68.833333333333783</v>
      </c>
      <c r="C835" s="17">
        <f t="shared" si="86"/>
        <v>68.833333333333783</v>
      </c>
      <c r="D835" s="1" cm="1">
        <f t="array" ref="D835">_xlfn.XLOOKUP(_xlfn.FLOOR.MATH(C835),'Mortality Tables'!$B$4:$B$124,_xlfn.XLOOKUP(mortality_table,'Mortality Tables'!$B$3:$G$3,'Mortality Tables'!$B$4:$G$124,0,0),0,0)</f>
        <v>1.9913E-2</v>
      </c>
      <c r="E835" s="1">
        <f t="shared" si="87"/>
        <v>1.6594166666666667E-3</v>
      </c>
      <c r="F835" s="1">
        <f t="shared" si="91"/>
        <v>0.99834058333333331</v>
      </c>
      <c r="G835" s="1">
        <f t="shared" si="92"/>
        <v>0.82087588571340042</v>
      </c>
      <c r="H835" s="34">
        <f t="shared" si="88"/>
        <v>3.4791240499772107E-2</v>
      </c>
      <c r="I835" s="36">
        <f t="shared" si="89"/>
        <v>2.8559290360318356E-2</v>
      </c>
    </row>
    <row r="836" spans="2:9" x14ac:dyDescent="0.35">
      <c r="B836" s="16">
        <f t="shared" si="90"/>
        <v>68.916666666667112</v>
      </c>
      <c r="C836" s="17">
        <f t="shared" si="86"/>
        <v>68.916666666667112</v>
      </c>
      <c r="D836" s="1" cm="1">
        <f t="array" ref="D836">_xlfn.XLOOKUP(_xlfn.FLOOR.MATH(C836),'Mortality Tables'!$B$4:$B$124,_xlfn.XLOOKUP(mortality_table,'Mortality Tables'!$B$3:$G$3,'Mortality Tables'!$B$4:$G$124,0,0),0,0)</f>
        <v>1.9913E-2</v>
      </c>
      <c r="E836" s="1">
        <f t="shared" si="87"/>
        <v>1.6594166666666667E-3</v>
      </c>
      <c r="F836" s="1">
        <f t="shared" si="91"/>
        <v>0.99834058333333331</v>
      </c>
      <c r="G836" s="1">
        <f t="shared" si="92"/>
        <v>0.81951371058738287</v>
      </c>
      <c r="H836" s="34">
        <f t="shared" si="88"/>
        <v>3.4650071818072989E-2</v>
      </c>
      <c r="I836" s="36">
        <f t="shared" si="89"/>
        <v>2.8396208927748297E-2</v>
      </c>
    </row>
    <row r="837" spans="2:9" x14ac:dyDescent="0.35">
      <c r="B837" s="16">
        <f t="shared" si="90"/>
        <v>69.000000000000441</v>
      </c>
      <c r="C837" s="17">
        <f t="shared" si="86"/>
        <v>69.000000000000441</v>
      </c>
      <c r="D837" s="1" cm="1">
        <f t="array" ref="D837">_xlfn.XLOOKUP(_xlfn.FLOOR.MATH(C837),'Mortality Tables'!$B$4:$B$124,_xlfn.XLOOKUP(mortality_table,'Mortality Tables'!$B$3:$G$3,'Mortality Tables'!$B$4:$G$124,0,0),0,0)</f>
        <v>2.2225999999999999E-2</v>
      </c>
      <c r="E837" s="1">
        <f t="shared" si="87"/>
        <v>1.8521666666666665E-3</v>
      </c>
      <c r="F837" s="1">
        <f t="shared" si="91"/>
        <v>0.99814783333333335</v>
      </c>
      <c r="G837" s="1">
        <f t="shared" si="92"/>
        <v>0.81815379587747228</v>
      </c>
      <c r="H837" s="34">
        <f t="shared" si="88"/>
        <v>3.4509475941378986E-2</v>
      </c>
      <c r="I837" s="36">
        <f t="shared" si="89"/>
        <v>2.8234058735181523E-2</v>
      </c>
    </row>
    <row r="838" spans="2:9" x14ac:dyDescent="0.35">
      <c r="B838" s="16">
        <f t="shared" si="90"/>
        <v>69.083333333333769</v>
      </c>
      <c r="C838" s="17">
        <f t="shared" si="86"/>
        <v>69.083333333333769</v>
      </c>
      <c r="D838" s="1" cm="1">
        <f t="array" ref="D838">_xlfn.XLOOKUP(_xlfn.FLOOR.MATH(C838),'Mortality Tables'!$B$4:$B$124,_xlfn.XLOOKUP(mortality_table,'Mortality Tables'!$B$3:$G$3,'Mortality Tables'!$B$4:$G$124,0,0),0,0)</f>
        <v>2.2225999999999999E-2</v>
      </c>
      <c r="E838" s="1">
        <f t="shared" si="87"/>
        <v>1.8521666666666665E-3</v>
      </c>
      <c r="F838" s="1">
        <f t="shared" si="91"/>
        <v>0.99814783333333335</v>
      </c>
      <c r="G838" s="1">
        <f t="shared" si="92"/>
        <v>0.81663843868854125</v>
      </c>
      <c r="H838" s="34">
        <f t="shared" si="88"/>
        <v>3.4369450545480733E-2</v>
      </c>
      <c r="I838" s="36">
        <f t="shared" si="89"/>
        <v>2.8067414432044416E-2</v>
      </c>
    </row>
    <row r="839" spans="2:9" x14ac:dyDescent="0.35">
      <c r="B839" s="16">
        <f t="shared" si="90"/>
        <v>69.166666666667098</v>
      </c>
      <c r="C839" s="17">
        <f t="shared" si="86"/>
        <v>69.166666666667098</v>
      </c>
      <c r="D839" s="1" cm="1">
        <f t="array" ref="D839">_xlfn.XLOOKUP(_xlfn.FLOOR.MATH(C839),'Mortality Tables'!$B$4:$B$124,_xlfn.XLOOKUP(mortality_table,'Mortality Tables'!$B$3:$G$3,'Mortality Tables'!$B$4:$G$124,0,0),0,0)</f>
        <v>2.2225999999999999E-2</v>
      </c>
      <c r="E839" s="1">
        <f t="shared" si="87"/>
        <v>1.8521666666666665E-3</v>
      </c>
      <c r="F839" s="1">
        <f t="shared" si="91"/>
        <v>0.99814783333333335</v>
      </c>
      <c r="G839" s="1">
        <f t="shared" si="92"/>
        <v>0.81512588819368359</v>
      </c>
      <c r="H839" s="34">
        <f t="shared" si="88"/>
        <v>3.4229993315599533E-2</v>
      </c>
      <c r="I839" s="36">
        <f t="shared" si="89"/>
        <v>2.7901753704241923E-2</v>
      </c>
    </row>
    <row r="840" spans="2:9" x14ac:dyDescent="0.35">
      <c r="B840" s="16">
        <f t="shared" si="90"/>
        <v>69.250000000000426</v>
      </c>
      <c r="C840" s="17">
        <f t="shared" si="86"/>
        <v>69.250000000000426</v>
      </c>
      <c r="D840" s="1" cm="1">
        <f t="array" ref="D840">_xlfn.XLOOKUP(_xlfn.FLOOR.MATH(C840),'Mortality Tables'!$B$4:$B$124,_xlfn.XLOOKUP(mortality_table,'Mortality Tables'!$B$3:$G$3,'Mortality Tables'!$B$4:$G$124,0,0),0,0)</f>
        <v>2.2225999999999999E-2</v>
      </c>
      <c r="E840" s="1">
        <f t="shared" si="87"/>
        <v>1.8521666666666665E-3</v>
      </c>
      <c r="F840" s="1">
        <f t="shared" si="91"/>
        <v>0.99814783333333335</v>
      </c>
      <c r="G840" s="1">
        <f t="shared" si="92"/>
        <v>0.81361613919443421</v>
      </c>
      <c r="H840" s="34">
        <f t="shared" si="88"/>
        <v>3.409110194634913E-2</v>
      </c>
      <c r="I840" s="36">
        <f t="shared" si="89"/>
        <v>2.7737070746472442E-2</v>
      </c>
    </row>
    <row r="841" spans="2:9" x14ac:dyDescent="0.35">
      <c r="B841" s="16">
        <f t="shared" si="90"/>
        <v>69.333333333333755</v>
      </c>
      <c r="C841" s="17">
        <f t="shared" ref="C841:C904" si="93">current_age+B841</f>
        <v>69.333333333333755</v>
      </c>
      <c r="D841" s="1" cm="1">
        <f t="array" ref="D841">_xlfn.XLOOKUP(_xlfn.FLOOR.MATH(C841),'Mortality Tables'!$B$4:$B$124,_xlfn.XLOOKUP(mortality_table,'Mortality Tables'!$B$3:$G$3,'Mortality Tables'!$B$4:$G$124,0,0),0,0)</f>
        <v>2.2225999999999999E-2</v>
      </c>
      <c r="E841" s="1">
        <f t="shared" ref="E841:E904" si="94">$F$5*D841</f>
        <v>1.8521666666666665E-3</v>
      </c>
      <c r="F841" s="1">
        <f t="shared" si="91"/>
        <v>0.99814783333333335</v>
      </c>
      <c r="G841" s="1">
        <f t="shared" si="92"/>
        <v>0.81210918650195629</v>
      </c>
      <c r="H841" s="34">
        <f t="shared" ref="H841:H904" si="95">(1+interest_rate)^-(B841)</f>
        <v>3.395277414169761E-2</v>
      </c>
      <c r="I841" s="36">
        <f t="shared" ref="I841:I904" si="96">IF(current_age+B841&lt;=$C$5,G841*H841,0)</f>
        <v>2.7573359787698704E-2</v>
      </c>
    </row>
    <row r="842" spans="2:9" x14ac:dyDescent="0.35">
      <c r="B842" s="16">
        <f t="shared" ref="B842:B905" si="97">B841+$F$5</f>
        <v>69.416666666667084</v>
      </c>
      <c r="C842" s="17">
        <f t="shared" si="93"/>
        <v>69.416666666667084</v>
      </c>
      <c r="D842" s="1" cm="1">
        <f t="array" ref="D842">_xlfn.XLOOKUP(_xlfn.FLOOR.MATH(C842),'Mortality Tables'!$B$4:$B$124,_xlfn.XLOOKUP(mortality_table,'Mortality Tables'!$B$3:$G$3,'Mortality Tables'!$B$4:$G$124,0,0),0,0)</f>
        <v>2.2225999999999999E-2</v>
      </c>
      <c r="E842" s="1">
        <f t="shared" si="94"/>
        <v>1.8521666666666665E-3</v>
      </c>
      <c r="F842" s="1">
        <f t="shared" si="91"/>
        <v>0.99814783333333335</v>
      </c>
      <c r="G842" s="1">
        <f t="shared" si="92"/>
        <v>0.81060502493702358</v>
      </c>
      <c r="H842" s="34">
        <f t="shared" si="95"/>
        <v>3.3815007614929386E-2</v>
      </c>
      <c r="I842" s="36">
        <f t="shared" si="96"/>
        <v>2.7410615090945476E-2</v>
      </c>
    </row>
    <row r="843" spans="2:9" x14ac:dyDescent="0.35">
      <c r="B843" s="16">
        <f t="shared" si="97"/>
        <v>69.500000000000412</v>
      </c>
      <c r="C843" s="17">
        <f t="shared" si="93"/>
        <v>69.500000000000412</v>
      </c>
      <c r="D843" s="1" cm="1">
        <f t="array" ref="D843">_xlfn.XLOOKUP(_xlfn.FLOOR.MATH(C843),'Mortality Tables'!$B$4:$B$124,_xlfn.XLOOKUP(mortality_table,'Mortality Tables'!$B$3:$G$3,'Mortality Tables'!$B$4:$G$124,0,0),0,0)</f>
        <v>2.2225999999999999E-2</v>
      </c>
      <c r="E843" s="1">
        <f t="shared" si="94"/>
        <v>1.8521666666666665E-3</v>
      </c>
      <c r="F843" s="1">
        <f t="shared" si="91"/>
        <v>0.99814783333333335</v>
      </c>
      <c r="G843" s="1">
        <f t="shared" si="92"/>
        <v>0.80910364933000278</v>
      </c>
      <c r="H843" s="34">
        <f t="shared" si="95"/>
        <v>3.3677800088607449E-2</v>
      </c>
      <c r="I843" s="36">
        <f t="shared" si="96"/>
        <v>2.7248830953098577E-2</v>
      </c>
    </row>
    <row r="844" spans="2:9" x14ac:dyDescent="0.35">
      <c r="B844" s="16">
        <f t="shared" si="97"/>
        <v>69.583333333333741</v>
      </c>
      <c r="C844" s="17">
        <f t="shared" si="93"/>
        <v>69.583333333333741</v>
      </c>
      <c r="D844" s="1" cm="1">
        <f t="array" ref="D844">_xlfn.XLOOKUP(_xlfn.FLOOR.MATH(C844),'Mortality Tables'!$B$4:$B$124,_xlfn.XLOOKUP(mortality_table,'Mortality Tables'!$B$3:$G$3,'Mortality Tables'!$B$4:$G$124,0,0),0,0)</f>
        <v>2.2225999999999999E-2</v>
      </c>
      <c r="E844" s="1">
        <f t="shared" si="94"/>
        <v>1.8521666666666665E-3</v>
      </c>
      <c r="F844" s="1">
        <f t="shared" si="91"/>
        <v>0.99814783333333335</v>
      </c>
      <c r="G844" s="1">
        <f t="shared" si="92"/>
        <v>0.80760505452083542</v>
      </c>
      <c r="H844" s="34">
        <f t="shared" si="95"/>
        <v>3.3541149294535687E-2</v>
      </c>
      <c r="I844" s="36">
        <f t="shared" si="96"/>
        <v>2.7088001704704975E-2</v>
      </c>
    </row>
    <row r="845" spans="2:9" x14ac:dyDescent="0.35">
      <c r="B845" s="16">
        <f t="shared" si="97"/>
        <v>69.666666666667069</v>
      </c>
      <c r="C845" s="17">
        <f t="shared" si="93"/>
        <v>69.666666666667069</v>
      </c>
      <c r="D845" s="1" cm="1">
        <f t="array" ref="D845">_xlfn.XLOOKUP(_xlfn.FLOOR.MATH(C845),'Mortality Tables'!$B$4:$B$124,_xlfn.XLOOKUP(mortality_table,'Mortality Tables'!$B$3:$G$3,'Mortality Tables'!$B$4:$G$124,0,0),0,0)</f>
        <v>2.2225999999999999E-2</v>
      </c>
      <c r="E845" s="1">
        <f t="shared" si="94"/>
        <v>1.8521666666666665E-3</v>
      </c>
      <c r="F845" s="1">
        <f t="shared" si="91"/>
        <v>0.99814783333333335</v>
      </c>
      <c r="G845" s="1">
        <f t="shared" si="92"/>
        <v>0.80610923535902046</v>
      </c>
      <c r="H845" s="34">
        <f t="shared" si="95"/>
        <v>3.3405052973721427E-2</v>
      </c>
      <c r="I845" s="36">
        <f t="shared" si="96"/>
        <v>2.6928121709774152E-2</v>
      </c>
    </row>
    <row r="846" spans="2:9" x14ac:dyDescent="0.35">
      <c r="B846" s="16">
        <f t="shared" si="97"/>
        <v>69.750000000000398</v>
      </c>
      <c r="C846" s="17">
        <f t="shared" si="93"/>
        <v>69.750000000000398</v>
      </c>
      <c r="D846" s="1" cm="1">
        <f t="array" ref="D846">_xlfn.XLOOKUP(_xlfn.FLOOR.MATH(C846),'Mortality Tables'!$B$4:$B$124,_xlfn.XLOOKUP(mortality_table,'Mortality Tables'!$B$3:$G$3,'Mortality Tables'!$B$4:$G$124,0,0),0,0)</f>
        <v>2.2225999999999999E-2</v>
      </c>
      <c r="E846" s="1">
        <f t="shared" si="94"/>
        <v>1.8521666666666665E-3</v>
      </c>
      <c r="F846" s="1">
        <f t="shared" si="91"/>
        <v>0.99814783333333335</v>
      </c>
      <c r="G846" s="1">
        <f t="shared" si="92"/>
        <v>0.80461618670359636</v>
      </c>
      <c r="H846" s="34">
        <f t="shared" si="95"/>
        <v>3.3269508876338047E-2</v>
      </c>
      <c r="I846" s="36">
        <f t="shared" si="96"/>
        <v>2.676918536558057E-2</v>
      </c>
    </row>
    <row r="847" spans="2:9" x14ac:dyDescent="0.35">
      <c r="B847" s="16">
        <f t="shared" si="97"/>
        <v>69.833333333333727</v>
      </c>
      <c r="C847" s="17">
        <f t="shared" si="93"/>
        <v>69.833333333333727</v>
      </c>
      <c r="D847" s="1" cm="1">
        <f t="array" ref="D847">_xlfn.XLOOKUP(_xlfn.FLOOR.MATH(C847),'Mortality Tables'!$B$4:$B$124,_xlfn.XLOOKUP(mortality_table,'Mortality Tables'!$B$3:$G$3,'Mortality Tables'!$B$4:$G$124,0,0),0,0)</f>
        <v>2.2225999999999999E-2</v>
      </c>
      <c r="E847" s="1">
        <f t="shared" si="94"/>
        <v>1.8521666666666665E-3</v>
      </c>
      <c r="F847" s="1">
        <f t="shared" si="91"/>
        <v>0.99814783333333335</v>
      </c>
      <c r="G847" s="1">
        <f t="shared" si="92"/>
        <v>0.80312590342312351</v>
      </c>
      <c r="H847" s="34">
        <f t="shared" si="95"/>
        <v>3.3134514761687821E-2</v>
      </c>
      <c r="I847" s="36">
        <f t="shared" si="96"/>
        <v>2.6611187102467352E-2</v>
      </c>
    </row>
    <row r="848" spans="2:9" x14ac:dyDescent="0.35">
      <c r="B848" s="16">
        <f t="shared" si="97"/>
        <v>69.916666666667055</v>
      </c>
      <c r="C848" s="17">
        <f t="shared" si="93"/>
        <v>69.916666666667055</v>
      </c>
      <c r="D848" s="1" cm="1">
        <f t="array" ref="D848">_xlfn.XLOOKUP(_xlfn.FLOOR.MATH(C848),'Mortality Tables'!$B$4:$B$124,_xlfn.XLOOKUP(mortality_table,'Mortality Tables'!$B$3:$G$3,'Mortality Tables'!$B$4:$G$124,0,0),0,0)</f>
        <v>2.2225999999999999E-2</v>
      </c>
      <c r="E848" s="1">
        <f t="shared" si="94"/>
        <v>1.8521666666666665E-3</v>
      </c>
      <c r="F848" s="1">
        <f t="shared" si="91"/>
        <v>0.99814783333333335</v>
      </c>
      <c r="G848" s="1">
        <f t="shared" si="92"/>
        <v>0.80163838039566671</v>
      </c>
      <c r="H848" s="34">
        <f t="shared" si="95"/>
        <v>3.3000068398164835E-2</v>
      </c>
      <c r="I848" s="36">
        <f t="shared" si="96"/>
        <v>2.645412138365108E-2</v>
      </c>
    </row>
    <row r="849" spans="2:9" x14ac:dyDescent="0.35">
      <c r="B849" s="16">
        <f t="shared" si="97"/>
        <v>70.000000000000384</v>
      </c>
      <c r="C849" s="17">
        <f t="shared" si="93"/>
        <v>70.000000000000384</v>
      </c>
      <c r="D849" s="1" cm="1">
        <f t="array" ref="D849">_xlfn.XLOOKUP(_xlfn.FLOOR.MATH(C849),'Mortality Tables'!$B$4:$B$124,_xlfn.XLOOKUP(mortality_table,'Mortality Tables'!$B$3:$G$3,'Mortality Tables'!$B$4:$G$124,0,0),0,0)</f>
        <v>2.4782999999999999E-2</v>
      </c>
      <c r="E849" s="1">
        <f t="shared" si="94"/>
        <v>2.0652499999999998E-3</v>
      </c>
      <c r="F849" s="1">
        <f t="shared" si="91"/>
        <v>0.99793474999999998</v>
      </c>
      <c r="G849" s="1">
        <f t="shared" si="92"/>
        <v>0.80015361250877726</v>
      </c>
      <c r="H849" s="34">
        <f t="shared" si="95"/>
        <v>3.2866167563218161E-2</v>
      </c>
      <c r="I849" s="36">
        <f t="shared" si="96"/>
        <v>2.6297982705027808E-2</v>
      </c>
    </row>
    <row r="850" spans="2:9" x14ac:dyDescent="0.35">
      <c r="B850" s="16">
        <f t="shared" si="97"/>
        <v>70.083333333333712</v>
      </c>
      <c r="C850" s="17">
        <f t="shared" si="93"/>
        <v>70.083333333333712</v>
      </c>
      <c r="D850" s="1" cm="1">
        <f t="array" ref="D850">_xlfn.XLOOKUP(_xlfn.FLOOR.MATH(C850),'Mortality Tables'!$B$4:$B$124,_xlfn.XLOOKUP(mortality_table,'Mortality Tables'!$B$3:$G$3,'Mortality Tables'!$B$4:$G$124,0,0),0,0)</f>
        <v>2.4782999999999999E-2</v>
      </c>
      <c r="E850" s="1">
        <f t="shared" si="94"/>
        <v>2.0652499999999998E-3</v>
      </c>
      <c r="F850" s="1">
        <f t="shared" si="91"/>
        <v>0.99793474999999998</v>
      </c>
      <c r="G850" s="1">
        <f t="shared" si="92"/>
        <v>0.79850109526054347</v>
      </c>
      <c r="H850" s="34">
        <f t="shared" si="95"/>
        <v>3.2732810043315061E-2</v>
      </c>
      <c r="I850" s="36">
        <f t="shared" si="96"/>
        <v>2.6137184670542393E-2</v>
      </c>
    </row>
    <row r="851" spans="2:9" x14ac:dyDescent="0.35">
      <c r="B851" s="16">
        <f t="shared" si="97"/>
        <v>70.166666666667041</v>
      </c>
      <c r="C851" s="17">
        <f t="shared" si="93"/>
        <v>70.166666666667041</v>
      </c>
      <c r="D851" s="1" cm="1">
        <f t="array" ref="D851">_xlfn.XLOOKUP(_xlfn.FLOOR.MATH(C851),'Mortality Tables'!$B$4:$B$124,_xlfn.XLOOKUP(mortality_table,'Mortality Tables'!$B$3:$G$3,'Mortality Tables'!$B$4:$G$124,0,0),0,0)</f>
        <v>2.4782999999999999E-2</v>
      </c>
      <c r="E851" s="1">
        <f t="shared" si="94"/>
        <v>2.0652499999999998E-3</v>
      </c>
      <c r="F851" s="1">
        <f t="shared" si="91"/>
        <v>0.99793474999999998</v>
      </c>
      <c r="G851" s="1">
        <f t="shared" si="92"/>
        <v>0.79685199087355663</v>
      </c>
      <c r="H851" s="34">
        <f t="shared" si="95"/>
        <v>3.2599993633904395E-2</v>
      </c>
      <c r="I851" s="36">
        <f t="shared" si="96"/>
        <v>2.5977369829641991E-2</v>
      </c>
    </row>
    <row r="852" spans="2:9" x14ac:dyDescent="0.35">
      <c r="B852" s="16">
        <f t="shared" si="97"/>
        <v>70.250000000000369</v>
      </c>
      <c r="C852" s="17">
        <f t="shared" si="93"/>
        <v>70.250000000000369</v>
      </c>
      <c r="D852" s="1" cm="1">
        <f t="array" ref="D852">_xlfn.XLOOKUP(_xlfn.FLOOR.MATH(C852),'Mortality Tables'!$B$4:$B$124,_xlfn.XLOOKUP(mortality_table,'Mortality Tables'!$B$3:$G$3,'Mortality Tables'!$B$4:$G$124,0,0),0,0)</f>
        <v>2.4782999999999999E-2</v>
      </c>
      <c r="E852" s="1">
        <f t="shared" si="94"/>
        <v>2.0652499999999998E-3</v>
      </c>
      <c r="F852" s="1">
        <f t="shared" si="91"/>
        <v>0.99793474999999998</v>
      </c>
      <c r="G852" s="1">
        <f t="shared" si="92"/>
        <v>0.79520629229940498</v>
      </c>
      <c r="H852" s="34">
        <f t="shared" si="95"/>
        <v>3.2467716139380216E-2</v>
      </c>
      <c r="I852" s="36">
        <f t="shared" si="96"/>
        <v>2.5818532170626091E-2</v>
      </c>
    </row>
    <row r="853" spans="2:9" x14ac:dyDescent="0.35">
      <c r="B853" s="16">
        <f t="shared" si="97"/>
        <v>70.333333333333698</v>
      </c>
      <c r="C853" s="17">
        <f t="shared" si="93"/>
        <v>70.333333333333698</v>
      </c>
      <c r="D853" s="1" cm="1">
        <f t="array" ref="D853">_xlfn.XLOOKUP(_xlfn.FLOOR.MATH(C853),'Mortality Tables'!$B$4:$B$124,_xlfn.XLOOKUP(mortality_table,'Mortality Tables'!$B$3:$G$3,'Mortality Tables'!$B$4:$G$124,0,0),0,0)</f>
        <v>2.4782999999999999E-2</v>
      </c>
      <c r="E853" s="1">
        <f t="shared" si="94"/>
        <v>2.0652499999999998E-3</v>
      </c>
      <c r="F853" s="1">
        <f t="shared" si="91"/>
        <v>0.99793474999999998</v>
      </c>
      <c r="G853" s="1">
        <f t="shared" si="92"/>
        <v>0.7935639925042336</v>
      </c>
      <c r="H853" s="34">
        <f t="shared" si="95"/>
        <v>3.2335975373045431E-2</v>
      </c>
      <c r="I853" s="36">
        <f t="shared" si="96"/>
        <v>2.5660665718552505E-2</v>
      </c>
    </row>
    <row r="854" spans="2:9" x14ac:dyDescent="0.35">
      <c r="B854" s="16">
        <f t="shared" si="97"/>
        <v>70.416666666667027</v>
      </c>
      <c r="C854" s="17">
        <f t="shared" si="93"/>
        <v>70.416666666667027</v>
      </c>
      <c r="D854" s="1" cm="1">
        <f t="array" ref="D854">_xlfn.XLOOKUP(_xlfn.FLOOR.MATH(C854),'Mortality Tables'!$B$4:$B$124,_xlfn.XLOOKUP(mortality_table,'Mortality Tables'!$B$3:$G$3,'Mortality Tables'!$B$4:$G$124,0,0),0,0)</f>
        <v>2.4782999999999999E-2</v>
      </c>
      <c r="E854" s="1">
        <f t="shared" si="94"/>
        <v>2.0652499999999998E-3</v>
      </c>
      <c r="F854" s="1">
        <f t="shared" si="91"/>
        <v>0.99793474999999998</v>
      </c>
      <c r="G854" s="1">
        <f t="shared" si="92"/>
        <v>0.79192508446871424</v>
      </c>
      <c r="H854" s="34">
        <f t="shared" si="95"/>
        <v>3.2204769157075701E-2</v>
      </c>
      <c r="I854" s="36">
        <f t="shared" si="96"/>
        <v>2.5503764535012616E-2</v>
      </c>
    </row>
    <row r="855" spans="2:9" x14ac:dyDescent="0.35">
      <c r="B855" s="16">
        <f t="shared" si="97"/>
        <v>70.500000000000355</v>
      </c>
      <c r="C855" s="17">
        <f t="shared" si="93"/>
        <v>70.500000000000355</v>
      </c>
      <c r="D855" s="1" cm="1">
        <f t="array" ref="D855">_xlfn.XLOOKUP(_xlfn.FLOOR.MATH(C855),'Mortality Tables'!$B$4:$B$124,_xlfn.XLOOKUP(mortality_table,'Mortality Tables'!$B$3:$G$3,'Mortality Tables'!$B$4:$G$124,0,0),0,0)</f>
        <v>2.4782999999999999E-2</v>
      </c>
      <c r="E855" s="1">
        <f t="shared" si="94"/>
        <v>2.0652499999999998E-3</v>
      </c>
      <c r="F855" s="1">
        <f t="shared" si="91"/>
        <v>0.99793474999999998</v>
      </c>
      <c r="G855" s="1">
        <f t="shared" si="92"/>
        <v>0.79028956118801519</v>
      </c>
      <c r="H855" s="34">
        <f t="shared" si="95"/>
        <v>3.2074095322483377E-2</v>
      </c>
      <c r="I855" s="36">
        <f t="shared" si="96"/>
        <v>2.5347822717907958E-2</v>
      </c>
    </row>
    <row r="856" spans="2:9" x14ac:dyDescent="0.35">
      <c r="B856" s="16">
        <f t="shared" si="97"/>
        <v>70.583333333333684</v>
      </c>
      <c r="C856" s="17">
        <f t="shared" si="93"/>
        <v>70.583333333333684</v>
      </c>
      <c r="D856" s="1" cm="1">
        <f t="array" ref="D856">_xlfn.XLOOKUP(_xlfn.FLOOR.MATH(C856),'Mortality Tables'!$B$4:$B$124,_xlfn.XLOOKUP(mortality_table,'Mortality Tables'!$B$3:$G$3,'Mortality Tables'!$B$4:$G$124,0,0),0,0)</f>
        <v>2.4782999999999999E-2</v>
      </c>
      <c r="E856" s="1">
        <f t="shared" si="94"/>
        <v>2.0652499999999998E-3</v>
      </c>
      <c r="F856" s="1">
        <f t="shared" si="91"/>
        <v>0.99793474999999998</v>
      </c>
      <c r="G856" s="1">
        <f t="shared" si="92"/>
        <v>0.78865741567177161</v>
      </c>
      <c r="H856" s="34">
        <f t="shared" si="95"/>
        <v>3.1943951709081687E-2</v>
      </c>
      <c r="I856" s="36">
        <f t="shared" si="96"/>
        <v>2.5192834401228235E-2</v>
      </c>
    </row>
    <row r="857" spans="2:9" x14ac:dyDescent="0.35">
      <c r="B857" s="16">
        <f t="shared" si="97"/>
        <v>70.666666666667012</v>
      </c>
      <c r="C857" s="17">
        <f t="shared" si="93"/>
        <v>70.666666666667012</v>
      </c>
      <c r="D857" s="1" cm="1">
        <f t="array" ref="D857">_xlfn.XLOOKUP(_xlfn.FLOOR.MATH(C857),'Mortality Tables'!$B$4:$B$124,_xlfn.XLOOKUP(mortality_table,'Mortality Tables'!$B$3:$G$3,'Mortality Tables'!$B$4:$G$124,0,0),0,0)</f>
        <v>2.4782999999999999E-2</v>
      </c>
      <c r="E857" s="1">
        <f t="shared" si="94"/>
        <v>2.0652499999999998E-3</v>
      </c>
      <c r="F857" s="1">
        <f t="shared" si="91"/>
        <v>0.99793474999999998</v>
      </c>
      <c r="G857" s="1">
        <f t="shared" si="92"/>
        <v>0.78702864094405545</v>
      </c>
      <c r="H857" s="34">
        <f t="shared" si="95"/>
        <v>3.1814336165449063E-2</v>
      </c>
      <c r="I857" s="36">
        <f t="shared" si="96"/>
        <v>2.5038793754830688E-2</v>
      </c>
    </row>
    <row r="858" spans="2:9" x14ac:dyDescent="0.35">
      <c r="B858" s="16">
        <f t="shared" si="97"/>
        <v>70.750000000000341</v>
      </c>
      <c r="C858" s="17">
        <f t="shared" si="93"/>
        <v>70.750000000000341</v>
      </c>
      <c r="D858" s="1" cm="1">
        <f t="array" ref="D858">_xlfn.XLOOKUP(_xlfn.FLOOR.MATH(C858),'Mortality Tables'!$B$4:$B$124,_xlfn.XLOOKUP(mortality_table,'Mortality Tables'!$B$3:$G$3,'Mortality Tables'!$B$4:$G$124,0,0),0,0)</f>
        <v>2.4782999999999999E-2</v>
      </c>
      <c r="E858" s="1">
        <f t="shared" si="94"/>
        <v>2.0652499999999998E-3</v>
      </c>
      <c r="F858" s="1">
        <f t="shared" si="91"/>
        <v>0.99793474999999998</v>
      </c>
      <c r="G858" s="1">
        <f t="shared" si="92"/>
        <v>0.78540323004334567</v>
      </c>
      <c r="H858" s="34">
        <f t="shared" si="95"/>
        <v>3.1685246548893459E-2</v>
      </c>
      <c r="I858" s="36">
        <f t="shared" si="96"/>
        <v>2.4885694984220694E-2</v>
      </c>
    </row>
    <row r="859" spans="2:9" x14ac:dyDescent="0.35">
      <c r="B859" s="16">
        <f t="shared" si="97"/>
        <v>70.83333333333367</v>
      </c>
      <c r="C859" s="17">
        <f t="shared" si="93"/>
        <v>70.83333333333367</v>
      </c>
      <c r="D859" s="1" cm="1">
        <f t="array" ref="D859">_xlfn.XLOOKUP(_xlfn.FLOOR.MATH(C859),'Mortality Tables'!$B$4:$B$124,_xlfn.XLOOKUP(mortality_table,'Mortality Tables'!$B$3:$G$3,'Mortality Tables'!$B$4:$G$124,0,0),0,0)</f>
        <v>2.4782999999999999E-2</v>
      </c>
      <c r="E859" s="1">
        <f t="shared" si="94"/>
        <v>2.0652499999999998E-3</v>
      </c>
      <c r="F859" s="1">
        <f t="shared" ref="F859:F922" si="98">1-E859</f>
        <v>0.99793474999999998</v>
      </c>
      <c r="G859" s="1">
        <f t="shared" ref="G859:G922" si="99">G858*F858</f>
        <v>0.78378117602249864</v>
      </c>
      <c r="H859" s="34">
        <f t="shared" si="95"/>
        <v>3.1556680725417049E-2</v>
      </c>
      <c r="I859" s="36">
        <f t="shared" si="96"/>
        <v>2.4733532330333891E-2</v>
      </c>
    </row>
    <row r="860" spans="2:9" x14ac:dyDescent="0.35">
      <c r="B860" s="16">
        <f t="shared" si="97"/>
        <v>70.916666666666998</v>
      </c>
      <c r="C860" s="17">
        <f t="shared" si="93"/>
        <v>70.916666666666998</v>
      </c>
      <c r="D860" s="1" cm="1">
        <f t="array" ref="D860">_xlfn.XLOOKUP(_xlfn.FLOOR.MATH(C860),'Mortality Tables'!$B$4:$B$124,_xlfn.XLOOKUP(mortality_table,'Mortality Tables'!$B$3:$G$3,'Mortality Tables'!$B$4:$G$124,0,0),0,0)</f>
        <v>2.4782999999999999E-2</v>
      </c>
      <c r="E860" s="1">
        <f t="shared" si="94"/>
        <v>2.0652499999999998E-3</v>
      </c>
      <c r="F860" s="1">
        <f t="shared" si="98"/>
        <v>0.99793474999999998</v>
      </c>
      <c r="G860" s="1">
        <f t="shared" si="99"/>
        <v>0.78216247194871813</v>
      </c>
      <c r="H860" s="34">
        <f t="shared" si="95"/>
        <v>3.1428636569680889E-2</v>
      </c>
      <c r="I860" s="36">
        <f t="shared" si="96"/>
        <v>2.4582300069319486E-2</v>
      </c>
    </row>
    <row r="861" spans="2:9" x14ac:dyDescent="0.35">
      <c r="B861" s="16">
        <f t="shared" si="97"/>
        <v>71.000000000000327</v>
      </c>
      <c r="C861" s="17">
        <f t="shared" si="93"/>
        <v>71.000000000000327</v>
      </c>
      <c r="D861" s="1" cm="1">
        <f t="array" ref="D861">_xlfn.XLOOKUP(_xlfn.FLOOR.MATH(C861),'Mortality Tables'!$B$4:$B$124,_xlfn.XLOOKUP(mortality_table,'Mortality Tables'!$B$3:$G$3,'Mortality Tables'!$B$4:$G$124,0,0),0,0)</f>
        <v>2.7605999999999999E-2</v>
      </c>
      <c r="E861" s="1">
        <f t="shared" si="94"/>
        <v>2.3004999999999996E-3</v>
      </c>
      <c r="F861" s="1">
        <f t="shared" si="98"/>
        <v>0.99769949999999996</v>
      </c>
      <c r="G861" s="1">
        <f t="shared" si="99"/>
        <v>0.78054711090352602</v>
      </c>
      <c r="H861" s="34">
        <f t="shared" si="95"/>
        <v>3.130111196496977E-2</v>
      </c>
      <c r="I861" s="36">
        <f t="shared" si="96"/>
        <v>2.4431992512324946E-2</v>
      </c>
    </row>
    <row r="862" spans="2:9" x14ac:dyDescent="0.35">
      <c r="B862" s="16">
        <f t="shared" si="97"/>
        <v>71.083333333333655</v>
      </c>
      <c r="C862" s="17">
        <f t="shared" si="93"/>
        <v>71.083333333333655</v>
      </c>
      <c r="D862" s="1" cm="1">
        <f t="array" ref="D862">_xlfn.XLOOKUP(_xlfn.FLOOR.MATH(C862),'Mortality Tables'!$B$4:$B$124,_xlfn.XLOOKUP(mortality_table,'Mortality Tables'!$B$3:$G$3,'Mortality Tables'!$B$4:$G$124,0,0),0,0)</f>
        <v>2.7605999999999999E-2</v>
      </c>
      <c r="E862" s="1">
        <f t="shared" si="94"/>
        <v>2.3004999999999996E-3</v>
      </c>
      <c r="F862" s="1">
        <f t="shared" si="98"/>
        <v>0.99769949999999996</v>
      </c>
      <c r="G862" s="1">
        <f t="shared" si="99"/>
        <v>0.77875146227489245</v>
      </c>
      <c r="H862" s="34">
        <f t="shared" si="95"/>
        <v>3.1174104803157292E-2</v>
      </c>
      <c r="I862" s="36">
        <f t="shared" si="96"/>
        <v>2.4276879700569489E-2</v>
      </c>
    </row>
    <row r="863" spans="2:9" x14ac:dyDescent="0.35">
      <c r="B863" s="16">
        <f t="shared" si="97"/>
        <v>71.166666666666984</v>
      </c>
      <c r="C863" s="17">
        <f t="shared" si="93"/>
        <v>71.166666666666984</v>
      </c>
      <c r="D863" s="1" cm="1">
        <f t="array" ref="D863">_xlfn.XLOOKUP(_xlfn.FLOOR.MATH(C863),'Mortality Tables'!$B$4:$B$124,_xlfn.XLOOKUP(mortality_table,'Mortality Tables'!$B$3:$G$3,'Mortality Tables'!$B$4:$G$124,0,0),0,0)</f>
        <v>2.7605999999999999E-2</v>
      </c>
      <c r="E863" s="1">
        <f t="shared" si="94"/>
        <v>2.3004999999999996E-3</v>
      </c>
      <c r="F863" s="1">
        <f t="shared" si="98"/>
        <v>0.99769949999999996</v>
      </c>
      <c r="G863" s="1">
        <f t="shared" si="99"/>
        <v>0.77695994453592898</v>
      </c>
      <c r="H863" s="34">
        <f t="shared" si="95"/>
        <v>3.1047612984670944E-2</v>
      </c>
      <c r="I863" s="36">
        <f t="shared" si="96"/>
        <v>2.4122751662542925E-2</v>
      </c>
    </row>
    <row r="864" spans="2:9" x14ac:dyDescent="0.35">
      <c r="B864" s="16">
        <f t="shared" si="97"/>
        <v>71.250000000000313</v>
      </c>
      <c r="C864" s="17">
        <f t="shared" si="93"/>
        <v>71.250000000000313</v>
      </c>
      <c r="D864" s="1" cm="1">
        <f t="array" ref="D864">_xlfn.XLOOKUP(_xlfn.FLOOR.MATH(C864),'Mortality Tables'!$B$4:$B$124,_xlfn.XLOOKUP(mortality_table,'Mortality Tables'!$B$3:$G$3,'Mortality Tables'!$B$4:$G$124,0,0),0,0)</f>
        <v>2.7605999999999999E-2</v>
      </c>
      <c r="E864" s="1">
        <f t="shared" si="94"/>
        <v>2.3004999999999996E-3</v>
      </c>
      <c r="F864" s="1">
        <f t="shared" si="98"/>
        <v>0.99769949999999996</v>
      </c>
      <c r="G864" s="1">
        <f t="shared" si="99"/>
        <v>0.7751725481835241</v>
      </c>
      <c r="H864" s="34">
        <f t="shared" si="95"/>
        <v>3.0921634418457428E-2</v>
      </c>
      <c r="I864" s="36">
        <f t="shared" si="96"/>
        <v>2.3969602146155008E-2</v>
      </c>
    </row>
    <row r="865" spans="2:9" x14ac:dyDescent="0.35">
      <c r="B865" s="16">
        <f t="shared" si="97"/>
        <v>71.333333333333641</v>
      </c>
      <c r="C865" s="17">
        <f t="shared" si="93"/>
        <v>71.333333333333641</v>
      </c>
      <c r="D865" s="1" cm="1">
        <f t="array" ref="D865">_xlfn.XLOOKUP(_xlfn.FLOOR.MATH(C865),'Mortality Tables'!$B$4:$B$124,_xlfn.XLOOKUP(mortality_table,'Mortality Tables'!$B$3:$G$3,'Mortality Tables'!$B$4:$G$124,0,0),0,0)</f>
        <v>2.7605999999999999E-2</v>
      </c>
      <c r="E865" s="1">
        <f t="shared" si="94"/>
        <v>2.3004999999999996E-3</v>
      </c>
      <c r="F865" s="1">
        <f t="shared" si="98"/>
        <v>0.99769949999999996</v>
      </c>
      <c r="G865" s="1">
        <f t="shared" si="99"/>
        <v>0.77338926373642791</v>
      </c>
      <c r="H865" s="34">
        <f t="shared" si="95"/>
        <v>3.0796167021948113E-2</v>
      </c>
      <c r="I865" s="36">
        <f t="shared" si="96"/>
        <v>2.3817424939008514E-2</v>
      </c>
    </row>
    <row r="866" spans="2:9" x14ac:dyDescent="0.35">
      <c r="B866" s="16">
        <f t="shared" si="97"/>
        <v>71.41666666666697</v>
      </c>
      <c r="C866" s="17">
        <f t="shared" si="93"/>
        <v>71.41666666666697</v>
      </c>
      <c r="D866" s="1" cm="1">
        <f t="array" ref="D866">_xlfn.XLOOKUP(_xlfn.FLOOR.MATH(C866),'Mortality Tables'!$B$4:$B$124,_xlfn.XLOOKUP(mortality_table,'Mortality Tables'!$B$3:$G$3,'Mortality Tables'!$B$4:$G$124,0,0),0,0)</f>
        <v>2.7605999999999999E-2</v>
      </c>
      <c r="E866" s="1">
        <f t="shared" si="94"/>
        <v>2.3004999999999996E-3</v>
      </c>
      <c r="F866" s="1">
        <f t="shared" si="98"/>
        <v>0.99769949999999996</v>
      </c>
      <c r="G866" s="1">
        <f t="shared" si="99"/>
        <v>0.77161008173520218</v>
      </c>
      <c r="H866" s="34">
        <f t="shared" si="95"/>
        <v>3.0671208721024554E-2</v>
      </c>
      <c r="I866" s="36">
        <f t="shared" si="96"/>
        <v>2.3666213868147202E-2</v>
      </c>
    </row>
    <row r="867" spans="2:9" x14ac:dyDescent="0.35">
      <c r="B867" s="16">
        <f t="shared" si="97"/>
        <v>71.500000000000298</v>
      </c>
      <c r="C867" s="17">
        <f t="shared" si="93"/>
        <v>71.500000000000298</v>
      </c>
      <c r="D867" s="1" cm="1">
        <f t="array" ref="D867">_xlfn.XLOOKUP(_xlfn.FLOOR.MATH(C867),'Mortality Tables'!$B$4:$B$124,_xlfn.XLOOKUP(mortality_table,'Mortality Tables'!$B$3:$G$3,'Mortality Tables'!$B$4:$G$124,0,0),0,0)</f>
        <v>2.7605999999999999E-2</v>
      </c>
      <c r="E867" s="1">
        <f t="shared" si="94"/>
        <v>2.3004999999999996E-3</v>
      </c>
      <c r="F867" s="1">
        <f t="shared" si="98"/>
        <v>0.99769949999999996</v>
      </c>
      <c r="G867" s="1">
        <f t="shared" si="99"/>
        <v>0.76983499274217027</v>
      </c>
      <c r="H867" s="34">
        <f t="shared" si="95"/>
        <v>3.0546757449984245E-2</v>
      </c>
      <c r="I867" s="36">
        <f t="shared" si="96"/>
        <v>2.3515962799805456E-2</v>
      </c>
    </row>
    <row r="868" spans="2:9" x14ac:dyDescent="0.35">
      <c r="B868" s="16">
        <f t="shared" si="97"/>
        <v>71.583333333333627</v>
      </c>
      <c r="C868" s="17">
        <f t="shared" si="93"/>
        <v>71.583333333333627</v>
      </c>
      <c r="D868" s="1" cm="1">
        <f t="array" ref="D868">_xlfn.XLOOKUP(_xlfn.FLOOR.MATH(C868),'Mortality Tables'!$B$4:$B$124,_xlfn.XLOOKUP(mortality_table,'Mortality Tables'!$B$3:$G$3,'Mortality Tables'!$B$4:$G$124,0,0),0,0)</f>
        <v>2.7605999999999999E-2</v>
      </c>
      <c r="E868" s="1">
        <f t="shared" si="94"/>
        <v>2.3004999999999996E-3</v>
      </c>
      <c r="F868" s="1">
        <f t="shared" si="98"/>
        <v>0.99769949999999996</v>
      </c>
      <c r="G868" s="1">
        <f t="shared" si="99"/>
        <v>0.76806398734136683</v>
      </c>
      <c r="H868" s="34">
        <f t="shared" si="95"/>
        <v>3.0422811151506461E-2</v>
      </c>
      <c r="I868" s="36">
        <f t="shared" si="96"/>
        <v>2.3366665639159453E-2</v>
      </c>
    </row>
    <row r="869" spans="2:9" x14ac:dyDescent="0.35">
      <c r="B869" s="16">
        <f t="shared" si="97"/>
        <v>71.666666666666956</v>
      </c>
      <c r="C869" s="17">
        <f t="shared" si="93"/>
        <v>71.666666666666956</v>
      </c>
      <c r="D869" s="1" cm="1">
        <f t="array" ref="D869">_xlfn.XLOOKUP(_xlfn.FLOOR.MATH(C869),'Mortality Tables'!$B$4:$B$124,_xlfn.XLOOKUP(mortality_table,'Mortality Tables'!$B$3:$G$3,'Mortality Tables'!$B$4:$G$124,0,0),0,0)</f>
        <v>2.7605999999999999E-2</v>
      </c>
      <c r="E869" s="1">
        <f t="shared" si="94"/>
        <v>2.3004999999999996E-3</v>
      </c>
      <c r="F869" s="1">
        <f t="shared" si="98"/>
        <v>0.99769949999999996</v>
      </c>
      <c r="G869" s="1">
        <f t="shared" si="99"/>
        <v>0.76629705613848798</v>
      </c>
      <c r="H869" s="34">
        <f t="shared" si="95"/>
        <v>3.0299367776618243E-2</v>
      </c>
      <c r="I869" s="36">
        <f t="shared" si="96"/>
        <v>2.3218316330079924E-2</v>
      </c>
    </row>
    <row r="870" spans="2:9" x14ac:dyDescent="0.35">
      <c r="B870" s="16">
        <f t="shared" si="97"/>
        <v>71.750000000000284</v>
      </c>
      <c r="C870" s="17">
        <f t="shared" si="93"/>
        <v>71.750000000000284</v>
      </c>
      <c r="D870" s="1" cm="1">
        <f t="array" ref="D870">_xlfn.XLOOKUP(_xlfn.FLOOR.MATH(C870),'Mortality Tables'!$B$4:$B$124,_xlfn.XLOOKUP(mortality_table,'Mortality Tables'!$B$3:$G$3,'Mortality Tables'!$B$4:$G$124,0,0),0,0)</f>
        <v>2.7605999999999999E-2</v>
      </c>
      <c r="E870" s="1">
        <f t="shared" si="94"/>
        <v>2.3004999999999996E-3</v>
      </c>
      <c r="F870" s="1">
        <f t="shared" si="98"/>
        <v>0.99769949999999996</v>
      </c>
      <c r="G870" s="1">
        <f t="shared" si="99"/>
        <v>0.76453418976084131</v>
      </c>
      <c r="H870" s="34">
        <f t="shared" si="95"/>
        <v>3.0176425284660531E-2</v>
      </c>
      <c r="I870" s="36">
        <f t="shared" si="96"/>
        <v>2.3070908854886503E-2</v>
      </c>
    </row>
    <row r="871" spans="2:9" x14ac:dyDescent="0.35">
      <c r="B871" s="16">
        <f t="shared" si="97"/>
        <v>71.833333333333613</v>
      </c>
      <c r="C871" s="17">
        <f t="shared" si="93"/>
        <v>71.833333333333613</v>
      </c>
      <c r="D871" s="1" cm="1">
        <f t="array" ref="D871">_xlfn.XLOOKUP(_xlfn.FLOOR.MATH(C871),'Mortality Tables'!$B$4:$B$124,_xlfn.XLOOKUP(mortality_table,'Mortality Tables'!$B$3:$G$3,'Mortality Tables'!$B$4:$G$124,0,0),0,0)</f>
        <v>2.7605999999999999E-2</v>
      </c>
      <c r="E871" s="1">
        <f t="shared" si="94"/>
        <v>2.3004999999999996E-3</v>
      </c>
      <c r="F871" s="1">
        <f t="shared" si="98"/>
        <v>0.99769949999999996</v>
      </c>
      <c r="G871" s="1">
        <f t="shared" si="99"/>
        <v>0.76277537885729652</v>
      </c>
      <c r="H871" s="34">
        <f t="shared" si="95"/>
        <v>3.0053981643254422E-2</v>
      </c>
      <c r="I871" s="36">
        <f t="shared" si="96"/>
        <v>2.2924437234103628E-2</v>
      </c>
    </row>
    <row r="872" spans="2:9" x14ac:dyDescent="0.35">
      <c r="B872" s="16">
        <f t="shared" si="97"/>
        <v>71.916666666666941</v>
      </c>
      <c r="C872" s="17">
        <f t="shared" si="93"/>
        <v>71.916666666666941</v>
      </c>
      <c r="D872" s="1" cm="1">
        <f t="array" ref="D872">_xlfn.XLOOKUP(_xlfn.FLOOR.MATH(C872),'Mortality Tables'!$B$4:$B$124,_xlfn.XLOOKUP(mortality_table,'Mortality Tables'!$B$3:$G$3,'Mortality Tables'!$B$4:$G$124,0,0),0,0)</f>
        <v>2.7605999999999999E-2</v>
      </c>
      <c r="E872" s="1">
        <f t="shared" si="94"/>
        <v>2.3004999999999996E-3</v>
      </c>
      <c r="F872" s="1">
        <f t="shared" si="98"/>
        <v>0.99769949999999996</v>
      </c>
      <c r="G872" s="1">
        <f t="shared" si="99"/>
        <v>0.76102061409823529</v>
      </c>
      <c r="H872" s="34">
        <f t="shared" si="95"/>
        <v>2.9932034828267583E-2</v>
      </c>
      <c r="I872" s="36">
        <f t="shared" si="96"/>
        <v>2.2778895526217962E-2</v>
      </c>
    </row>
    <row r="873" spans="2:9" x14ac:dyDescent="0.35">
      <c r="B873" s="16">
        <f t="shared" si="97"/>
        <v>72.00000000000027</v>
      </c>
      <c r="C873" s="17">
        <f t="shared" si="93"/>
        <v>72.00000000000027</v>
      </c>
      <c r="D873" s="1" cm="1">
        <f t="array" ref="D873">_xlfn.XLOOKUP(_xlfn.FLOOR.MATH(C873),'Mortality Tables'!$B$4:$B$124,_xlfn.XLOOKUP(mortality_table,'Mortality Tables'!$B$3:$G$3,'Mortality Tables'!$B$4:$G$124,0,0),0,0)</f>
        <v>3.0717999999999999E-2</v>
      </c>
      <c r="E873" s="1">
        <f t="shared" si="94"/>
        <v>2.5598333333333332E-3</v>
      </c>
      <c r="F873" s="1">
        <f t="shared" si="98"/>
        <v>0.99744016666666668</v>
      </c>
      <c r="G873" s="1">
        <f t="shared" si="99"/>
        <v>0.75926988617550228</v>
      </c>
      <c r="H873" s="34">
        <f t="shared" si="95"/>
        <v>2.9810582823780813E-2</v>
      </c>
      <c r="I873" s="36">
        <f t="shared" si="96"/>
        <v>2.2634277827437443E-2</v>
      </c>
    </row>
    <row r="874" spans="2:9" x14ac:dyDescent="0.35">
      <c r="B874" s="16">
        <f t="shared" si="97"/>
        <v>72.083333333333599</v>
      </c>
      <c r="C874" s="17">
        <f t="shared" si="93"/>
        <v>72.083333333333599</v>
      </c>
      <c r="D874" s="1" cm="1">
        <f t="array" ref="D874">_xlfn.XLOOKUP(_xlfn.FLOOR.MATH(C874),'Mortality Tables'!$B$4:$B$124,_xlfn.XLOOKUP(mortality_table,'Mortality Tables'!$B$3:$G$3,'Mortality Tables'!$B$4:$G$124,0,0),0,0)</f>
        <v>3.0717999999999999E-2</v>
      </c>
      <c r="E874" s="1">
        <f t="shared" si="94"/>
        <v>2.5598333333333332E-3</v>
      </c>
      <c r="F874" s="1">
        <f t="shared" si="98"/>
        <v>0.99744016666666668</v>
      </c>
      <c r="G874" s="1">
        <f t="shared" si="99"/>
        <v>0.757326281811874</v>
      </c>
      <c r="H874" s="34">
        <f t="shared" si="95"/>
        <v>2.9689623622054639E-2</v>
      </c>
      <c r="I874" s="36">
        <f t="shared" si="96"/>
        <v>2.2484732266084623E-2</v>
      </c>
    </row>
    <row r="875" spans="2:9" x14ac:dyDescent="0.35">
      <c r="B875" s="16">
        <f t="shared" si="97"/>
        <v>72.166666666666927</v>
      </c>
      <c r="C875" s="17">
        <f t="shared" si="93"/>
        <v>72.166666666666927</v>
      </c>
      <c r="D875" s="1" cm="1">
        <f t="array" ref="D875">_xlfn.XLOOKUP(_xlfn.FLOOR.MATH(C875),'Mortality Tables'!$B$4:$B$124,_xlfn.XLOOKUP(mortality_table,'Mortality Tables'!$B$3:$G$3,'Mortality Tables'!$B$4:$G$124,0,0),0,0)</f>
        <v>3.0717999999999999E-2</v>
      </c>
      <c r="E875" s="1">
        <f t="shared" si="94"/>
        <v>2.5598333333333332E-3</v>
      </c>
      <c r="F875" s="1">
        <f t="shared" si="98"/>
        <v>0.99744016666666668</v>
      </c>
      <c r="G875" s="1">
        <f t="shared" si="99"/>
        <v>0.75538765275148256</v>
      </c>
      <c r="H875" s="34">
        <f t="shared" si="95"/>
        <v>2.9569155223496214E-2</v>
      </c>
      <c r="I875" s="36">
        <f t="shared" si="96"/>
        <v>2.2336174758121045E-2</v>
      </c>
    </row>
    <row r="876" spans="2:9" x14ac:dyDescent="0.35">
      <c r="B876" s="16">
        <f t="shared" si="97"/>
        <v>72.250000000000256</v>
      </c>
      <c r="C876" s="17">
        <f t="shared" si="93"/>
        <v>72.250000000000256</v>
      </c>
      <c r="D876" s="1" cm="1">
        <f t="array" ref="D876">_xlfn.XLOOKUP(_xlfn.FLOOR.MATH(C876),'Mortality Tables'!$B$4:$B$124,_xlfn.XLOOKUP(mortality_table,'Mortality Tables'!$B$3:$G$3,'Mortality Tables'!$B$4:$G$124,0,0),0,0)</f>
        <v>3.0717999999999999E-2</v>
      </c>
      <c r="E876" s="1">
        <f t="shared" si="94"/>
        <v>2.5598333333333332E-3</v>
      </c>
      <c r="F876" s="1">
        <f t="shared" si="98"/>
        <v>0.99744016666666668</v>
      </c>
      <c r="G876" s="1">
        <f t="shared" si="99"/>
        <v>0.75345398625838089</v>
      </c>
      <c r="H876" s="34">
        <f t="shared" si="95"/>
        <v>2.9449175636626208E-2</v>
      </c>
      <c r="I876" s="36">
        <f t="shared" si="96"/>
        <v>2.218859877543921E-2</v>
      </c>
    </row>
    <row r="877" spans="2:9" x14ac:dyDescent="0.35">
      <c r="B877" s="16">
        <f t="shared" si="97"/>
        <v>72.333333333333584</v>
      </c>
      <c r="C877" s="17">
        <f t="shared" si="93"/>
        <v>72.333333333333584</v>
      </c>
      <c r="D877" s="1" cm="1">
        <f t="array" ref="D877">_xlfn.XLOOKUP(_xlfn.FLOOR.MATH(C877),'Mortality Tables'!$B$4:$B$124,_xlfn.XLOOKUP(mortality_table,'Mortality Tables'!$B$3:$G$3,'Mortality Tables'!$B$4:$G$124,0,0),0,0)</f>
        <v>3.0717999999999999E-2</v>
      </c>
      <c r="E877" s="1">
        <f t="shared" si="94"/>
        <v>2.5598333333333332E-3</v>
      </c>
      <c r="F877" s="1">
        <f t="shared" si="98"/>
        <v>0.99744016666666668</v>
      </c>
      <c r="G877" s="1">
        <f t="shared" si="99"/>
        <v>0.75152526962922384</v>
      </c>
      <c r="H877" s="34">
        <f t="shared" si="95"/>
        <v>2.9329682878045903E-2</v>
      </c>
      <c r="I877" s="36">
        <f t="shared" si="96"/>
        <v>2.2041997833063078E-2</v>
      </c>
    </row>
    <row r="878" spans="2:9" x14ac:dyDescent="0.35">
      <c r="B878" s="16">
        <f t="shared" si="97"/>
        <v>72.416666666666913</v>
      </c>
      <c r="C878" s="17">
        <f t="shared" si="93"/>
        <v>72.416666666666913</v>
      </c>
      <c r="D878" s="1" cm="1">
        <f t="array" ref="D878">_xlfn.XLOOKUP(_xlfn.FLOOR.MATH(C878),'Mortality Tables'!$B$4:$B$124,_xlfn.XLOOKUP(mortality_table,'Mortality Tables'!$B$3:$G$3,'Mortality Tables'!$B$4:$G$124,0,0),0,0)</f>
        <v>3.0717999999999999E-2</v>
      </c>
      <c r="E878" s="1">
        <f t="shared" si="94"/>
        <v>2.5598333333333332E-3</v>
      </c>
      <c r="F878" s="1">
        <f t="shared" si="98"/>
        <v>0.99744016666666668</v>
      </c>
      <c r="G878" s="1">
        <f t="shared" si="99"/>
        <v>0.74960149019318467</v>
      </c>
      <c r="H878" s="34">
        <f t="shared" si="95"/>
        <v>2.9210674972404423E-2</v>
      </c>
      <c r="I878" s="36">
        <f t="shared" si="96"/>
        <v>2.1896365488863118E-2</v>
      </c>
    </row>
    <row r="879" spans="2:9" x14ac:dyDescent="0.35">
      <c r="B879" s="16">
        <f t="shared" si="97"/>
        <v>72.500000000000242</v>
      </c>
      <c r="C879" s="17">
        <f t="shared" si="93"/>
        <v>72.500000000000242</v>
      </c>
      <c r="D879" s="1" cm="1">
        <f t="array" ref="D879">_xlfn.XLOOKUP(_xlfn.FLOOR.MATH(C879),'Mortality Tables'!$B$4:$B$124,_xlfn.XLOOKUP(mortality_table,'Mortality Tables'!$B$3:$G$3,'Mortality Tables'!$B$4:$G$124,0,0),0,0)</f>
        <v>3.0717999999999999E-2</v>
      </c>
      <c r="E879" s="1">
        <f t="shared" si="94"/>
        <v>2.5598333333333332E-3</v>
      </c>
      <c r="F879" s="1">
        <f t="shared" si="98"/>
        <v>0.99744016666666668</v>
      </c>
      <c r="G879" s="1">
        <f t="shared" si="99"/>
        <v>0.74768263531187185</v>
      </c>
      <c r="H879" s="34">
        <f t="shared" si="95"/>
        <v>2.9092149952366031E-2</v>
      </c>
      <c r="I879" s="36">
        <f t="shared" si="96"/>
        <v>2.1751695343273182E-2</v>
      </c>
    </row>
    <row r="880" spans="2:9" x14ac:dyDescent="0.35">
      <c r="B880" s="16">
        <f t="shared" si="97"/>
        <v>72.58333333333357</v>
      </c>
      <c r="C880" s="17">
        <f t="shared" si="93"/>
        <v>72.58333333333357</v>
      </c>
      <c r="D880" s="1" cm="1">
        <f t="array" ref="D880">_xlfn.XLOOKUP(_xlfn.FLOOR.MATH(C880),'Mortality Tables'!$B$4:$B$124,_xlfn.XLOOKUP(mortality_table,'Mortality Tables'!$B$3:$G$3,'Mortality Tables'!$B$4:$G$124,0,0),0,0)</f>
        <v>3.0717999999999999E-2</v>
      </c>
      <c r="E880" s="1">
        <f t="shared" si="94"/>
        <v>2.5598333333333332E-3</v>
      </c>
      <c r="F880" s="1">
        <f t="shared" si="98"/>
        <v>0.99744016666666668</v>
      </c>
      <c r="G880" s="1">
        <f t="shared" si="99"/>
        <v>0.74576869237924603</v>
      </c>
      <c r="H880" s="34">
        <f t="shared" si="95"/>
        <v>2.8974105858577653E-2</v>
      </c>
      <c r="I880" s="36">
        <f t="shared" si="96"/>
        <v>2.1607981039009308E-2</v>
      </c>
    </row>
    <row r="881" spans="2:9" x14ac:dyDescent="0.35">
      <c r="B881" s="16">
        <f t="shared" si="97"/>
        <v>72.666666666666899</v>
      </c>
      <c r="C881" s="17">
        <f t="shared" si="93"/>
        <v>72.666666666666899</v>
      </c>
      <c r="D881" s="1" cm="1">
        <f t="array" ref="D881">_xlfn.XLOOKUP(_xlfn.FLOOR.MATH(C881),'Mortality Tables'!$B$4:$B$124,_xlfn.XLOOKUP(mortality_table,'Mortality Tables'!$B$3:$G$3,'Mortality Tables'!$B$4:$G$124,0,0),0,0)</f>
        <v>3.0717999999999999E-2</v>
      </c>
      <c r="E881" s="1">
        <f t="shared" si="94"/>
        <v>2.5598333333333332E-3</v>
      </c>
      <c r="F881" s="1">
        <f t="shared" si="98"/>
        <v>0.99744016666666668</v>
      </c>
      <c r="G881" s="1">
        <f t="shared" si="99"/>
        <v>0.74385964882153721</v>
      </c>
      <c r="H881" s="34">
        <f t="shared" si="95"/>
        <v>2.8856540739636491E-2</v>
      </c>
      <c r="I881" s="36">
        <f t="shared" si="96"/>
        <v>2.1465216260790381E-2</v>
      </c>
    </row>
    <row r="882" spans="2:9" x14ac:dyDescent="0.35">
      <c r="B882" s="16">
        <f t="shared" si="97"/>
        <v>72.750000000000227</v>
      </c>
      <c r="C882" s="17">
        <f t="shared" si="93"/>
        <v>72.750000000000227</v>
      </c>
      <c r="D882" s="1" cm="1">
        <f t="array" ref="D882">_xlfn.XLOOKUP(_xlfn.FLOOR.MATH(C882),'Mortality Tables'!$B$4:$B$124,_xlfn.XLOOKUP(mortality_table,'Mortality Tables'!$B$3:$G$3,'Mortality Tables'!$B$4:$G$124,0,0),0,0)</f>
        <v>3.0717999999999999E-2</v>
      </c>
      <c r="E882" s="1">
        <f t="shared" si="94"/>
        <v>2.5598333333333332E-3</v>
      </c>
      <c r="F882" s="1">
        <f t="shared" si="98"/>
        <v>0.99744016666666668</v>
      </c>
      <c r="G882" s="1">
        <f t="shared" si="99"/>
        <v>0.74195549209716227</v>
      </c>
      <c r="H882" s="34">
        <f t="shared" si="95"/>
        <v>2.8739452652057719E-2</v>
      </c>
      <c r="I882" s="36">
        <f t="shared" si="96"/>
        <v>2.1323394735060581E-2</v>
      </c>
    </row>
    <row r="883" spans="2:9" x14ac:dyDescent="0.35">
      <c r="B883" s="16">
        <f t="shared" si="97"/>
        <v>72.833333333333556</v>
      </c>
      <c r="C883" s="17">
        <f t="shared" si="93"/>
        <v>72.833333333333556</v>
      </c>
      <c r="D883" s="1" cm="1">
        <f t="array" ref="D883">_xlfn.XLOOKUP(_xlfn.FLOOR.MATH(C883),'Mortality Tables'!$B$4:$B$124,_xlfn.XLOOKUP(mortality_table,'Mortality Tables'!$B$3:$G$3,'Mortality Tables'!$B$4:$G$124,0,0),0,0)</f>
        <v>3.0717999999999999E-2</v>
      </c>
      <c r="E883" s="1">
        <f t="shared" si="94"/>
        <v>2.5598333333333332E-3</v>
      </c>
      <c r="F883" s="1">
        <f t="shared" si="98"/>
        <v>0.99744016666666668</v>
      </c>
      <c r="G883" s="1">
        <f t="shared" si="99"/>
        <v>0.74005620969664221</v>
      </c>
      <c r="H883" s="34">
        <f t="shared" si="95"/>
        <v>2.8622839660242379E-2</v>
      </c>
      <c r="I883" s="36">
        <f t="shared" si="96"/>
        <v>2.1182510229713701E-2</v>
      </c>
    </row>
    <row r="884" spans="2:9" x14ac:dyDescent="0.35">
      <c r="B884" s="16">
        <f t="shared" si="97"/>
        <v>72.916666666666885</v>
      </c>
      <c r="C884" s="17">
        <f t="shared" si="93"/>
        <v>72.916666666666885</v>
      </c>
      <c r="D884" s="1" cm="1">
        <f t="array" ref="D884">_xlfn.XLOOKUP(_xlfn.FLOOR.MATH(C884),'Mortality Tables'!$B$4:$B$124,_xlfn.XLOOKUP(mortality_table,'Mortality Tables'!$B$3:$G$3,'Mortality Tables'!$B$4:$G$124,0,0),0,0)</f>
        <v>3.0717999999999999E-2</v>
      </c>
      <c r="E884" s="1">
        <f t="shared" si="94"/>
        <v>2.5598333333333332E-3</v>
      </c>
      <c r="F884" s="1">
        <f t="shared" si="98"/>
        <v>0.99744016666666668</v>
      </c>
      <c r="G884" s="1">
        <f t="shared" si="99"/>
        <v>0.7381617891425204</v>
      </c>
      <c r="H884" s="34">
        <f t="shared" si="95"/>
        <v>2.8506699836445406E-2</v>
      </c>
      <c r="I884" s="36">
        <f t="shared" si="96"/>
        <v>2.1042556553819335E-2</v>
      </c>
    </row>
    <row r="885" spans="2:9" x14ac:dyDescent="0.35">
      <c r="B885" s="16">
        <f t="shared" si="97"/>
        <v>73.000000000000213</v>
      </c>
      <c r="C885" s="17">
        <f t="shared" si="93"/>
        <v>73.000000000000213</v>
      </c>
      <c r="D885" s="1" cm="1">
        <f t="array" ref="D885">_xlfn.XLOOKUP(_xlfn.FLOOR.MATH(C885),'Mortality Tables'!$B$4:$B$124,_xlfn.XLOOKUP(mortality_table,'Mortality Tables'!$B$3:$G$3,'Mortality Tables'!$B$4:$G$124,0,0),0,0)</f>
        <v>3.4144000000000001E-2</v>
      </c>
      <c r="E885" s="1">
        <f t="shared" si="94"/>
        <v>2.8453333333333334E-3</v>
      </c>
      <c r="F885" s="1">
        <f t="shared" si="98"/>
        <v>0.99715466666666663</v>
      </c>
      <c r="G885" s="1">
        <f t="shared" si="99"/>
        <v>0.73627221798928044</v>
      </c>
      <c r="H885" s="34">
        <f t="shared" si="95"/>
        <v>2.8391031260743712E-2</v>
      </c>
      <c r="I885" s="36">
        <f t="shared" si="96"/>
        <v>2.0903527557350771E-2</v>
      </c>
    </row>
    <row r="886" spans="2:9" x14ac:dyDescent="0.35">
      <c r="B886" s="16">
        <f t="shared" si="97"/>
        <v>73.083333333333542</v>
      </c>
      <c r="C886" s="17">
        <f t="shared" si="93"/>
        <v>73.083333333333542</v>
      </c>
      <c r="D886" s="1" cm="1">
        <f t="array" ref="D886">_xlfn.XLOOKUP(_xlfn.FLOOR.MATH(C886),'Mortality Tables'!$B$4:$B$124,_xlfn.XLOOKUP(mortality_table,'Mortality Tables'!$B$3:$G$3,'Mortality Tables'!$B$4:$G$124,0,0),0,0)</f>
        <v>3.4144000000000001E-2</v>
      </c>
      <c r="E886" s="1">
        <f t="shared" si="94"/>
        <v>2.8453333333333334E-3</v>
      </c>
      <c r="F886" s="1">
        <f t="shared" si="98"/>
        <v>0.99715466666666663</v>
      </c>
      <c r="G886" s="1">
        <f t="shared" si="99"/>
        <v>0.7341772781050282</v>
      </c>
      <c r="H886" s="34">
        <f t="shared" si="95"/>
        <v>2.8275832021004504E-2</v>
      </c>
      <c r="I886" s="36">
        <f t="shared" si="96"/>
        <v>2.0759473389336085E-2</v>
      </c>
    </row>
    <row r="887" spans="2:9" x14ac:dyDescent="0.35">
      <c r="B887" s="16">
        <f t="shared" si="97"/>
        <v>73.16666666666687</v>
      </c>
      <c r="C887" s="17">
        <f t="shared" si="93"/>
        <v>73.16666666666687</v>
      </c>
      <c r="D887" s="1" cm="1">
        <f t="array" ref="D887">_xlfn.XLOOKUP(_xlfn.FLOOR.MATH(C887),'Mortality Tables'!$B$4:$B$124,_xlfn.XLOOKUP(mortality_table,'Mortality Tables'!$B$3:$G$3,'Mortality Tables'!$B$4:$G$124,0,0),0,0)</f>
        <v>3.4144000000000001E-2</v>
      </c>
      <c r="E887" s="1">
        <f t="shared" si="94"/>
        <v>2.8453333333333334E-3</v>
      </c>
      <c r="F887" s="1">
        <f t="shared" si="98"/>
        <v>0.99715466666666663</v>
      </c>
      <c r="G887" s="1">
        <f t="shared" si="99"/>
        <v>0.73208829902306005</v>
      </c>
      <c r="H887" s="34">
        <f t="shared" si="95"/>
        <v>2.8161100212853622E-2</v>
      </c>
      <c r="I887" s="36">
        <f t="shared" si="96"/>
        <v>2.0616411953445941E-2</v>
      </c>
    </row>
    <row r="888" spans="2:9" x14ac:dyDescent="0.35">
      <c r="B888" s="16">
        <f t="shared" si="97"/>
        <v>73.250000000000199</v>
      </c>
      <c r="C888" s="17">
        <f t="shared" si="93"/>
        <v>73.250000000000199</v>
      </c>
      <c r="D888" s="1" cm="1">
        <f t="array" ref="D888">_xlfn.XLOOKUP(_xlfn.FLOOR.MATH(C888),'Mortality Tables'!$B$4:$B$124,_xlfn.XLOOKUP(mortality_table,'Mortality Tables'!$B$3:$G$3,'Mortality Tables'!$B$4:$G$124,0,0),0,0)</f>
        <v>3.4144000000000001E-2</v>
      </c>
      <c r="E888" s="1">
        <f t="shared" si="94"/>
        <v>2.8453333333333334E-3</v>
      </c>
      <c r="F888" s="1">
        <f t="shared" si="98"/>
        <v>0.99715466666666663</v>
      </c>
      <c r="G888" s="1">
        <f t="shared" si="99"/>
        <v>0.73000526378290642</v>
      </c>
      <c r="H888" s="34">
        <f t="shared" si="95"/>
        <v>2.8046833939644075E-2</v>
      </c>
      <c r="I888" s="36">
        <f t="shared" si="96"/>
        <v>2.0474336408385245E-2</v>
      </c>
    </row>
    <row r="889" spans="2:9" x14ac:dyDescent="0.35">
      <c r="B889" s="16">
        <f t="shared" si="97"/>
        <v>73.333333333333528</v>
      </c>
      <c r="C889" s="17">
        <f t="shared" si="93"/>
        <v>73.333333333333528</v>
      </c>
      <c r="D889" s="1" cm="1">
        <f t="array" ref="D889">_xlfn.XLOOKUP(_xlfn.FLOOR.MATH(C889),'Mortality Tables'!$B$4:$B$124,_xlfn.XLOOKUP(mortality_table,'Mortality Tables'!$B$3:$G$3,'Mortality Tables'!$B$4:$G$124,0,0),0,0)</f>
        <v>3.4144000000000001E-2</v>
      </c>
      <c r="E889" s="1">
        <f t="shared" si="94"/>
        <v>2.8453333333333334E-3</v>
      </c>
      <c r="F889" s="1">
        <f t="shared" si="98"/>
        <v>0.99715466666666663</v>
      </c>
      <c r="G889" s="1">
        <f t="shared" si="99"/>
        <v>0.72792815547235612</v>
      </c>
      <c r="H889" s="34">
        <f t="shared" si="95"/>
        <v>2.7933031312424743E-2</v>
      </c>
      <c r="I889" s="36">
        <f t="shared" si="96"/>
        <v>2.0333239960004908E-2</v>
      </c>
    </row>
    <row r="890" spans="2:9" x14ac:dyDescent="0.35">
      <c r="B890" s="16">
        <f t="shared" si="97"/>
        <v>73.416666666666856</v>
      </c>
      <c r="C890" s="17">
        <f t="shared" si="93"/>
        <v>73.416666666666856</v>
      </c>
      <c r="D890" s="1" cm="1">
        <f t="array" ref="D890">_xlfn.XLOOKUP(_xlfn.FLOOR.MATH(C890),'Mortality Tables'!$B$4:$B$124,_xlfn.XLOOKUP(mortality_table,'Mortality Tables'!$B$3:$G$3,'Mortality Tables'!$B$4:$G$124,0,0),0,0)</f>
        <v>3.4144000000000001E-2</v>
      </c>
      <c r="E890" s="1">
        <f t="shared" si="94"/>
        <v>2.8453333333333334E-3</v>
      </c>
      <c r="F890" s="1">
        <f t="shared" si="98"/>
        <v>0.99715466666666663</v>
      </c>
      <c r="G890" s="1">
        <f t="shared" si="99"/>
        <v>0.7258569572273188</v>
      </c>
      <c r="H890" s="34">
        <f t="shared" si="95"/>
        <v>2.7819690449909042E-2</v>
      </c>
      <c r="I890" s="36">
        <f t="shared" si="96"/>
        <v>2.0193115860976878E-2</v>
      </c>
    </row>
    <row r="891" spans="2:9" x14ac:dyDescent="0.35">
      <c r="B891" s="16">
        <f t="shared" si="97"/>
        <v>73.500000000000185</v>
      </c>
      <c r="C891" s="17">
        <f t="shared" si="93"/>
        <v>73.500000000000185</v>
      </c>
      <c r="D891" s="1" cm="1">
        <f t="array" ref="D891">_xlfn.XLOOKUP(_xlfn.FLOOR.MATH(C891),'Mortality Tables'!$B$4:$B$124,_xlfn.XLOOKUP(mortality_table,'Mortality Tables'!$B$3:$G$3,'Mortality Tables'!$B$4:$G$124,0,0),0,0)</f>
        <v>3.4144000000000001E-2</v>
      </c>
      <c r="E891" s="1">
        <f t="shared" si="94"/>
        <v>2.8453333333333334E-3</v>
      </c>
      <c r="F891" s="1">
        <f t="shared" si="98"/>
        <v>0.99715466666666663</v>
      </c>
      <c r="G891" s="1">
        <f t="shared" si="99"/>
        <v>0.72379165223168795</v>
      </c>
      <c r="H891" s="34">
        <f t="shared" si="95"/>
        <v>2.7706809478443908E-2</v>
      </c>
      <c r="I891" s="36">
        <f t="shared" si="96"/>
        <v>2.0053957410471508E-2</v>
      </c>
    </row>
    <row r="892" spans="2:9" x14ac:dyDescent="0.35">
      <c r="B892" s="16">
        <f t="shared" si="97"/>
        <v>73.583333333333513</v>
      </c>
      <c r="C892" s="17">
        <f t="shared" si="93"/>
        <v>73.583333333333513</v>
      </c>
      <c r="D892" s="1" cm="1">
        <f t="array" ref="D892">_xlfn.XLOOKUP(_xlfn.FLOOR.MATH(C892),'Mortality Tables'!$B$4:$B$124,_xlfn.XLOOKUP(mortality_table,'Mortality Tables'!$B$3:$G$3,'Mortality Tables'!$B$4:$G$124,0,0),0,0)</f>
        <v>3.4144000000000001E-2</v>
      </c>
      <c r="E892" s="1">
        <f t="shared" si="94"/>
        <v>2.8453333333333334E-3</v>
      </c>
      <c r="F892" s="1">
        <f t="shared" si="98"/>
        <v>0.99715466666666663</v>
      </c>
      <c r="G892" s="1">
        <f t="shared" si="99"/>
        <v>0.72173222371720469</v>
      </c>
      <c r="H892" s="34">
        <f t="shared" si="95"/>
        <v>2.7594386531978796E-2</v>
      </c>
      <c r="I892" s="36">
        <f t="shared" si="96"/>
        <v>1.991575795383714E-2</v>
      </c>
    </row>
    <row r="893" spans="2:9" x14ac:dyDescent="0.35">
      <c r="B893" s="16">
        <f t="shared" si="97"/>
        <v>73.666666666666842</v>
      </c>
      <c r="C893" s="17">
        <f t="shared" si="93"/>
        <v>73.666666666666842</v>
      </c>
      <c r="D893" s="1" cm="1">
        <f t="array" ref="D893">_xlfn.XLOOKUP(_xlfn.FLOOR.MATH(C893),'Mortality Tables'!$B$4:$B$124,_xlfn.XLOOKUP(mortality_table,'Mortality Tables'!$B$3:$G$3,'Mortality Tables'!$B$4:$G$124,0,0),0,0)</f>
        <v>3.4144000000000001E-2</v>
      </c>
      <c r="E893" s="1">
        <f t="shared" si="94"/>
        <v>2.8453333333333334E-3</v>
      </c>
      <c r="F893" s="1">
        <f t="shared" si="98"/>
        <v>0.99715466666666663</v>
      </c>
      <c r="G893" s="1">
        <f t="shared" si="99"/>
        <v>0.71967865496332128</v>
      </c>
      <c r="H893" s="34">
        <f t="shared" si="95"/>
        <v>2.7482419752034835E-2</v>
      </c>
      <c r="I893" s="36">
        <f t="shared" si="96"/>
        <v>1.9778510882281844E-2</v>
      </c>
    </row>
    <row r="894" spans="2:9" x14ac:dyDescent="0.35">
      <c r="B894" s="16">
        <f t="shared" si="97"/>
        <v>73.750000000000171</v>
      </c>
      <c r="C894" s="17">
        <f t="shared" si="93"/>
        <v>73.750000000000171</v>
      </c>
      <c r="D894" s="1" cm="1">
        <f t="array" ref="D894">_xlfn.XLOOKUP(_xlfn.FLOOR.MATH(C894),'Mortality Tables'!$B$4:$B$124,_xlfn.XLOOKUP(mortality_table,'Mortality Tables'!$B$3:$G$3,'Mortality Tables'!$B$4:$G$124,0,0),0,0)</f>
        <v>3.4144000000000001E-2</v>
      </c>
      <c r="E894" s="1">
        <f t="shared" si="94"/>
        <v>2.8453333333333334E-3</v>
      </c>
      <c r="F894" s="1">
        <f t="shared" si="98"/>
        <v>0.99715466666666663</v>
      </c>
      <c r="G894" s="1">
        <f t="shared" si="99"/>
        <v>0.71763092929706562</v>
      </c>
      <c r="H894" s="34">
        <f t="shared" si="95"/>
        <v>2.7370907287674096E-2</v>
      </c>
      <c r="I894" s="36">
        <f t="shared" si="96"/>
        <v>1.9642209632557389E-2</v>
      </c>
    </row>
    <row r="895" spans="2:9" x14ac:dyDescent="0.35">
      <c r="B895" s="16">
        <f t="shared" si="97"/>
        <v>73.833333333333499</v>
      </c>
      <c r="C895" s="17">
        <f t="shared" si="93"/>
        <v>73.833333333333499</v>
      </c>
      <c r="D895" s="1" cm="1">
        <f t="array" ref="D895">_xlfn.XLOOKUP(_xlfn.FLOOR.MATH(C895),'Mortality Tables'!$B$4:$B$124,_xlfn.XLOOKUP(mortality_table,'Mortality Tables'!$B$3:$G$3,'Mortality Tables'!$B$4:$G$124,0,0),0,0)</f>
        <v>3.4144000000000001E-2</v>
      </c>
      <c r="E895" s="1">
        <f t="shared" si="94"/>
        <v>2.8453333333333334E-3</v>
      </c>
      <c r="F895" s="1">
        <f t="shared" si="98"/>
        <v>0.99715466666666663</v>
      </c>
      <c r="G895" s="1">
        <f t="shared" si="99"/>
        <v>0.71558903009290564</v>
      </c>
      <c r="H895" s="34">
        <f t="shared" si="95"/>
        <v>2.7259847295469018E-2</v>
      </c>
      <c r="I895" s="36">
        <f t="shared" si="96"/>
        <v>1.9506847686645391E-2</v>
      </c>
    </row>
    <row r="896" spans="2:9" x14ac:dyDescent="0.35">
      <c r="B896" s="16">
        <f t="shared" si="97"/>
        <v>73.916666666666828</v>
      </c>
      <c r="C896" s="17">
        <f t="shared" si="93"/>
        <v>73.916666666666828</v>
      </c>
      <c r="D896" s="1" cm="1">
        <f t="array" ref="D896">_xlfn.XLOOKUP(_xlfn.FLOOR.MATH(C896),'Mortality Tables'!$B$4:$B$124,_xlfn.XLOOKUP(mortality_table,'Mortality Tables'!$B$3:$G$3,'Mortality Tables'!$B$4:$G$124,0,0),0,0)</f>
        <v>3.4144000000000001E-2</v>
      </c>
      <c r="E896" s="1">
        <f t="shared" si="94"/>
        <v>2.8453333333333334E-3</v>
      </c>
      <c r="F896" s="1">
        <f t="shared" si="98"/>
        <v>0.99715466666666663</v>
      </c>
      <c r="G896" s="1">
        <f t="shared" si="99"/>
        <v>0.71355294077261455</v>
      </c>
      <c r="H896" s="34">
        <f t="shared" si="95"/>
        <v>2.7149237939471878E-2</v>
      </c>
      <c r="I896" s="36">
        <f t="shared" si="96"/>
        <v>1.9372418571445598E-2</v>
      </c>
    </row>
    <row r="897" spans="2:9" x14ac:dyDescent="0.35">
      <c r="B897" s="16">
        <f t="shared" si="97"/>
        <v>74.000000000000156</v>
      </c>
      <c r="C897" s="17">
        <f t="shared" si="93"/>
        <v>74.000000000000156</v>
      </c>
      <c r="D897" s="1" cm="1">
        <f t="array" ref="D897">_xlfn.XLOOKUP(_xlfn.FLOOR.MATH(C897),'Mortality Tables'!$B$4:$B$124,_xlfn.XLOOKUP(mortality_table,'Mortality Tables'!$B$3:$G$3,'Mortality Tables'!$B$4:$G$124,0,0),0,0)</f>
        <v>3.7911E-2</v>
      </c>
      <c r="E897" s="1">
        <f t="shared" si="94"/>
        <v>3.1592499999999997E-3</v>
      </c>
      <c r="F897" s="1">
        <f t="shared" si="98"/>
        <v>0.99684075000000005</v>
      </c>
      <c r="G897" s="1">
        <f t="shared" si="99"/>
        <v>0.71152264480513616</v>
      </c>
      <c r="H897" s="34">
        <f t="shared" si="95"/>
        <v>2.7039077391184555E-2</v>
      </c>
      <c r="I897" s="36">
        <f t="shared" si="96"/>
        <v>1.9238915858466397E-2</v>
      </c>
    </row>
    <row r="898" spans="2:9" x14ac:dyDescent="0.35">
      <c r="B898" s="16">
        <f t="shared" si="97"/>
        <v>74.083333333333485</v>
      </c>
      <c r="C898" s="17">
        <f t="shared" si="93"/>
        <v>74.083333333333485</v>
      </c>
      <c r="D898" s="1" cm="1">
        <f t="array" ref="D898">_xlfn.XLOOKUP(_xlfn.FLOOR.MATH(C898),'Mortality Tables'!$B$4:$B$124,_xlfn.XLOOKUP(mortality_table,'Mortality Tables'!$B$3:$G$3,'Mortality Tables'!$B$4:$G$124,0,0),0,0)</f>
        <v>3.7911E-2</v>
      </c>
      <c r="E898" s="1">
        <f t="shared" si="94"/>
        <v>3.1592499999999997E-3</v>
      </c>
      <c r="F898" s="1">
        <f t="shared" si="98"/>
        <v>0.99684075000000005</v>
      </c>
      <c r="G898" s="1">
        <f t="shared" si="99"/>
        <v>0.70927476688953561</v>
      </c>
      <c r="H898" s="34">
        <f t="shared" si="95"/>
        <v>2.6929363829528166E-2</v>
      </c>
      <c r="I898" s="36">
        <f t="shared" si="96"/>
        <v>1.9100318252672083E-2</v>
      </c>
    </row>
    <row r="899" spans="2:9" x14ac:dyDescent="0.35">
      <c r="B899" s="16">
        <f t="shared" si="97"/>
        <v>74.166666666666814</v>
      </c>
      <c r="C899" s="17">
        <f t="shared" si="93"/>
        <v>74.166666666666814</v>
      </c>
      <c r="D899" s="1" cm="1">
        <f t="array" ref="D899">_xlfn.XLOOKUP(_xlfn.FLOOR.MATH(C899),'Mortality Tables'!$B$4:$B$124,_xlfn.XLOOKUP(mortality_table,'Mortality Tables'!$B$3:$G$3,'Mortality Tables'!$B$4:$G$124,0,0),0,0)</f>
        <v>3.7911E-2</v>
      </c>
      <c r="E899" s="1">
        <f t="shared" si="94"/>
        <v>3.1592499999999997E-3</v>
      </c>
      <c r="F899" s="1">
        <f t="shared" si="98"/>
        <v>0.99684075000000005</v>
      </c>
      <c r="G899" s="1">
        <f t="shared" si="99"/>
        <v>0.70703399058223992</v>
      </c>
      <c r="H899" s="34">
        <f t="shared" si="95"/>
        <v>2.6820095440813038E-2</v>
      </c>
      <c r="I899" s="36">
        <f t="shared" si="96"/>
        <v>1.896271910731458E-2</v>
      </c>
    </row>
    <row r="900" spans="2:9" x14ac:dyDescent="0.35">
      <c r="B900" s="16">
        <f t="shared" si="97"/>
        <v>74.250000000000142</v>
      </c>
      <c r="C900" s="17">
        <f t="shared" si="93"/>
        <v>74.250000000000142</v>
      </c>
      <c r="D900" s="1" cm="1">
        <f t="array" ref="D900">_xlfn.XLOOKUP(_xlfn.FLOOR.MATH(C900),'Mortality Tables'!$B$4:$B$124,_xlfn.XLOOKUP(mortality_table,'Mortality Tables'!$B$3:$G$3,'Mortality Tables'!$B$4:$G$124,0,0),0,0)</f>
        <v>3.7911E-2</v>
      </c>
      <c r="E900" s="1">
        <f t="shared" si="94"/>
        <v>3.1592499999999997E-3</v>
      </c>
      <c r="F900" s="1">
        <f t="shared" si="98"/>
        <v>0.99684075000000005</v>
      </c>
      <c r="G900" s="1">
        <f t="shared" si="99"/>
        <v>0.70480029344749306</v>
      </c>
      <c r="H900" s="34">
        <f t="shared" si="95"/>
        <v>2.6711270418708726E-2</v>
      </c>
      <c r="I900" s="36">
        <f t="shared" si="96"/>
        <v>1.8826111229461252E-2</v>
      </c>
    </row>
    <row r="901" spans="2:9" x14ac:dyDescent="0.35">
      <c r="B901" s="16">
        <f t="shared" si="97"/>
        <v>74.333333333333471</v>
      </c>
      <c r="C901" s="17">
        <f t="shared" si="93"/>
        <v>74.333333333333471</v>
      </c>
      <c r="D901" s="1" cm="1">
        <f t="array" ref="D901">_xlfn.XLOOKUP(_xlfn.FLOOR.MATH(C901),'Mortality Tables'!$B$4:$B$124,_xlfn.XLOOKUP(mortality_table,'Mortality Tables'!$B$3:$G$3,'Mortality Tables'!$B$4:$G$124,0,0),0,0)</f>
        <v>3.7911E-2</v>
      </c>
      <c r="E901" s="1">
        <f t="shared" si="94"/>
        <v>3.1592499999999997E-3</v>
      </c>
      <c r="F901" s="1">
        <f t="shared" si="98"/>
        <v>0.99684075000000005</v>
      </c>
      <c r="G901" s="1">
        <f t="shared" si="99"/>
        <v>0.70257365312041908</v>
      </c>
      <c r="H901" s="34">
        <f t="shared" si="95"/>
        <v>2.6602886964214117E-2</v>
      </c>
      <c r="I901" s="36">
        <f t="shared" si="96"/>
        <v>1.8690487477997487E-2</v>
      </c>
    </row>
    <row r="902" spans="2:9" x14ac:dyDescent="0.35">
      <c r="B902" s="16">
        <f t="shared" si="97"/>
        <v>74.416666666666799</v>
      </c>
      <c r="C902" s="17">
        <f t="shared" si="93"/>
        <v>74.416666666666799</v>
      </c>
      <c r="D902" s="1" cm="1">
        <f t="array" ref="D902">_xlfn.XLOOKUP(_xlfn.FLOOR.MATH(C902),'Mortality Tables'!$B$4:$B$124,_xlfn.XLOOKUP(mortality_table,'Mortality Tables'!$B$3:$G$3,'Mortality Tables'!$B$4:$G$124,0,0),0,0)</f>
        <v>3.7911E-2</v>
      </c>
      <c r="E902" s="1">
        <f t="shared" si="94"/>
        <v>3.1592499999999997E-3</v>
      </c>
      <c r="F902" s="1">
        <f t="shared" si="98"/>
        <v>0.99684075000000005</v>
      </c>
      <c r="G902" s="1">
        <f t="shared" si="99"/>
        <v>0.7003540473067984</v>
      </c>
      <c r="H902" s="34">
        <f t="shared" si="95"/>
        <v>2.6494943285627737E-2</v>
      </c>
      <c r="I902" s="36">
        <f t="shared" si="96"/>
        <v>1.8555840763253468E-2</v>
      </c>
    </row>
    <row r="903" spans="2:9" x14ac:dyDescent="0.35">
      <c r="B903" s="16">
        <f t="shared" si="97"/>
        <v>74.500000000000128</v>
      </c>
      <c r="C903" s="17">
        <f t="shared" si="93"/>
        <v>74.500000000000128</v>
      </c>
      <c r="D903" s="1" cm="1">
        <f t="array" ref="D903">_xlfn.XLOOKUP(_xlfn.FLOOR.MATH(C903),'Mortality Tables'!$B$4:$B$124,_xlfn.XLOOKUP(mortality_table,'Mortality Tables'!$B$3:$G$3,'Mortality Tables'!$B$4:$G$124,0,0),0,0)</f>
        <v>3.7911E-2</v>
      </c>
      <c r="E903" s="1">
        <f t="shared" si="94"/>
        <v>3.1592499999999997E-3</v>
      </c>
      <c r="F903" s="1">
        <f t="shared" si="98"/>
        <v>0.99684075000000005</v>
      </c>
      <c r="G903" s="1">
        <f t="shared" si="99"/>
        <v>0.69814145378284442</v>
      </c>
      <c r="H903" s="34">
        <f t="shared" si="95"/>
        <v>2.6387437598518085E-2</v>
      </c>
      <c r="I903" s="36">
        <f t="shared" si="96"/>
        <v>1.8422164046633504E-2</v>
      </c>
    </row>
    <row r="904" spans="2:9" x14ac:dyDescent="0.35">
      <c r="B904" s="16">
        <f t="shared" si="97"/>
        <v>74.583333333333456</v>
      </c>
      <c r="C904" s="17">
        <f t="shared" si="93"/>
        <v>74.583333333333456</v>
      </c>
      <c r="D904" s="1" cm="1">
        <f t="array" ref="D904">_xlfn.XLOOKUP(_xlfn.FLOOR.MATH(C904),'Mortality Tables'!$B$4:$B$124,_xlfn.XLOOKUP(mortality_table,'Mortality Tables'!$B$3:$G$3,'Mortality Tables'!$B$4:$G$124,0,0),0,0)</f>
        <v>3.7911E-2</v>
      </c>
      <c r="E904" s="1">
        <f t="shared" si="94"/>
        <v>3.1592499999999997E-3</v>
      </c>
      <c r="F904" s="1">
        <f t="shared" si="98"/>
        <v>0.99684075000000005</v>
      </c>
      <c r="G904" s="1">
        <f t="shared" si="99"/>
        <v>0.69593585039498096</v>
      </c>
      <c r="H904" s="34">
        <f t="shared" si="95"/>
        <v>2.6280368125694162E-2</v>
      </c>
      <c r="I904" s="36">
        <f t="shared" si="96"/>
        <v>1.8289450340248117E-2</v>
      </c>
    </row>
    <row r="905" spans="2:9" x14ac:dyDescent="0.35">
      <c r="B905" s="16">
        <f t="shared" si="97"/>
        <v>74.666666666666785</v>
      </c>
      <c r="C905" s="17">
        <f t="shared" ref="C905:C968" si="100">current_age+B905</f>
        <v>74.666666666666785</v>
      </c>
      <c r="D905" s="1" cm="1">
        <f t="array" ref="D905">_xlfn.XLOOKUP(_xlfn.FLOOR.MATH(C905),'Mortality Tables'!$B$4:$B$124,_xlfn.XLOOKUP(mortality_table,'Mortality Tables'!$B$3:$G$3,'Mortality Tables'!$B$4:$G$124,0,0),0,0)</f>
        <v>3.7911E-2</v>
      </c>
      <c r="E905" s="1">
        <f t="shared" ref="E905:E968" si="101">$F$5*D905</f>
        <v>3.1592499999999997E-3</v>
      </c>
      <c r="F905" s="1">
        <f t="shared" si="98"/>
        <v>0.99684075000000005</v>
      </c>
      <c r="G905" s="1">
        <f t="shared" si="99"/>
        <v>0.6937372150596206</v>
      </c>
      <c r="H905" s="34">
        <f t="shared" ref="H905:H968" si="102">(1+interest_rate)^-(B905)</f>
        <v>2.6173733097176102E-2</v>
      </c>
      <c r="I905" s="36">
        <f t="shared" ref="I905:I968" si="103">IF(current_age+B905&lt;=$C$5,G905*H905,0)</f>
        <v>1.8157692706548767E-2</v>
      </c>
    </row>
    <row r="906" spans="2:9" x14ac:dyDescent="0.35">
      <c r="B906" s="16">
        <f t="shared" ref="B906:B969" si="104">B905+$F$5</f>
        <v>74.750000000000114</v>
      </c>
      <c r="C906" s="17">
        <f t="shared" si="100"/>
        <v>74.750000000000114</v>
      </c>
      <c r="D906" s="1" cm="1">
        <f t="array" ref="D906">_xlfn.XLOOKUP(_xlfn.FLOOR.MATH(C906),'Mortality Tables'!$B$4:$B$124,_xlfn.XLOOKUP(mortality_table,'Mortality Tables'!$B$3:$G$3,'Mortality Tables'!$B$4:$G$124,0,0),0,0)</f>
        <v>3.7911E-2</v>
      </c>
      <c r="E906" s="1">
        <f t="shared" si="101"/>
        <v>3.1592499999999997E-3</v>
      </c>
      <c r="F906" s="1">
        <f t="shared" si="98"/>
        <v>0.99684075000000005</v>
      </c>
      <c r="G906" s="1">
        <f t="shared" si="99"/>
        <v>0.69154552576294348</v>
      </c>
      <c r="H906" s="34">
        <f t="shared" si="102"/>
        <v>2.6067530750165869E-2</v>
      </c>
      <c r="I906" s="36">
        <f t="shared" si="103"/>
        <v>1.8026884257965153E-2</v>
      </c>
    </row>
    <row r="907" spans="2:9" x14ac:dyDescent="0.35">
      <c r="B907" s="16">
        <f t="shared" si="104"/>
        <v>74.833333333333442</v>
      </c>
      <c r="C907" s="17">
        <f t="shared" si="100"/>
        <v>74.833333333333442</v>
      </c>
      <c r="D907" s="1" cm="1">
        <f t="array" ref="D907">_xlfn.XLOOKUP(_xlfn.FLOOR.MATH(C907),'Mortality Tables'!$B$4:$B$124,_xlfn.XLOOKUP(mortality_table,'Mortality Tables'!$B$3:$G$3,'Mortality Tables'!$B$4:$G$124,0,0),0,0)</f>
        <v>3.7911E-2</v>
      </c>
      <c r="E907" s="1">
        <f t="shared" si="101"/>
        <v>3.1592499999999997E-3</v>
      </c>
      <c r="F907" s="1">
        <f t="shared" si="98"/>
        <v>0.99684075000000005</v>
      </c>
      <c r="G907" s="1">
        <f t="shared" si="99"/>
        <v>0.68936076056067697</v>
      </c>
      <c r="H907" s="34">
        <f t="shared" si="102"/>
        <v>2.5961759329018171E-2</v>
      </c>
      <c r="I907" s="36">
        <f t="shared" si="103"/>
        <v>1.7897018156545218E-2</v>
      </c>
    </row>
    <row r="908" spans="2:9" x14ac:dyDescent="0.35">
      <c r="B908" s="16">
        <f t="shared" si="104"/>
        <v>74.916666666666771</v>
      </c>
      <c r="C908" s="17">
        <f t="shared" si="100"/>
        <v>74.916666666666771</v>
      </c>
      <c r="D908" s="1" cm="1">
        <f t="array" ref="D908">_xlfn.XLOOKUP(_xlfn.FLOOR.MATH(C908),'Mortality Tables'!$B$4:$B$124,_xlfn.XLOOKUP(mortality_table,'Mortality Tables'!$B$3:$G$3,'Mortality Tables'!$B$4:$G$124,0,0),0,0)</f>
        <v>3.7911E-2</v>
      </c>
      <c r="E908" s="1">
        <f t="shared" si="101"/>
        <v>3.1592499999999997E-3</v>
      </c>
      <c r="F908" s="1">
        <f t="shared" si="98"/>
        <v>0.99684075000000005</v>
      </c>
      <c r="G908" s="1">
        <f t="shared" si="99"/>
        <v>0.68718289757787565</v>
      </c>
      <c r="H908" s="34">
        <f t="shared" si="102"/>
        <v>2.585641708521139E-2</v>
      </c>
      <c r="I908" s="36">
        <f t="shared" si="103"/>
        <v>1.7768087613597654E-2</v>
      </c>
    </row>
    <row r="909" spans="2:9" x14ac:dyDescent="0.35">
      <c r="B909" s="16">
        <f t="shared" si="104"/>
        <v>75.000000000000099</v>
      </c>
      <c r="C909" s="17">
        <f t="shared" si="100"/>
        <v>75.000000000000099</v>
      </c>
      <c r="D909" s="1" cm="1">
        <f t="array" ref="D909">_xlfn.XLOOKUP(_xlfn.FLOOR.MATH(C909),'Mortality Tables'!$B$4:$B$124,_xlfn.XLOOKUP(mortality_table,'Mortality Tables'!$B$3:$G$3,'Mortality Tables'!$B$4:$G$124,0,0),0,0)</f>
        <v>4.2046E-2</v>
      </c>
      <c r="E909" s="1">
        <f t="shared" si="101"/>
        <v>3.5038333333333332E-3</v>
      </c>
      <c r="F909" s="1">
        <f t="shared" si="98"/>
        <v>0.99649616666666663</v>
      </c>
      <c r="G909" s="1">
        <f t="shared" si="99"/>
        <v>0.68501191500870273</v>
      </c>
      <c r="H909" s="34">
        <f t="shared" si="102"/>
        <v>2.5751502277318702E-2</v>
      </c>
      <c r="I909" s="36">
        <f t="shared" si="103"/>
        <v>1.7640085889337052E-2</v>
      </c>
    </row>
    <row r="910" spans="2:9" x14ac:dyDescent="0.35">
      <c r="B910" s="16">
        <f t="shared" si="104"/>
        <v>75.083333333333428</v>
      </c>
      <c r="C910" s="17">
        <f t="shared" si="100"/>
        <v>75.083333333333428</v>
      </c>
      <c r="D910" s="1" cm="1">
        <f t="array" ref="D910">_xlfn.XLOOKUP(_xlfn.FLOOR.MATH(C910),'Mortality Tables'!$B$4:$B$124,_xlfn.XLOOKUP(mortality_table,'Mortality Tables'!$B$3:$G$3,'Mortality Tables'!$B$4:$G$124,0,0),0,0)</f>
        <v>4.2046E-2</v>
      </c>
      <c r="E910" s="1">
        <f t="shared" si="101"/>
        <v>3.5038333333333332E-3</v>
      </c>
      <c r="F910" s="1">
        <f t="shared" si="98"/>
        <v>0.99649616666666663</v>
      </c>
      <c r="G910" s="1">
        <f t="shared" si="99"/>
        <v>0.68261174742716468</v>
      </c>
      <c r="H910" s="34">
        <f t="shared" si="102"/>
        <v>2.5647013170979279E-2</v>
      </c>
      <c r="I910" s="36">
        <f t="shared" si="103"/>
        <v>1.7506952476929672E-2</v>
      </c>
    </row>
    <row r="911" spans="2:9" x14ac:dyDescent="0.35">
      <c r="B911" s="16">
        <f t="shared" si="104"/>
        <v>75.166666666666757</v>
      </c>
      <c r="C911" s="17">
        <f t="shared" si="100"/>
        <v>75.166666666666757</v>
      </c>
      <c r="D911" s="1" cm="1">
        <f t="array" ref="D911">_xlfn.XLOOKUP(_xlfn.FLOOR.MATH(C911),'Mortality Tables'!$B$4:$B$124,_xlfn.XLOOKUP(mortality_table,'Mortality Tables'!$B$3:$G$3,'Mortality Tables'!$B$4:$G$124,0,0),0,0)</f>
        <v>4.2046E-2</v>
      </c>
      <c r="E911" s="1">
        <f t="shared" si="101"/>
        <v>3.5038333333333332E-3</v>
      </c>
      <c r="F911" s="1">
        <f t="shared" si="98"/>
        <v>0.99649616666666663</v>
      </c>
      <c r="G911" s="1">
        <f t="shared" si="99"/>
        <v>0.68021998963280439</v>
      </c>
      <c r="H911" s="34">
        <f t="shared" si="102"/>
        <v>2.5542948038869636E-2</v>
      </c>
      <c r="I911" s="36">
        <f t="shared" si="103"/>
        <v>1.7374823850191165E-2</v>
      </c>
    </row>
    <row r="912" spans="2:9" x14ac:dyDescent="0.35">
      <c r="B912" s="16">
        <f t="shared" si="104"/>
        <v>75.250000000000085</v>
      </c>
      <c r="C912" s="17">
        <f t="shared" si="100"/>
        <v>75.250000000000085</v>
      </c>
      <c r="D912" s="1" cm="1">
        <f t="array" ref="D912">_xlfn.XLOOKUP(_xlfn.FLOOR.MATH(C912),'Mortality Tables'!$B$4:$B$124,_xlfn.XLOOKUP(mortality_table,'Mortality Tables'!$B$3:$G$3,'Mortality Tables'!$B$4:$G$124,0,0),0,0)</f>
        <v>4.2046E-2</v>
      </c>
      <c r="E912" s="1">
        <f t="shared" si="101"/>
        <v>3.5038333333333332E-3</v>
      </c>
      <c r="F912" s="1">
        <f t="shared" si="98"/>
        <v>0.99649616666666663</v>
      </c>
      <c r="G912" s="1">
        <f t="shared" si="99"/>
        <v>0.67783661215912927</v>
      </c>
      <c r="H912" s="34">
        <f t="shared" si="102"/>
        <v>2.5439305160675038E-2</v>
      </c>
      <c r="I912" s="36">
        <f t="shared" si="103"/>
        <v>1.7243692425794221E-2</v>
      </c>
    </row>
    <row r="913" spans="2:9" x14ac:dyDescent="0.35">
      <c r="B913" s="16">
        <f t="shared" si="104"/>
        <v>75.333333333333414</v>
      </c>
      <c r="C913" s="17">
        <f t="shared" si="100"/>
        <v>75.333333333333414</v>
      </c>
      <c r="D913" s="1" cm="1">
        <f t="array" ref="D913">_xlfn.XLOOKUP(_xlfn.FLOOR.MATH(C913),'Mortality Tables'!$B$4:$B$124,_xlfn.XLOOKUP(mortality_table,'Mortality Tables'!$B$3:$G$3,'Mortality Tables'!$B$4:$G$124,0,0),0,0)</f>
        <v>4.2046E-2</v>
      </c>
      <c r="E913" s="1">
        <f t="shared" si="101"/>
        <v>3.5038333333333332E-3</v>
      </c>
      <c r="F913" s="1">
        <f t="shared" si="98"/>
        <v>0.99649616666666663</v>
      </c>
      <c r="G913" s="1">
        <f t="shared" si="99"/>
        <v>0.67546158564289238</v>
      </c>
      <c r="H913" s="34">
        <f t="shared" si="102"/>
        <v>2.5336082823061129E-2</v>
      </c>
      <c r="I913" s="36">
        <f t="shared" si="103"/>
        <v>1.7113550677644519E-2</v>
      </c>
    </row>
    <row r="914" spans="2:9" x14ac:dyDescent="0.35">
      <c r="B914" s="16">
        <f t="shared" si="104"/>
        <v>75.416666666666742</v>
      </c>
      <c r="C914" s="17">
        <f t="shared" si="100"/>
        <v>75.416666666666742</v>
      </c>
      <c r="D914" s="1" cm="1">
        <f t="array" ref="D914">_xlfn.XLOOKUP(_xlfn.FLOOR.MATH(C914),'Mortality Tables'!$B$4:$B$124,_xlfn.XLOOKUP(mortality_table,'Mortality Tables'!$B$3:$G$3,'Mortality Tables'!$B$4:$G$124,0,0),0,0)</f>
        <v>4.2046E-2</v>
      </c>
      <c r="E914" s="1">
        <f t="shared" si="101"/>
        <v>3.5038333333333332E-3</v>
      </c>
      <c r="F914" s="1">
        <f t="shared" si="98"/>
        <v>0.99649616666666663</v>
      </c>
      <c r="G914" s="1">
        <f t="shared" si="99"/>
        <v>0.67309488082373059</v>
      </c>
      <c r="H914" s="34">
        <f t="shared" si="102"/>
        <v>2.5233279319645526E-2</v>
      </c>
      <c r="I914" s="36">
        <f t="shared" si="103"/>
        <v>1.6984391136448711E-2</v>
      </c>
    </row>
    <row r="915" spans="2:9" x14ac:dyDescent="0.35">
      <c r="B915" s="16">
        <f t="shared" si="104"/>
        <v>75.500000000000071</v>
      </c>
      <c r="C915" s="17">
        <f t="shared" si="100"/>
        <v>75.500000000000071</v>
      </c>
      <c r="D915" s="1" cm="1">
        <f t="array" ref="D915">_xlfn.XLOOKUP(_xlfn.FLOOR.MATH(C915),'Mortality Tables'!$B$4:$B$124,_xlfn.XLOOKUP(mortality_table,'Mortality Tables'!$B$3:$G$3,'Mortality Tables'!$B$4:$G$124,0,0),0,0)</f>
        <v>4.2046E-2</v>
      </c>
      <c r="E915" s="1">
        <f t="shared" si="101"/>
        <v>3.5038333333333332E-3</v>
      </c>
      <c r="F915" s="1">
        <f t="shared" si="98"/>
        <v>0.99649616666666663</v>
      </c>
      <c r="G915" s="1">
        <f t="shared" si="99"/>
        <v>0.67073646854380431</v>
      </c>
      <c r="H915" s="34">
        <f t="shared" si="102"/>
        <v>2.5130892950969669E-2</v>
      </c>
      <c r="I915" s="36">
        <f t="shared" si="103"/>
        <v>1.6856206389285783E-2</v>
      </c>
    </row>
    <row r="916" spans="2:9" x14ac:dyDescent="0.35">
      <c r="B916" s="16">
        <f t="shared" si="104"/>
        <v>75.5833333333334</v>
      </c>
      <c r="C916" s="17">
        <f t="shared" si="100"/>
        <v>75.5833333333334</v>
      </c>
      <c r="D916" s="1" cm="1">
        <f t="array" ref="D916">_xlfn.XLOOKUP(_xlfn.FLOOR.MATH(C916),'Mortality Tables'!$B$4:$B$124,_xlfn.XLOOKUP(mortality_table,'Mortality Tables'!$B$3:$G$3,'Mortality Tables'!$B$4:$G$124,0,0),0,0)</f>
        <v>4.2046E-2</v>
      </c>
      <c r="E916" s="1">
        <f t="shared" si="101"/>
        <v>3.5038333333333332E-3</v>
      </c>
      <c r="F916" s="1">
        <f t="shared" si="98"/>
        <v>0.99649616666666663</v>
      </c>
      <c r="G916" s="1">
        <f t="shared" si="99"/>
        <v>0.66838631974743823</v>
      </c>
      <c r="H916" s="34">
        <f t="shared" si="102"/>
        <v>2.5028922024470702E-2</v>
      </c>
      <c r="I916" s="36">
        <f t="shared" si="103"/>
        <v>1.6728989079181574E-2</v>
      </c>
    </row>
    <row r="917" spans="2:9" x14ac:dyDescent="0.35">
      <c r="B917" s="16">
        <f t="shared" si="104"/>
        <v>75.666666666666728</v>
      </c>
      <c r="C917" s="17">
        <f t="shared" si="100"/>
        <v>75.666666666666728</v>
      </c>
      <c r="D917" s="1" cm="1">
        <f t="array" ref="D917">_xlfn.XLOOKUP(_xlfn.FLOOR.MATH(C917),'Mortality Tables'!$B$4:$B$124,_xlfn.XLOOKUP(mortality_table,'Mortality Tables'!$B$3:$G$3,'Mortality Tables'!$B$4:$G$124,0,0),0,0)</f>
        <v>4.2046E-2</v>
      </c>
      <c r="E917" s="1">
        <f t="shared" si="101"/>
        <v>3.5038333333333332E-3</v>
      </c>
      <c r="F917" s="1">
        <f t="shared" si="98"/>
        <v>0.99649616666666663</v>
      </c>
      <c r="G917" s="1">
        <f t="shared" si="99"/>
        <v>0.66604440548076316</v>
      </c>
      <c r="H917" s="34">
        <f t="shared" si="102"/>
        <v>2.4927364854453498E-2</v>
      </c>
      <c r="I917" s="36">
        <f t="shared" si="103"/>
        <v>1.660273190468655E-2</v>
      </c>
    </row>
    <row r="918" spans="2:9" x14ac:dyDescent="0.35">
      <c r="B918" s="16">
        <f t="shared" si="104"/>
        <v>75.750000000000057</v>
      </c>
      <c r="C918" s="17">
        <f t="shared" si="100"/>
        <v>75.750000000000057</v>
      </c>
      <c r="D918" s="1" cm="1">
        <f t="array" ref="D918">_xlfn.XLOOKUP(_xlfn.FLOOR.MATH(C918),'Mortality Tables'!$B$4:$B$124,_xlfn.XLOOKUP(mortality_table,'Mortality Tables'!$B$3:$G$3,'Mortality Tables'!$B$4:$G$124,0,0),0,0)</f>
        <v>4.2046E-2</v>
      </c>
      <c r="E918" s="1">
        <f t="shared" si="101"/>
        <v>3.5038333333333332E-3</v>
      </c>
      <c r="F918" s="1">
        <f t="shared" si="98"/>
        <v>0.99649616666666663</v>
      </c>
      <c r="G918" s="1">
        <f t="shared" si="99"/>
        <v>0.66371069689135942</v>
      </c>
      <c r="H918" s="34">
        <f t="shared" si="102"/>
        <v>2.4826219762062809E-2</v>
      </c>
      <c r="I918" s="36">
        <f t="shared" si="103"/>
        <v>1.6477427619456746E-2</v>
      </c>
    </row>
    <row r="919" spans="2:9" x14ac:dyDescent="0.35">
      <c r="B919" s="16">
        <f t="shared" si="104"/>
        <v>75.833333333333385</v>
      </c>
      <c r="C919" s="17">
        <f t="shared" si="100"/>
        <v>75.833333333333385</v>
      </c>
      <c r="D919" s="1" cm="1">
        <f t="array" ref="D919">_xlfn.XLOOKUP(_xlfn.FLOOR.MATH(C919),'Mortality Tables'!$B$4:$B$124,_xlfn.XLOOKUP(mortality_table,'Mortality Tables'!$B$3:$G$3,'Mortality Tables'!$B$4:$G$124,0,0),0,0)</f>
        <v>4.2046E-2</v>
      </c>
      <c r="E919" s="1">
        <f t="shared" si="101"/>
        <v>3.5038333333333332E-3</v>
      </c>
      <c r="F919" s="1">
        <f t="shared" si="98"/>
        <v>0.99649616666666663</v>
      </c>
      <c r="G919" s="1">
        <f t="shared" si="99"/>
        <v>0.66138516522790158</v>
      </c>
      <c r="H919" s="34">
        <f t="shared" si="102"/>
        <v>2.4725485075255477E-2</v>
      </c>
      <c r="I919" s="36">
        <f t="shared" si="103"/>
        <v>1.635306903183786E-2</v>
      </c>
    </row>
    <row r="920" spans="2:9" x14ac:dyDescent="0.35">
      <c r="B920" s="16">
        <f t="shared" si="104"/>
        <v>75.916666666666714</v>
      </c>
      <c r="C920" s="17">
        <f t="shared" si="100"/>
        <v>75.916666666666714</v>
      </c>
      <c r="D920" s="1" cm="1">
        <f t="array" ref="D920">_xlfn.XLOOKUP(_xlfn.FLOOR.MATH(C920),'Mortality Tables'!$B$4:$B$124,_xlfn.XLOOKUP(mortality_table,'Mortality Tables'!$B$3:$G$3,'Mortality Tables'!$B$4:$G$124,0,0),0,0)</f>
        <v>4.2046E-2</v>
      </c>
      <c r="E920" s="1">
        <f t="shared" si="101"/>
        <v>3.5038333333333332E-3</v>
      </c>
      <c r="F920" s="1">
        <f t="shared" si="98"/>
        <v>0.99649616666666663</v>
      </c>
      <c r="G920" s="1">
        <f t="shared" si="99"/>
        <v>0.65906778183980386</v>
      </c>
      <c r="H920" s="34">
        <f t="shared" si="102"/>
        <v>2.4625159128772816E-2</v>
      </c>
      <c r="I920" s="36">
        <f t="shared" si="103"/>
        <v>1.6229649004452496E-2</v>
      </c>
    </row>
    <row r="921" spans="2:9" x14ac:dyDescent="0.35">
      <c r="B921" s="16">
        <f t="shared" si="104"/>
        <v>76.000000000000043</v>
      </c>
      <c r="C921" s="17">
        <f t="shared" si="100"/>
        <v>76.000000000000043</v>
      </c>
      <c r="D921" s="1" cm="1">
        <f t="array" ref="D921">_xlfn.XLOOKUP(_xlfn.FLOOR.MATH(C921),'Mortality Tables'!$B$4:$B$124,_xlfn.XLOOKUP(mortality_table,'Mortality Tables'!$B$3:$G$3,'Mortality Tables'!$B$4:$G$124,0,0),0,0)</f>
        <v>4.6578000000000001E-2</v>
      </c>
      <c r="E921" s="1">
        <f t="shared" si="101"/>
        <v>3.8815E-3</v>
      </c>
      <c r="F921" s="1">
        <f t="shared" si="98"/>
        <v>0.99611850000000002</v>
      </c>
      <c r="G921" s="1">
        <f t="shared" si="99"/>
        <v>0.65675851817686748</v>
      </c>
      <c r="H921" s="34">
        <f t="shared" si="102"/>
        <v>2.452524026411311E-2</v>
      </c>
      <c r="I921" s="36">
        <f t="shared" si="103"/>
        <v>1.6107160453790573E-2</v>
      </c>
    </row>
    <row r="922" spans="2:9" x14ac:dyDescent="0.35">
      <c r="B922" s="16">
        <f t="shared" si="104"/>
        <v>76.083333333333371</v>
      </c>
      <c r="C922" s="17">
        <f t="shared" si="100"/>
        <v>76.083333333333371</v>
      </c>
      <c r="D922" s="1" cm="1">
        <f t="array" ref="D922">_xlfn.XLOOKUP(_xlfn.FLOOR.MATH(C922),'Mortality Tables'!$B$4:$B$124,_xlfn.XLOOKUP(mortality_table,'Mortality Tables'!$B$3:$G$3,'Mortality Tables'!$B$4:$G$124,0,0),0,0)</f>
        <v>4.6578000000000001E-2</v>
      </c>
      <c r="E922" s="1">
        <f t="shared" si="101"/>
        <v>3.8815E-3</v>
      </c>
      <c r="F922" s="1">
        <f t="shared" si="98"/>
        <v>0.99611850000000002</v>
      </c>
      <c r="G922" s="1">
        <f t="shared" si="99"/>
        <v>0.65420930998856397</v>
      </c>
      <c r="H922" s="34">
        <f t="shared" si="102"/>
        <v>2.4425726829504137E-2</v>
      </c>
      <c r="I922" s="36">
        <f t="shared" si="103"/>
        <v>1.5979537895099056E-2</v>
      </c>
    </row>
    <row r="923" spans="2:9" x14ac:dyDescent="0.35">
      <c r="B923" s="16">
        <f t="shared" si="104"/>
        <v>76.1666666666667</v>
      </c>
      <c r="C923" s="17">
        <f t="shared" si="100"/>
        <v>76.1666666666667</v>
      </c>
      <c r="D923" s="1" cm="1">
        <f t="array" ref="D923">_xlfn.XLOOKUP(_xlfn.FLOOR.MATH(C923),'Mortality Tables'!$B$4:$B$124,_xlfn.XLOOKUP(mortality_table,'Mortality Tables'!$B$3:$G$3,'Mortality Tables'!$B$4:$G$124,0,0),0,0)</f>
        <v>4.6578000000000001E-2</v>
      </c>
      <c r="E923" s="1">
        <f t="shared" si="101"/>
        <v>3.8815E-3</v>
      </c>
      <c r="F923" s="1">
        <f t="shared" ref="F923:F986" si="105">1-E923</f>
        <v>0.99611850000000002</v>
      </c>
      <c r="G923" s="1">
        <f t="shared" ref="G923:G986" si="106">G922*F922</f>
        <v>0.65166999655184332</v>
      </c>
      <c r="H923" s="34">
        <f t="shared" si="102"/>
        <v>2.4326617179875904E-2</v>
      </c>
      <c r="I923" s="36">
        <f t="shared" si="103"/>
        <v>1.5852926533727742E-2</v>
      </c>
    </row>
    <row r="924" spans="2:9" x14ac:dyDescent="0.35">
      <c r="B924" s="16">
        <f t="shared" si="104"/>
        <v>76.250000000000028</v>
      </c>
      <c r="C924" s="17">
        <f t="shared" si="100"/>
        <v>76.250000000000028</v>
      </c>
      <c r="D924" s="1" cm="1">
        <f t="array" ref="D924">_xlfn.XLOOKUP(_xlfn.FLOOR.MATH(C924),'Mortality Tables'!$B$4:$B$124,_xlfn.XLOOKUP(mortality_table,'Mortality Tables'!$B$3:$G$3,'Mortality Tables'!$B$4:$G$124,0,0),0,0)</f>
        <v>4.6578000000000001E-2</v>
      </c>
      <c r="E924" s="1">
        <f t="shared" si="101"/>
        <v>3.8815E-3</v>
      </c>
      <c r="F924" s="1">
        <f t="shared" si="105"/>
        <v>0.99611850000000002</v>
      </c>
      <c r="G924" s="1">
        <f t="shared" si="106"/>
        <v>0.64914053946022732</v>
      </c>
      <c r="H924" s="34">
        <f t="shared" si="102"/>
        <v>2.4227909676833442E-2</v>
      </c>
      <c r="I924" s="36">
        <f t="shared" si="103"/>
        <v>1.5727318357613321E-2</v>
      </c>
    </row>
    <row r="925" spans="2:9" x14ac:dyDescent="0.35">
      <c r="B925" s="16">
        <f t="shared" si="104"/>
        <v>76.333333333333357</v>
      </c>
      <c r="C925" s="17">
        <f t="shared" si="100"/>
        <v>76.333333333333357</v>
      </c>
      <c r="D925" s="1" cm="1">
        <f t="array" ref="D925">_xlfn.XLOOKUP(_xlfn.FLOOR.MATH(C925),'Mortality Tables'!$B$4:$B$124,_xlfn.XLOOKUP(mortality_table,'Mortality Tables'!$B$3:$G$3,'Mortality Tables'!$B$4:$G$124,0,0),0,0)</f>
        <v>4.6578000000000001E-2</v>
      </c>
      <c r="E925" s="1">
        <f t="shared" si="101"/>
        <v>3.8815E-3</v>
      </c>
      <c r="F925" s="1">
        <f t="shared" si="105"/>
        <v>0.99611850000000002</v>
      </c>
      <c r="G925" s="1">
        <f t="shared" si="106"/>
        <v>0.64662090045631249</v>
      </c>
      <c r="H925" s="34">
        <f t="shared" si="102"/>
        <v>2.4129602688629716E-2</v>
      </c>
      <c r="I925" s="36">
        <f t="shared" si="103"/>
        <v>1.5602705418174805E-2</v>
      </c>
    </row>
    <row r="926" spans="2:9" x14ac:dyDescent="0.35">
      <c r="B926" s="16">
        <f t="shared" si="104"/>
        <v>76.416666666666686</v>
      </c>
      <c r="C926" s="17">
        <f t="shared" si="100"/>
        <v>76.416666666666686</v>
      </c>
      <c r="D926" s="1" cm="1">
        <f t="array" ref="D926">_xlfn.XLOOKUP(_xlfn.FLOOR.MATH(C926),'Mortality Tables'!$B$4:$B$124,_xlfn.XLOOKUP(mortality_table,'Mortality Tables'!$B$3:$G$3,'Mortality Tables'!$B$4:$G$124,0,0),0,0)</f>
        <v>4.6578000000000001E-2</v>
      </c>
      <c r="E926" s="1">
        <f t="shared" si="101"/>
        <v>3.8815E-3</v>
      </c>
      <c r="F926" s="1">
        <f t="shared" si="105"/>
        <v>0.99611850000000002</v>
      </c>
      <c r="G926" s="1">
        <f t="shared" si="106"/>
        <v>0.64411104143119136</v>
      </c>
      <c r="H926" s="34">
        <f t="shared" si="102"/>
        <v>2.403169459013867E-2</v>
      </c>
      <c r="I926" s="36">
        <f t="shared" si="103"/>
        <v>1.5479079829810546E-2</v>
      </c>
    </row>
    <row r="927" spans="2:9" x14ac:dyDescent="0.35">
      <c r="B927" s="16">
        <f t="shared" si="104"/>
        <v>76.500000000000014</v>
      </c>
      <c r="C927" s="17">
        <f t="shared" si="100"/>
        <v>76.500000000000014</v>
      </c>
      <c r="D927" s="1" cm="1">
        <f t="array" ref="D927">_xlfn.XLOOKUP(_xlfn.FLOOR.MATH(C927),'Mortality Tables'!$B$4:$B$124,_xlfn.XLOOKUP(mortality_table,'Mortality Tables'!$B$3:$G$3,'Mortality Tables'!$B$4:$G$124,0,0),0,0)</f>
        <v>4.6578000000000001E-2</v>
      </c>
      <c r="E927" s="1">
        <f t="shared" si="101"/>
        <v>3.8815E-3</v>
      </c>
      <c r="F927" s="1">
        <f t="shared" si="105"/>
        <v>0.99611850000000002</v>
      </c>
      <c r="G927" s="1">
        <f t="shared" si="106"/>
        <v>0.64161092442387624</v>
      </c>
      <c r="H927" s="34">
        <f t="shared" si="102"/>
        <v>2.3934183762828326E-2</v>
      </c>
      <c r="I927" s="36">
        <f t="shared" si="103"/>
        <v>1.535643376939921E-2</v>
      </c>
    </row>
    <row r="928" spans="2:9" x14ac:dyDescent="0.35">
      <c r="B928" s="16">
        <f t="shared" si="104"/>
        <v>76.583333333333343</v>
      </c>
      <c r="C928" s="17">
        <f t="shared" si="100"/>
        <v>76.583333333333343</v>
      </c>
      <c r="D928" s="1" cm="1">
        <f t="array" ref="D928">_xlfn.XLOOKUP(_xlfn.FLOOR.MATH(C928),'Mortality Tables'!$B$4:$B$124,_xlfn.XLOOKUP(mortality_table,'Mortality Tables'!$B$3:$G$3,'Mortality Tables'!$B$4:$G$124,0,0),0,0)</f>
        <v>4.6578000000000001E-2</v>
      </c>
      <c r="E928" s="1">
        <f t="shared" si="101"/>
        <v>3.8815E-3</v>
      </c>
      <c r="F928" s="1">
        <f t="shared" si="105"/>
        <v>0.99611850000000002</v>
      </c>
      <c r="G928" s="1">
        <f t="shared" si="106"/>
        <v>0.63912051162072503</v>
      </c>
      <c r="H928" s="34">
        <f t="shared" si="102"/>
        <v>2.3837068594734064E-2</v>
      </c>
      <c r="I928" s="36">
        <f t="shared" si="103"/>
        <v>1.5234759475804752E-2</v>
      </c>
    </row>
    <row r="929" spans="2:9" x14ac:dyDescent="0.35">
      <c r="B929" s="16">
        <f t="shared" si="104"/>
        <v>76.666666666666671</v>
      </c>
      <c r="C929" s="17">
        <f t="shared" si="100"/>
        <v>76.666666666666671</v>
      </c>
      <c r="D929" s="1" cm="1">
        <f t="array" ref="D929">_xlfn.XLOOKUP(_xlfn.FLOOR.MATH(C929),'Mortality Tables'!$B$4:$B$124,_xlfn.XLOOKUP(mortality_table,'Mortality Tables'!$B$3:$G$3,'Mortality Tables'!$B$4:$G$124,0,0),0,0)</f>
        <v>4.6578000000000001E-2</v>
      </c>
      <c r="E929" s="1">
        <f t="shared" si="101"/>
        <v>3.8815E-3</v>
      </c>
      <c r="F929" s="1">
        <f t="shared" si="105"/>
        <v>0.99611850000000002</v>
      </c>
      <c r="G929" s="1">
        <f t="shared" si="106"/>
        <v>0.63663976535486921</v>
      </c>
      <c r="H929" s="34">
        <f t="shared" si="102"/>
        <v>2.3740347480431963E-2</v>
      </c>
      <c r="I929" s="36">
        <f t="shared" si="103"/>
        <v>1.5114049249385265E-2</v>
      </c>
    </row>
    <row r="930" spans="2:9" x14ac:dyDescent="0.35">
      <c r="B930" s="16">
        <f t="shared" si="104"/>
        <v>76.75</v>
      </c>
      <c r="C930" s="17">
        <f t="shared" si="100"/>
        <v>76.75</v>
      </c>
      <c r="D930" s="1" cm="1">
        <f t="array" ref="D930">_xlfn.XLOOKUP(_xlfn.FLOOR.MATH(C930),'Mortality Tables'!$B$4:$B$124,_xlfn.XLOOKUP(mortality_table,'Mortality Tables'!$B$3:$G$3,'Mortality Tables'!$B$4:$G$124,0,0),0,0)</f>
        <v>4.6578000000000001E-2</v>
      </c>
      <c r="E930" s="1">
        <f t="shared" si="101"/>
        <v>3.8815E-3</v>
      </c>
      <c r="F930" s="1">
        <f t="shared" si="105"/>
        <v>0.99611850000000002</v>
      </c>
      <c r="G930" s="1">
        <f t="shared" si="106"/>
        <v>0.63416864810564433</v>
      </c>
      <c r="H930" s="34">
        <f t="shared" si="102"/>
        <v>2.3644018821012257E-2</v>
      </c>
      <c r="I930" s="36">
        <f t="shared" si="103"/>
        <v>1.4994295451505754E-2</v>
      </c>
    </row>
    <row r="931" spans="2:9" x14ac:dyDescent="0.35">
      <c r="B931" s="16">
        <f t="shared" si="104"/>
        <v>76.833333333333329</v>
      </c>
      <c r="C931" s="17">
        <f t="shared" si="100"/>
        <v>76.833333333333329</v>
      </c>
      <c r="D931" s="1" cm="1">
        <f t="array" ref="D931">_xlfn.XLOOKUP(_xlfn.FLOOR.MATH(C931),'Mortality Tables'!$B$4:$B$124,_xlfn.XLOOKUP(mortality_table,'Mortality Tables'!$B$3:$G$3,'Mortality Tables'!$B$4:$G$124,0,0),0,0)</f>
        <v>4.6578000000000001E-2</v>
      </c>
      <c r="E931" s="1">
        <f t="shared" si="101"/>
        <v>3.8815E-3</v>
      </c>
      <c r="F931" s="1">
        <f t="shared" si="105"/>
        <v>0.99611850000000002</v>
      </c>
      <c r="G931" s="1">
        <f t="shared" si="106"/>
        <v>0.6317071224980223</v>
      </c>
      <c r="H931" s="34">
        <f t="shared" si="102"/>
        <v>2.3548081024052894E-2</v>
      </c>
      <c r="I931" s="36">
        <f t="shared" si="103"/>
        <v>1.4875490504054735E-2</v>
      </c>
    </row>
    <row r="932" spans="2:9" x14ac:dyDescent="0.35">
      <c r="B932" s="16">
        <f t="shared" si="104"/>
        <v>76.916666666666657</v>
      </c>
      <c r="C932" s="17">
        <f t="shared" si="100"/>
        <v>76.916666666666657</v>
      </c>
      <c r="D932" s="1" cm="1">
        <f t="array" ref="D932">_xlfn.XLOOKUP(_xlfn.FLOOR.MATH(C932),'Mortality Tables'!$B$4:$B$124,_xlfn.XLOOKUP(mortality_table,'Mortality Tables'!$B$3:$G$3,'Mortality Tables'!$B$4:$G$124,0,0),0,0)</f>
        <v>4.6578000000000001E-2</v>
      </c>
      <c r="E932" s="1">
        <f t="shared" si="101"/>
        <v>3.8815E-3</v>
      </c>
      <c r="F932" s="1">
        <f t="shared" si="105"/>
        <v>0.99611850000000002</v>
      </c>
      <c r="G932" s="1">
        <f t="shared" si="106"/>
        <v>0.62925515130204623</v>
      </c>
      <c r="H932" s="34">
        <f t="shared" si="102"/>
        <v>2.3452532503593224E-2</v>
      </c>
      <c r="I932" s="36">
        <f t="shared" si="103"/>
        <v>1.4757626888964712E-2</v>
      </c>
    </row>
    <row r="933" spans="2:9" x14ac:dyDescent="0.35">
      <c r="B933" s="16">
        <f t="shared" si="104"/>
        <v>76.999999999999986</v>
      </c>
      <c r="C933" s="17">
        <f t="shared" si="100"/>
        <v>76.999999999999986</v>
      </c>
      <c r="D933" s="1" cm="1">
        <f t="array" ref="D933">_xlfn.XLOOKUP(_xlfn.FLOOR.MATH(C933),'Mortality Tables'!$B$4:$B$124,_xlfn.XLOOKUP(mortality_table,'Mortality Tables'!$B$3:$G$3,'Mortality Tables'!$B$4:$G$124,0,0),0,0)</f>
        <v>5.1538E-2</v>
      </c>
      <c r="E933" s="1">
        <f t="shared" si="101"/>
        <v>4.2948333333333328E-3</v>
      </c>
      <c r="F933" s="1">
        <f t="shared" si="105"/>
        <v>0.99570516666666664</v>
      </c>
      <c r="G933" s="1">
        <f t="shared" si="106"/>
        <v>0.62681269743226731</v>
      </c>
      <c r="H933" s="34">
        <f t="shared" si="102"/>
        <v>2.3357371680107795E-2</v>
      </c>
      <c r="I933" s="36">
        <f t="shared" si="103"/>
        <v>1.4640697147736416E-2</v>
      </c>
    </row>
    <row r="934" spans="2:9" x14ac:dyDescent="0.35">
      <c r="B934" s="16">
        <f t="shared" si="104"/>
        <v>77.083333333333314</v>
      </c>
      <c r="C934" s="17">
        <f t="shared" si="100"/>
        <v>77.083333333333314</v>
      </c>
      <c r="D934" s="1" cm="1">
        <f t="array" ref="D934">_xlfn.XLOOKUP(_xlfn.FLOOR.MATH(C934),'Mortality Tables'!$B$4:$B$124,_xlfn.XLOOKUP(mortality_table,'Mortality Tables'!$B$3:$G$3,'Mortality Tables'!$B$4:$G$124,0,0),0,0)</f>
        <v>5.1538E-2</v>
      </c>
      <c r="E934" s="1">
        <f t="shared" si="101"/>
        <v>4.2948333333333328E-3</v>
      </c>
      <c r="F934" s="1">
        <f t="shared" si="105"/>
        <v>0.99570516666666664</v>
      </c>
      <c r="G934" s="1">
        <f t="shared" si="106"/>
        <v>0.62412064136557865</v>
      </c>
      <c r="H934" s="34">
        <f t="shared" si="102"/>
        <v>2.32625969804802E-2</v>
      </c>
      <c r="I934" s="36">
        <f t="shared" si="103"/>
        <v>1.4518666947286277E-2</v>
      </c>
    </row>
    <row r="935" spans="2:9" x14ac:dyDescent="0.35">
      <c r="B935" s="16">
        <f t="shared" si="104"/>
        <v>77.166666666666643</v>
      </c>
      <c r="C935" s="17">
        <f t="shared" si="100"/>
        <v>77.166666666666643</v>
      </c>
      <c r="D935" s="1" cm="1">
        <f t="array" ref="D935">_xlfn.XLOOKUP(_xlfn.FLOOR.MATH(C935),'Mortality Tables'!$B$4:$B$124,_xlfn.XLOOKUP(mortality_table,'Mortality Tables'!$B$3:$G$3,'Mortality Tables'!$B$4:$G$124,0,0),0,0)</f>
        <v>5.1538E-2</v>
      </c>
      <c r="E935" s="1">
        <f t="shared" si="101"/>
        <v>4.2948333333333328E-3</v>
      </c>
      <c r="F935" s="1">
        <f t="shared" si="105"/>
        <v>0.99570516666666664</v>
      </c>
      <c r="G935" s="1">
        <f t="shared" si="106"/>
        <v>0.62144014723102037</v>
      </c>
      <c r="H935" s="34">
        <f t="shared" si="102"/>
        <v>2.3168206837977122E-2</v>
      </c>
      <c r="I935" s="36">
        <f t="shared" si="103"/>
        <v>1.4397653868471236E-2</v>
      </c>
    </row>
    <row r="936" spans="2:9" x14ac:dyDescent="0.35">
      <c r="B936" s="16">
        <f t="shared" si="104"/>
        <v>77.249999999999972</v>
      </c>
      <c r="C936" s="17">
        <f t="shared" si="100"/>
        <v>77.249999999999972</v>
      </c>
      <c r="D936" s="1" cm="1">
        <f t="array" ref="D936">_xlfn.XLOOKUP(_xlfn.FLOOR.MATH(C936),'Mortality Tables'!$B$4:$B$124,_xlfn.XLOOKUP(mortality_table,'Mortality Tables'!$B$3:$G$3,'Mortality Tables'!$B$4:$G$124,0,0),0,0)</f>
        <v>5.1538E-2</v>
      </c>
      <c r="E936" s="1">
        <f t="shared" si="101"/>
        <v>4.2948333333333328E-3</v>
      </c>
      <c r="F936" s="1">
        <f t="shared" si="105"/>
        <v>0.99570516666666664</v>
      </c>
      <c r="G936" s="1">
        <f t="shared" si="106"/>
        <v>0.61877116537202104</v>
      </c>
      <c r="H936" s="34">
        <f t="shared" si="102"/>
        <v>2.3074199692222384E-2</v>
      </c>
      <c r="I936" s="36">
        <f t="shared" si="103"/>
        <v>1.4277649433583173E-2</v>
      </c>
    </row>
    <row r="937" spans="2:9" x14ac:dyDescent="0.35">
      <c r="B937" s="16">
        <f t="shared" si="104"/>
        <v>77.3333333333333</v>
      </c>
      <c r="C937" s="17">
        <f t="shared" si="100"/>
        <v>77.3333333333333</v>
      </c>
      <c r="D937" s="1" cm="1">
        <f t="array" ref="D937">_xlfn.XLOOKUP(_xlfn.FLOOR.MATH(C937),'Mortality Tables'!$B$4:$B$124,_xlfn.XLOOKUP(mortality_table,'Mortality Tables'!$B$3:$G$3,'Mortality Tables'!$B$4:$G$124,0,0),0,0)</f>
        <v>5.1538E-2</v>
      </c>
      <c r="E937" s="1">
        <f t="shared" si="101"/>
        <v>4.2948333333333328E-3</v>
      </c>
      <c r="F937" s="1">
        <f t="shared" si="105"/>
        <v>0.99570516666666664</v>
      </c>
      <c r="G937" s="1">
        <f t="shared" si="106"/>
        <v>0.61611364634527577</v>
      </c>
      <c r="H937" s="34">
        <f t="shared" si="102"/>
        <v>2.2980573989171218E-2</v>
      </c>
      <c r="I937" s="36">
        <f t="shared" si="103"/>
        <v>1.415864523557568E-2</v>
      </c>
    </row>
    <row r="938" spans="2:9" x14ac:dyDescent="0.35">
      <c r="B938" s="16">
        <f t="shared" si="104"/>
        <v>77.416666666666629</v>
      </c>
      <c r="C938" s="17">
        <f t="shared" si="100"/>
        <v>77.416666666666629</v>
      </c>
      <c r="D938" s="1" cm="1">
        <f t="array" ref="D938">_xlfn.XLOOKUP(_xlfn.FLOOR.MATH(C938),'Mortality Tables'!$B$4:$B$124,_xlfn.XLOOKUP(mortality_table,'Mortality Tables'!$B$3:$G$3,'Mortality Tables'!$B$4:$G$124,0,0),0,0)</f>
        <v>5.1538E-2</v>
      </c>
      <c r="E938" s="1">
        <f t="shared" si="101"/>
        <v>4.2948333333333328E-3</v>
      </c>
      <c r="F938" s="1">
        <f t="shared" si="105"/>
        <v>0.99570516666666664</v>
      </c>
      <c r="G938" s="1">
        <f t="shared" si="106"/>
        <v>0.61346754091983047</v>
      </c>
      <c r="H938" s="34">
        <f t="shared" si="102"/>
        <v>2.2887328181084503E-2</v>
      </c>
      <c r="I938" s="36">
        <f t="shared" si="103"/>
        <v>1.4040632937475046E-2</v>
      </c>
    </row>
    <row r="939" spans="2:9" x14ac:dyDescent="0.35">
      <c r="B939" s="16">
        <f t="shared" si="104"/>
        <v>77.499999999999957</v>
      </c>
      <c r="C939" s="17">
        <f t="shared" si="100"/>
        <v>77.499999999999957</v>
      </c>
      <c r="D939" s="1" cm="1">
        <f t="array" ref="D939">_xlfn.XLOOKUP(_xlfn.FLOOR.MATH(C939),'Mortality Tables'!$B$4:$B$124,_xlfn.XLOOKUP(mortality_table,'Mortality Tables'!$B$3:$G$3,'Mortality Tables'!$B$4:$G$124,0,0),0,0)</f>
        <v>5.1538E-2</v>
      </c>
      <c r="E939" s="1">
        <f t="shared" si="101"/>
        <v>4.2948333333333328E-3</v>
      </c>
      <c r="F939" s="1">
        <f t="shared" si="105"/>
        <v>0.99570516666666664</v>
      </c>
      <c r="G939" s="1">
        <f t="shared" si="106"/>
        <v>0.61083280007616991</v>
      </c>
      <c r="H939" s="34">
        <f t="shared" si="102"/>
        <v>2.2794460726503228E-2</v>
      </c>
      <c r="I939" s="36">
        <f t="shared" si="103"/>
        <v>1.3923604271796253E-2</v>
      </c>
    </row>
    <row r="940" spans="2:9" x14ac:dyDescent="0.35">
      <c r="B940" s="16">
        <f t="shared" si="104"/>
        <v>77.583333333333286</v>
      </c>
      <c r="C940" s="17">
        <f t="shared" si="100"/>
        <v>77.583333333333286</v>
      </c>
      <c r="D940" s="1" cm="1">
        <f t="array" ref="D940">_xlfn.XLOOKUP(_xlfn.FLOOR.MATH(C940),'Mortality Tables'!$B$4:$B$124,_xlfn.XLOOKUP(mortality_table,'Mortality Tables'!$B$3:$G$3,'Mortality Tables'!$B$4:$G$124,0,0),0,0)</f>
        <v>5.1538E-2</v>
      </c>
      <c r="E940" s="1">
        <f t="shared" si="101"/>
        <v>4.2948333333333328E-3</v>
      </c>
      <c r="F940" s="1">
        <f t="shared" si="105"/>
        <v>0.99570516666666664</v>
      </c>
      <c r="G940" s="1">
        <f t="shared" si="106"/>
        <v>0.60820937500530947</v>
      </c>
      <c r="H940" s="34">
        <f t="shared" si="102"/>
        <v>2.270197009022298E-2</v>
      </c>
      <c r="I940" s="36">
        <f t="shared" si="103"/>
        <v>1.3807551039963747E-2</v>
      </c>
    </row>
    <row r="941" spans="2:9" x14ac:dyDescent="0.35">
      <c r="B941" s="16">
        <f t="shared" si="104"/>
        <v>77.666666666666615</v>
      </c>
      <c r="C941" s="17">
        <f t="shared" si="100"/>
        <v>77.666666666666615</v>
      </c>
      <c r="D941" s="1" cm="1">
        <f t="array" ref="D941">_xlfn.XLOOKUP(_xlfn.FLOOR.MATH(C941),'Mortality Tables'!$B$4:$B$124,_xlfn.XLOOKUP(mortality_table,'Mortality Tables'!$B$3:$G$3,'Mortality Tables'!$B$4:$G$124,0,0),0,0)</f>
        <v>5.1538E-2</v>
      </c>
      <c r="E941" s="1">
        <f t="shared" si="101"/>
        <v>4.2948333333333328E-3</v>
      </c>
      <c r="F941" s="1">
        <f t="shared" si="105"/>
        <v>0.99570516666666664</v>
      </c>
      <c r="G941" s="1">
        <f t="shared" si="106"/>
        <v>0.60559721710789083</v>
      </c>
      <c r="H941" s="34">
        <f t="shared" si="102"/>
        <v>2.2609854743268605E-2</v>
      </c>
      <c r="I941" s="36">
        <f t="shared" si="103"/>
        <v>1.3692465111737114E-2</v>
      </c>
    </row>
    <row r="942" spans="2:9" x14ac:dyDescent="0.35">
      <c r="B942" s="16">
        <f t="shared" si="104"/>
        <v>77.749999999999943</v>
      </c>
      <c r="C942" s="17">
        <f t="shared" si="100"/>
        <v>77.749999999999943</v>
      </c>
      <c r="D942" s="1" cm="1">
        <f t="array" ref="D942">_xlfn.XLOOKUP(_xlfn.FLOOR.MATH(C942),'Mortality Tables'!$B$4:$B$124,_xlfn.XLOOKUP(mortality_table,'Mortality Tables'!$B$3:$G$3,'Mortality Tables'!$B$4:$G$124,0,0),0,0)</f>
        <v>5.1538E-2</v>
      </c>
      <c r="E942" s="1">
        <f t="shared" si="101"/>
        <v>4.2948333333333328E-3</v>
      </c>
      <c r="F942" s="1">
        <f t="shared" si="105"/>
        <v>0.99570516666666664</v>
      </c>
      <c r="G942" s="1">
        <f t="shared" si="106"/>
        <v>0.60299627799328193</v>
      </c>
      <c r="H942" s="34">
        <f t="shared" si="102"/>
        <v>2.2518113162868884E-2</v>
      </c>
      <c r="I942" s="36">
        <f t="shared" si="103"/>
        <v>1.3578338424641467E-2</v>
      </c>
    </row>
    <row r="943" spans="2:9" x14ac:dyDescent="0.35">
      <c r="B943" s="16">
        <f t="shared" si="104"/>
        <v>77.833333333333272</v>
      </c>
      <c r="C943" s="17">
        <f t="shared" si="100"/>
        <v>77.833333333333272</v>
      </c>
      <c r="D943" s="1" cm="1">
        <f t="array" ref="D943">_xlfn.XLOOKUP(_xlfn.FLOOR.MATH(C943),'Mortality Tables'!$B$4:$B$124,_xlfn.XLOOKUP(mortality_table,'Mortality Tables'!$B$3:$G$3,'Mortality Tables'!$B$4:$G$124,0,0),0,0)</f>
        <v>5.1538E-2</v>
      </c>
      <c r="E943" s="1">
        <f t="shared" si="101"/>
        <v>4.2948333333333328E-3</v>
      </c>
      <c r="F943" s="1">
        <f t="shared" si="105"/>
        <v>0.99570516666666664</v>
      </c>
      <c r="G943" s="1">
        <f t="shared" si="106"/>
        <v>0.60040650947868046</v>
      </c>
      <c r="H943" s="34">
        <f t="shared" si="102"/>
        <v>2.2426743832431394E-2</v>
      </c>
      <c r="I943" s="36">
        <f t="shared" si="103"/>
        <v>1.3465162983402659E-2</v>
      </c>
    </row>
    <row r="944" spans="2:9" x14ac:dyDescent="0.35">
      <c r="B944" s="16">
        <f t="shared" si="104"/>
        <v>77.9166666666666</v>
      </c>
      <c r="C944" s="17">
        <f t="shared" si="100"/>
        <v>77.9166666666666</v>
      </c>
      <c r="D944" s="1" cm="1">
        <f t="array" ref="D944">_xlfn.XLOOKUP(_xlfn.FLOOR.MATH(C944),'Mortality Tables'!$B$4:$B$124,_xlfn.XLOOKUP(mortality_table,'Mortality Tables'!$B$3:$G$3,'Mortality Tables'!$B$4:$G$124,0,0),0,0)</f>
        <v>5.1538E-2</v>
      </c>
      <c r="E944" s="1">
        <f t="shared" si="101"/>
        <v>4.2948333333333328E-3</v>
      </c>
      <c r="F944" s="1">
        <f t="shared" si="105"/>
        <v>0.99570516666666664</v>
      </c>
      <c r="G944" s="1">
        <f t="shared" si="106"/>
        <v>0.59782786358822104</v>
      </c>
      <c r="H944" s="34">
        <f t="shared" si="102"/>
        <v>2.2335745241517414E-2</v>
      </c>
      <c r="I944" s="36">
        <f t="shared" si="103"/>
        <v>1.335293085938713E-2</v>
      </c>
    </row>
    <row r="945" spans="2:9" x14ac:dyDescent="0.35">
      <c r="B945" s="16">
        <f t="shared" si="104"/>
        <v>77.999999999999929</v>
      </c>
      <c r="C945" s="17">
        <f t="shared" si="100"/>
        <v>77.999999999999929</v>
      </c>
      <c r="D945" s="1" cm="1">
        <f t="array" ref="D945">_xlfn.XLOOKUP(_xlfn.FLOOR.MATH(C945),'Mortality Tables'!$B$4:$B$124,_xlfn.XLOOKUP(mortality_table,'Mortality Tables'!$B$3:$G$3,'Mortality Tables'!$B$4:$G$124,0,0),0,0)</f>
        <v>5.1538E-2</v>
      </c>
      <c r="E945" s="1">
        <f t="shared" si="101"/>
        <v>4.2948333333333328E-3</v>
      </c>
      <c r="F945" s="1">
        <f t="shared" si="105"/>
        <v>0.99570516666666664</v>
      </c>
      <c r="G945" s="1">
        <f t="shared" si="106"/>
        <v>0.5952602925520869</v>
      </c>
      <c r="H945" s="34">
        <f t="shared" si="102"/>
        <v>2.2245115885817002E-2</v>
      </c>
      <c r="I945" s="36">
        <f t="shared" si="103"/>
        <v>1.3241634190046505E-2</v>
      </c>
    </row>
    <row r="946" spans="2:9" x14ac:dyDescent="0.35">
      <c r="B946" s="16">
        <f t="shared" si="104"/>
        <v>78.083333333333258</v>
      </c>
      <c r="C946" s="17">
        <f t="shared" si="100"/>
        <v>78.083333333333258</v>
      </c>
      <c r="D946" s="1" cm="1">
        <f t="array" ref="D946">_xlfn.XLOOKUP(_xlfn.FLOOR.MATH(C946),'Mortality Tables'!$B$4:$B$124,_xlfn.XLOOKUP(mortality_table,'Mortality Tables'!$B$3:$G$3,'Mortality Tables'!$B$4:$G$124,0,0),0,0)</f>
        <v>5.6956E-2</v>
      </c>
      <c r="E946" s="1">
        <f t="shared" si="101"/>
        <v>4.7463333333333333E-3</v>
      </c>
      <c r="F946" s="1">
        <f t="shared" si="105"/>
        <v>0.9952536666666667</v>
      </c>
      <c r="G946" s="1">
        <f t="shared" si="106"/>
        <v>0.59270374880562438</v>
      </c>
      <c r="H946" s="34">
        <f t="shared" si="102"/>
        <v>2.2154854267124054E-2</v>
      </c>
      <c r="I946" s="36">
        <f t="shared" si="103"/>
        <v>1.313126517836671E-2</v>
      </c>
    </row>
    <row r="947" spans="2:9" x14ac:dyDescent="0.35">
      <c r="B947" s="16">
        <f t="shared" si="104"/>
        <v>78.166666666666586</v>
      </c>
      <c r="C947" s="17">
        <f t="shared" si="100"/>
        <v>78.166666666666586</v>
      </c>
      <c r="D947" s="1" cm="1">
        <f t="array" ref="D947">_xlfn.XLOOKUP(_xlfn.FLOOR.MATH(C947),'Mortality Tables'!$B$4:$B$124,_xlfn.XLOOKUP(mortality_table,'Mortality Tables'!$B$3:$G$3,'Mortality Tables'!$B$4:$G$124,0,0),0,0)</f>
        <v>5.6956E-2</v>
      </c>
      <c r="E947" s="1">
        <f t="shared" si="101"/>
        <v>4.7463333333333333E-3</v>
      </c>
      <c r="F947" s="1">
        <f t="shared" si="105"/>
        <v>0.9952536666666667</v>
      </c>
      <c r="G947" s="1">
        <f t="shared" si="106"/>
        <v>0.58989057924587662</v>
      </c>
      <c r="H947" s="34">
        <f t="shared" si="102"/>
        <v>2.2064958893311601E-2</v>
      </c>
      <c r="I947" s="36">
        <f t="shared" si="103"/>
        <v>1.3015911382612037E-2</v>
      </c>
    </row>
    <row r="948" spans="2:9" x14ac:dyDescent="0.35">
      <c r="B948" s="16">
        <f t="shared" si="104"/>
        <v>78.249999999999915</v>
      </c>
      <c r="C948" s="17">
        <f t="shared" si="100"/>
        <v>78.249999999999915</v>
      </c>
      <c r="D948" s="1" cm="1">
        <f t="array" ref="D948">_xlfn.XLOOKUP(_xlfn.FLOOR.MATH(C948),'Mortality Tables'!$B$4:$B$124,_xlfn.XLOOKUP(mortality_table,'Mortality Tables'!$B$3:$G$3,'Mortality Tables'!$B$4:$G$124,0,0),0,0)</f>
        <v>5.6956E-2</v>
      </c>
      <c r="E948" s="1">
        <f t="shared" si="101"/>
        <v>4.7463333333333333E-3</v>
      </c>
      <c r="F948" s="1">
        <f t="shared" si="105"/>
        <v>0.9952536666666667</v>
      </c>
      <c r="G948" s="1">
        <f t="shared" si="106"/>
        <v>0.5870907619265826</v>
      </c>
      <c r="H948" s="34">
        <f t="shared" si="102"/>
        <v>2.1975428278307094E-2</v>
      </c>
      <c r="I948" s="36">
        <f t="shared" si="103"/>
        <v>1.2901570931574281E-2</v>
      </c>
    </row>
    <row r="949" spans="2:9" x14ac:dyDescent="0.35">
      <c r="B949" s="16">
        <f t="shared" si="104"/>
        <v>78.333333333333243</v>
      </c>
      <c r="C949" s="17">
        <f t="shared" si="100"/>
        <v>78.333333333333243</v>
      </c>
      <c r="D949" s="1" cm="1">
        <f t="array" ref="D949">_xlfn.XLOOKUP(_xlfn.FLOOR.MATH(C949),'Mortality Tables'!$B$4:$B$124,_xlfn.XLOOKUP(mortality_table,'Mortality Tables'!$B$3:$G$3,'Mortality Tables'!$B$4:$G$124,0,0),0,0)</f>
        <v>5.6956E-2</v>
      </c>
      <c r="E949" s="1">
        <f t="shared" si="101"/>
        <v>4.7463333333333333E-3</v>
      </c>
      <c r="F949" s="1">
        <f t="shared" si="105"/>
        <v>0.9952536666666667</v>
      </c>
      <c r="G949" s="1">
        <f t="shared" si="106"/>
        <v>0.58430423347355842</v>
      </c>
      <c r="H949" s="34">
        <f t="shared" si="102"/>
        <v>2.1886260942067894E-2</v>
      </c>
      <c r="I949" s="36">
        <f t="shared" si="103"/>
        <v>1.2788234923357261E-2</v>
      </c>
    </row>
    <row r="950" spans="2:9" x14ac:dyDescent="0.35">
      <c r="B950" s="16">
        <f t="shared" si="104"/>
        <v>78.416666666666572</v>
      </c>
      <c r="C950" s="17">
        <f t="shared" si="100"/>
        <v>78.416666666666572</v>
      </c>
      <c r="D950" s="1" cm="1">
        <f t="array" ref="D950">_xlfn.XLOOKUP(_xlfn.FLOOR.MATH(C950),'Mortality Tables'!$B$4:$B$124,_xlfn.XLOOKUP(mortality_table,'Mortality Tables'!$B$3:$G$3,'Mortality Tables'!$B$4:$G$124,0,0),0,0)</f>
        <v>5.6956E-2</v>
      </c>
      <c r="E950" s="1">
        <f t="shared" si="101"/>
        <v>4.7463333333333333E-3</v>
      </c>
      <c r="F950" s="1">
        <f t="shared" si="105"/>
        <v>0.9952536666666667</v>
      </c>
      <c r="G950" s="1">
        <f t="shared" si="106"/>
        <v>0.58153093081341511</v>
      </c>
      <c r="H950" s="34">
        <f t="shared" si="102"/>
        <v>2.1797455410556735E-2</v>
      </c>
      <c r="I950" s="36">
        <f t="shared" si="103"/>
        <v>1.2675894534264969E-2</v>
      </c>
    </row>
    <row r="951" spans="2:9" x14ac:dyDescent="0.35">
      <c r="B951" s="16">
        <f t="shared" si="104"/>
        <v>78.499999999999901</v>
      </c>
      <c r="C951" s="17">
        <f t="shared" si="100"/>
        <v>78.499999999999901</v>
      </c>
      <c r="D951" s="1" cm="1">
        <f t="array" ref="D951">_xlfn.XLOOKUP(_xlfn.FLOOR.MATH(C951),'Mortality Tables'!$B$4:$B$124,_xlfn.XLOOKUP(mortality_table,'Mortality Tables'!$B$3:$G$3,'Mortality Tables'!$B$4:$G$124,0,0),0,0)</f>
        <v>5.6956E-2</v>
      </c>
      <c r="E951" s="1">
        <f t="shared" si="101"/>
        <v>4.7463333333333333E-3</v>
      </c>
      <c r="F951" s="1">
        <f t="shared" si="105"/>
        <v>0.9952536666666667</v>
      </c>
      <c r="G951" s="1">
        <f t="shared" si="106"/>
        <v>0.57877079117213104</v>
      </c>
      <c r="H951" s="34">
        <f t="shared" si="102"/>
        <v>2.1709010215717424E-2</v>
      </c>
      <c r="I951" s="36">
        <f t="shared" si="103"/>
        <v>1.2564541018114649E-2</v>
      </c>
    </row>
    <row r="952" spans="2:9" x14ac:dyDescent="0.35">
      <c r="B952" s="16">
        <f t="shared" si="104"/>
        <v>78.583333333333229</v>
      </c>
      <c r="C952" s="17">
        <f t="shared" si="100"/>
        <v>78.583333333333229</v>
      </c>
      <c r="D952" s="1" cm="1">
        <f t="array" ref="D952">_xlfn.XLOOKUP(_xlfn.FLOOR.MATH(C952),'Mortality Tables'!$B$4:$B$124,_xlfn.XLOOKUP(mortality_table,'Mortality Tables'!$B$3:$G$3,'Mortality Tables'!$B$4:$G$124,0,0),0,0)</f>
        <v>5.6956E-2</v>
      </c>
      <c r="E952" s="1">
        <f t="shared" si="101"/>
        <v>4.7463333333333333E-3</v>
      </c>
      <c r="F952" s="1">
        <f t="shared" si="105"/>
        <v>0.9952536666666667</v>
      </c>
      <c r="G952" s="1">
        <f t="shared" si="106"/>
        <v>0.5760237520736311</v>
      </c>
      <c r="H952" s="34">
        <f t="shared" si="102"/>
        <v>2.1620923895450513E-2</v>
      </c>
      <c r="I952" s="36">
        <f t="shared" si="103"/>
        <v>1.2454165705555832E-2</v>
      </c>
    </row>
    <row r="953" spans="2:9" x14ac:dyDescent="0.35">
      <c r="B953" s="16">
        <f t="shared" si="104"/>
        <v>78.666666666666558</v>
      </c>
      <c r="C953" s="17">
        <f t="shared" si="100"/>
        <v>78.666666666666558</v>
      </c>
      <c r="D953" s="1" cm="1">
        <f t="array" ref="D953">_xlfn.XLOOKUP(_xlfn.FLOOR.MATH(C953),'Mortality Tables'!$B$4:$B$124,_xlfn.XLOOKUP(mortality_table,'Mortality Tables'!$B$3:$G$3,'Mortality Tables'!$B$4:$G$124,0,0),0,0)</f>
        <v>5.6956E-2</v>
      </c>
      <c r="E953" s="1">
        <f t="shared" si="101"/>
        <v>4.7463333333333333E-3</v>
      </c>
      <c r="F953" s="1">
        <f t="shared" si="105"/>
        <v>0.9952536666666667</v>
      </c>
      <c r="G953" s="1">
        <f t="shared" si="106"/>
        <v>0.57328975133837234</v>
      </c>
      <c r="H953" s="34">
        <f t="shared" si="102"/>
        <v>2.1533194993589203E-2</v>
      </c>
      <c r="I953" s="36">
        <f t="shared" si="103"/>
        <v>1.2344760003395438E-2</v>
      </c>
    </row>
    <row r="954" spans="2:9" x14ac:dyDescent="0.35">
      <c r="B954" s="16">
        <f t="shared" si="104"/>
        <v>78.749999999999886</v>
      </c>
      <c r="C954" s="17">
        <f t="shared" si="100"/>
        <v>78.749999999999886</v>
      </c>
      <c r="D954" s="1" cm="1">
        <f t="array" ref="D954">_xlfn.XLOOKUP(_xlfn.FLOOR.MATH(C954),'Mortality Tables'!$B$4:$B$124,_xlfn.XLOOKUP(mortality_table,'Mortality Tables'!$B$3:$G$3,'Mortality Tables'!$B$4:$G$124,0,0),0,0)</f>
        <v>5.6956E-2</v>
      </c>
      <c r="E954" s="1">
        <f t="shared" si="101"/>
        <v>4.7463333333333333E-3</v>
      </c>
      <c r="F954" s="1">
        <f t="shared" si="105"/>
        <v>0.9952536666666667</v>
      </c>
      <c r="G954" s="1">
        <f t="shared" si="106"/>
        <v>0.57056872708193662</v>
      </c>
      <c r="H954" s="34">
        <f t="shared" si="102"/>
        <v>2.1445822059875181E-2</v>
      </c>
      <c r="I954" s="36">
        <f t="shared" si="103"/>
        <v>1.2236315393928698E-2</v>
      </c>
    </row>
    <row r="955" spans="2:9" x14ac:dyDescent="0.35">
      <c r="B955" s="16">
        <f t="shared" si="104"/>
        <v>78.833333333333215</v>
      </c>
      <c r="C955" s="17">
        <f t="shared" si="100"/>
        <v>78.833333333333215</v>
      </c>
      <c r="D955" s="1" cm="1">
        <f t="array" ref="D955">_xlfn.XLOOKUP(_xlfn.FLOOR.MATH(C955),'Mortality Tables'!$B$4:$B$124,_xlfn.XLOOKUP(mortality_table,'Mortality Tables'!$B$3:$G$3,'Mortality Tables'!$B$4:$G$124,0,0),0,0)</f>
        <v>5.6956E-2</v>
      </c>
      <c r="E955" s="1">
        <f t="shared" si="101"/>
        <v>4.7463333333333333E-3</v>
      </c>
      <c r="F955" s="1">
        <f t="shared" si="105"/>
        <v>0.9952536666666667</v>
      </c>
      <c r="G955" s="1">
        <f t="shared" si="106"/>
        <v>0.56786061771363006</v>
      </c>
      <c r="H955" s="34">
        <f t="shared" si="102"/>
        <v>2.1358803649934713E-2</v>
      </c>
      <c r="I955" s="36">
        <f t="shared" si="103"/>
        <v>1.2128823434276062E-2</v>
      </c>
    </row>
    <row r="956" spans="2:9" x14ac:dyDescent="0.35">
      <c r="B956" s="16">
        <f t="shared" si="104"/>
        <v>78.916666666666544</v>
      </c>
      <c r="C956" s="17">
        <f t="shared" si="100"/>
        <v>78.916666666666544</v>
      </c>
      <c r="D956" s="1" cm="1">
        <f t="array" ref="D956">_xlfn.XLOOKUP(_xlfn.FLOOR.MATH(C956),'Mortality Tables'!$B$4:$B$124,_xlfn.XLOOKUP(mortality_table,'Mortality Tables'!$B$3:$G$3,'Mortality Tables'!$B$4:$G$124,0,0),0,0)</f>
        <v>5.6956E-2</v>
      </c>
      <c r="E956" s="1">
        <f t="shared" si="101"/>
        <v>4.7463333333333333E-3</v>
      </c>
      <c r="F956" s="1">
        <f t="shared" si="105"/>
        <v>0.9952536666666667</v>
      </c>
      <c r="G956" s="1">
        <f t="shared" si="106"/>
        <v>0.56516536193508859</v>
      </c>
      <c r="H956" s="34">
        <f t="shared" si="102"/>
        <v>2.1272138325254743E-2</v>
      </c>
      <c r="I956" s="36">
        <f t="shared" si="103"/>
        <v>1.2022275755725866E-2</v>
      </c>
    </row>
    <row r="957" spans="2:9" x14ac:dyDescent="0.35">
      <c r="B957" s="16">
        <f t="shared" si="104"/>
        <v>78.999999999999872</v>
      </c>
      <c r="C957" s="17">
        <f t="shared" si="100"/>
        <v>78.999999999999872</v>
      </c>
      <c r="D957" s="1" cm="1">
        <f t="array" ref="D957">_xlfn.XLOOKUP(_xlfn.FLOOR.MATH(C957),'Mortality Tables'!$B$4:$B$124,_xlfn.XLOOKUP(mortality_table,'Mortality Tables'!$B$3:$G$3,'Mortality Tables'!$B$4:$G$124,0,0),0,0)</f>
        <v>5.6956E-2</v>
      </c>
      <c r="E957" s="1">
        <f t="shared" si="101"/>
        <v>4.7463333333333333E-3</v>
      </c>
      <c r="F957" s="1">
        <f t="shared" si="105"/>
        <v>0.9952536666666667</v>
      </c>
      <c r="G957" s="1">
        <f t="shared" si="106"/>
        <v>0.56248289873889068</v>
      </c>
      <c r="H957" s="34">
        <f t="shared" si="102"/>
        <v>2.1185824653159113E-2</v>
      </c>
      <c r="I957" s="36">
        <f t="shared" si="103"/>
        <v>1.1916664063082791E-2</v>
      </c>
    </row>
    <row r="958" spans="2:9" x14ac:dyDescent="0.35">
      <c r="B958" s="16">
        <f t="shared" si="104"/>
        <v>79.083333333333201</v>
      </c>
      <c r="C958" s="17">
        <f t="shared" si="100"/>
        <v>79.083333333333201</v>
      </c>
      <c r="D958" s="1" cm="1">
        <f t="array" ref="D958">_xlfn.XLOOKUP(_xlfn.FLOOR.MATH(C958),'Mortality Tables'!$B$4:$B$124,_xlfn.XLOOKUP(mortality_table,'Mortality Tables'!$B$3:$G$3,'Mortality Tables'!$B$4:$G$124,0,0),0,0)</f>
        <v>6.2867000000000006E-2</v>
      </c>
      <c r="E958" s="1">
        <f t="shared" si="101"/>
        <v>5.2389166666666669E-3</v>
      </c>
      <c r="F958" s="1">
        <f t="shared" si="105"/>
        <v>0.99476108333333335</v>
      </c>
      <c r="G958" s="1">
        <f t="shared" si="106"/>
        <v>0.55981316740717635</v>
      </c>
      <c r="H958" s="34">
        <f t="shared" si="102"/>
        <v>2.1099861206784878E-2</v>
      </c>
      <c r="I958" s="36">
        <f t="shared" si="103"/>
        <v>1.1811980134022048E-2</v>
      </c>
    </row>
    <row r="959" spans="2:9" x14ac:dyDescent="0.35">
      <c r="B959" s="16">
        <f t="shared" si="104"/>
        <v>79.166666666666529</v>
      </c>
      <c r="C959" s="17">
        <f t="shared" si="100"/>
        <v>79.166666666666529</v>
      </c>
      <c r="D959" s="1" cm="1">
        <f t="array" ref="D959">_xlfn.XLOOKUP(_xlfn.FLOOR.MATH(C959),'Mortality Tables'!$B$4:$B$124,_xlfn.XLOOKUP(mortality_table,'Mortality Tables'!$B$3:$G$3,'Mortality Tables'!$B$4:$G$124,0,0),0,0)</f>
        <v>6.2867000000000006E-2</v>
      </c>
      <c r="E959" s="1">
        <f t="shared" si="101"/>
        <v>5.2389166666666669E-3</v>
      </c>
      <c r="F959" s="1">
        <f t="shared" si="105"/>
        <v>0.99476108333333335</v>
      </c>
      <c r="G959" s="1">
        <f t="shared" si="106"/>
        <v>0.55688035287422744</v>
      </c>
      <c r="H959" s="34">
        <f t="shared" si="102"/>
        <v>2.1014246565058729E-2</v>
      </c>
      <c r="I959" s="36">
        <f t="shared" si="103"/>
        <v>1.1702421042535927E-2</v>
      </c>
    </row>
    <row r="960" spans="2:9" x14ac:dyDescent="0.35">
      <c r="B960" s="16">
        <f t="shared" si="104"/>
        <v>79.249999999999858</v>
      </c>
      <c r="C960" s="17">
        <f t="shared" si="100"/>
        <v>79.249999999999858</v>
      </c>
      <c r="D960" s="1" cm="1">
        <f t="array" ref="D960">_xlfn.XLOOKUP(_xlfn.FLOOR.MATH(C960),'Mortality Tables'!$B$4:$B$124,_xlfn.XLOOKUP(mortality_table,'Mortality Tables'!$B$3:$G$3,'Mortality Tables'!$B$4:$G$124,0,0),0,0)</f>
        <v>6.2867000000000006E-2</v>
      </c>
      <c r="E960" s="1">
        <f t="shared" si="101"/>
        <v>5.2389166666666669E-3</v>
      </c>
      <c r="F960" s="1">
        <f t="shared" si="105"/>
        <v>0.99476108333333335</v>
      </c>
      <c r="G960" s="1">
        <f t="shared" si="106"/>
        <v>0.55396290311221541</v>
      </c>
      <c r="H960" s="34">
        <f t="shared" si="102"/>
        <v>2.0928979312673478E-2</v>
      </c>
      <c r="I960" s="36">
        <f t="shared" si="103"/>
        <v>1.1593878139224098E-2</v>
      </c>
    </row>
    <row r="961" spans="2:9" x14ac:dyDescent="0.35">
      <c r="B961" s="16">
        <f t="shared" si="104"/>
        <v>79.333333333333186</v>
      </c>
      <c r="C961" s="17">
        <f t="shared" si="100"/>
        <v>79.333333333333186</v>
      </c>
      <c r="D961" s="1" cm="1">
        <f t="array" ref="D961">_xlfn.XLOOKUP(_xlfn.FLOOR.MATH(C961),'Mortality Tables'!$B$4:$B$124,_xlfn.XLOOKUP(mortality_table,'Mortality Tables'!$B$3:$G$3,'Mortality Tables'!$B$4:$G$124,0,0),0,0)</f>
        <v>6.2867000000000006E-2</v>
      </c>
      <c r="E961" s="1">
        <f t="shared" si="101"/>
        <v>5.2389166666666669E-3</v>
      </c>
      <c r="F961" s="1">
        <f t="shared" si="105"/>
        <v>0.99476108333333335</v>
      </c>
      <c r="G961" s="1">
        <f t="shared" si="106"/>
        <v>0.55106073762638574</v>
      </c>
      <c r="H961" s="34">
        <f t="shared" si="102"/>
        <v>2.0844058040064711E-2</v>
      </c>
      <c r="I961" s="36">
        <f t="shared" si="103"/>
        <v>1.1486341998685255E-2</v>
      </c>
    </row>
    <row r="962" spans="2:9" x14ac:dyDescent="0.35">
      <c r="B962" s="16">
        <f t="shared" si="104"/>
        <v>79.416666666666515</v>
      </c>
      <c r="C962" s="17">
        <f t="shared" si="100"/>
        <v>79.416666666666515</v>
      </c>
      <c r="D962" s="1" cm="1">
        <f t="array" ref="D962">_xlfn.XLOOKUP(_xlfn.FLOOR.MATH(C962),'Mortality Tables'!$B$4:$B$124,_xlfn.XLOOKUP(mortality_table,'Mortality Tables'!$B$3:$G$3,'Mortality Tables'!$B$4:$G$124,0,0),0,0)</f>
        <v>6.2867000000000006E-2</v>
      </c>
      <c r="E962" s="1">
        <f t="shared" si="101"/>
        <v>5.2389166666666669E-3</v>
      </c>
      <c r="F962" s="1">
        <f t="shared" si="105"/>
        <v>0.99476108333333335</v>
      </c>
      <c r="G962" s="1">
        <f t="shared" si="106"/>
        <v>0.54817377634368925</v>
      </c>
      <c r="H962" s="34">
        <f t="shared" si="102"/>
        <v>2.0759481343387419E-2</v>
      </c>
      <c r="I962" s="36">
        <f t="shared" si="103"/>
        <v>1.1379803282941045E-2</v>
      </c>
    </row>
    <row r="963" spans="2:9" x14ac:dyDescent="0.35">
      <c r="B963" s="16">
        <f t="shared" si="104"/>
        <v>79.499999999999844</v>
      </c>
      <c r="C963" s="17">
        <f t="shared" si="100"/>
        <v>79.499999999999844</v>
      </c>
      <c r="D963" s="1" cm="1">
        <f t="array" ref="D963">_xlfn.XLOOKUP(_xlfn.FLOOR.MATH(C963),'Mortality Tables'!$B$4:$B$124,_xlfn.XLOOKUP(mortality_table,'Mortality Tables'!$B$3:$G$3,'Mortality Tables'!$B$4:$G$124,0,0),0,0)</f>
        <v>6.2867000000000006E-2</v>
      </c>
      <c r="E963" s="1">
        <f t="shared" si="101"/>
        <v>5.2389166666666669E-3</v>
      </c>
      <c r="F963" s="1">
        <f t="shared" si="105"/>
        <v>0.99476108333333335</v>
      </c>
      <c r="G963" s="1">
        <f t="shared" si="106"/>
        <v>0.54530193961057272</v>
      </c>
      <c r="H963" s="34">
        <f t="shared" si="102"/>
        <v>2.0675247824492836E-2</v>
      </c>
      <c r="I963" s="36">
        <f t="shared" si="103"/>
        <v>1.1274252740625218E-2</v>
      </c>
    </row>
    <row r="964" spans="2:9" x14ac:dyDescent="0.35">
      <c r="B964" s="16">
        <f t="shared" si="104"/>
        <v>79.583333333333172</v>
      </c>
      <c r="C964" s="17">
        <f t="shared" si="100"/>
        <v>79.583333333333172</v>
      </c>
      <c r="D964" s="1" cm="1">
        <f t="array" ref="D964">_xlfn.XLOOKUP(_xlfn.FLOOR.MATH(C964),'Mortality Tables'!$B$4:$B$124,_xlfn.XLOOKUP(mortality_table,'Mortality Tables'!$B$3:$G$3,'Mortality Tables'!$B$4:$G$124,0,0),0,0)</f>
        <v>6.2867000000000006E-2</v>
      </c>
      <c r="E964" s="1">
        <f t="shared" si="101"/>
        <v>5.2389166666666669E-3</v>
      </c>
      <c r="F964" s="1">
        <f t="shared" si="105"/>
        <v>0.99476108333333335</v>
      </c>
      <c r="G964" s="1">
        <f t="shared" si="106"/>
        <v>0.54244514819078127</v>
      </c>
      <c r="H964" s="34">
        <f t="shared" si="102"/>
        <v>2.0591356090905313E-2</v>
      </c>
      <c r="I964" s="36">
        <f t="shared" si="103"/>
        <v>1.1169681206180278E-2</v>
      </c>
    </row>
    <row r="965" spans="2:9" x14ac:dyDescent="0.35">
      <c r="B965" s="16">
        <f t="shared" si="104"/>
        <v>79.666666666666501</v>
      </c>
      <c r="C965" s="17">
        <f t="shared" si="100"/>
        <v>79.666666666666501</v>
      </c>
      <c r="D965" s="1" cm="1">
        <f t="array" ref="D965">_xlfn.XLOOKUP(_xlfn.FLOOR.MATH(C965),'Mortality Tables'!$B$4:$B$124,_xlfn.XLOOKUP(mortality_table,'Mortality Tables'!$B$3:$G$3,'Mortality Tables'!$B$4:$G$124,0,0),0,0)</f>
        <v>6.2867000000000006E-2</v>
      </c>
      <c r="E965" s="1">
        <f t="shared" si="101"/>
        <v>5.2389166666666669E-3</v>
      </c>
      <c r="F965" s="1">
        <f t="shared" si="105"/>
        <v>0.99476108333333335</v>
      </c>
      <c r="G965" s="1">
        <f t="shared" si="106"/>
        <v>0.53960332326317217</v>
      </c>
      <c r="H965" s="34">
        <f t="shared" si="102"/>
        <v>2.0507804755799299E-2</v>
      </c>
      <c r="I965" s="36">
        <f t="shared" si="103"/>
        <v>1.106607959906159E-2</v>
      </c>
    </row>
    <row r="966" spans="2:9" x14ac:dyDescent="0.35">
      <c r="B966" s="16">
        <f t="shared" si="104"/>
        <v>79.749999999999829</v>
      </c>
      <c r="C966" s="17">
        <f t="shared" si="100"/>
        <v>79.749999999999829</v>
      </c>
      <c r="D966" s="1" cm="1">
        <f t="array" ref="D966">_xlfn.XLOOKUP(_xlfn.FLOOR.MATH(C966),'Mortality Tables'!$B$4:$B$124,_xlfn.XLOOKUP(mortality_table,'Mortality Tables'!$B$3:$G$3,'Mortality Tables'!$B$4:$G$124,0,0),0,0)</f>
        <v>6.2867000000000006E-2</v>
      </c>
      <c r="E966" s="1">
        <f t="shared" si="101"/>
        <v>5.2389166666666669E-3</v>
      </c>
      <c r="F966" s="1">
        <f t="shared" si="105"/>
        <v>0.99476108333333335</v>
      </c>
      <c r="G966" s="1">
        <f t="shared" si="106"/>
        <v>0.53677638641954006</v>
      </c>
      <c r="H966" s="34">
        <f t="shared" si="102"/>
        <v>2.0424592437976424E-2</v>
      </c>
      <c r="I966" s="36">
        <f t="shared" si="103"/>
        <v>1.0963438922948848E-2</v>
      </c>
    </row>
    <row r="967" spans="2:9" x14ac:dyDescent="0.35">
      <c r="B967" s="16">
        <f t="shared" si="104"/>
        <v>79.833333333333158</v>
      </c>
      <c r="C967" s="17">
        <f t="shared" si="100"/>
        <v>79.833333333333158</v>
      </c>
      <c r="D967" s="1" cm="1">
        <f t="array" ref="D967">_xlfn.XLOOKUP(_xlfn.FLOOR.MATH(C967),'Mortality Tables'!$B$4:$B$124,_xlfn.XLOOKUP(mortality_table,'Mortality Tables'!$B$3:$G$3,'Mortality Tables'!$B$4:$G$124,0,0),0,0)</f>
        <v>6.2867000000000006E-2</v>
      </c>
      <c r="E967" s="1">
        <f t="shared" si="101"/>
        <v>5.2389166666666669E-3</v>
      </c>
      <c r="F967" s="1">
        <f t="shared" si="105"/>
        <v>0.99476108333333335</v>
      </c>
      <c r="G967" s="1">
        <f t="shared" si="106"/>
        <v>0.53396425966245364</v>
      </c>
      <c r="H967" s="34">
        <f t="shared" si="102"/>
        <v>2.0341717761842647E-2</v>
      </c>
      <c r="I967" s="36">
        <f t="shared" si="103"/>
        <v>1.0861750264964892E-2</v>
      </c>
    </row>
    <row r="968" spans="2:9" x14ac:dyDescent="0.35">
      <c r="B968" s="16">
        <f t="shared" si="104"/>
        <v>79.916666666666487</v>
      </c>
      <c r="C968" s="17">
        <f t="shared" si="100"/>
        <v>79.916666666666487</v>
      </c>
      <c r="D968" s="1" cm="1">
        <f t="array" ref="D968">_xlfn.XLOOKUP(_xlfn.FLOOR.MATH(C968),'Mortality Tables'!$B$4:$B$124,_xlfn.XLOOKUP(mortality_table,'Mortality Tables'!$B$3:$G$3,'Mortality Tables'!$B$4:$G$124,0,0),0,0)</f>
        <v>6.2867000000000006E-2</v>
      </c>
      <c r="E968" s="1">
        <f t="shared" si="101"/>
        <v>5.2389166666666669E-3</v>
      </c>
      <c r="F968" s="1">
        <f t="shared" si="105"/>
        <v>0.99476108333333335</v>
      </c>
      <c r="G968" s="1">
        <f t="shared" si="106"/>
        <v>0.53116686540310365</v>
      </c>
      <c r="H968" s="34">
        <f t="shared" si="102"/>
        <v>2.0259179357385523E-2</v>
      </c>
      <c r="I968" s="36">
        <f t="shared" si="103"/>
        <v>1.0761004794901732E-2</v>
      </c>
    </row>
    <row r="969" spans="2:9" x14ac:dyDescent="0.35">
      <c r="B969" s="16">
        <f t="shared" si="104"/>
        <v>79.999999999999815</v>
      </c>
      <c r="C969" s="17">
        <f t="shared" ref="C969:C1032" si="107">current_age+B969</f>
        <v>79.999999999999815</v>
      </c>
      <c r="D969" s="1" cm="1">
        <f t="array" ref="D969">_xlfn.XLOOKUP(_xlfn.FLOOR.MATH(C969),'Mortality Tables'!$B$4:$B$124,_xlfn.XLOOKUP(mortality_table,'Mortality Tables'!$B$3:$G$3,'Mortality Tables'!$B$4:$G$124,0,0),0,0)</f>
        <v>6.2867000000000006E-2</v>
      </c>
      <c r="E969" s="1">
        <f t="shared" ref="E969:E1032" si="108">$F$5*D969</f>
        <v>5.2389166666666669E-3</v>
      </c>
      <c r="F969" s="1">
        <f t="shared" si="105"/>
        <v>0.99476108333333335</v>
      </c>
      <c r="G969" s="1">
        <f t="shared" si="106"/>
        <v>0.52838412645916222</v>
      </c>
      <c r="H969" s="34">
        <f t="shared" ref="H969:H1032" si="109">(1+interest_rate)^-(B969)</f>
        <v>2.0176975860151585E-2</v>
      </c>
      <c r="I969" s="36">
        <f t="shared" ref="I969:I1032" si="110">IF(current_age+B969&lt;=$C$5,G969*H969,0)</f>
        <v>1.0661193764453798E-2</v>
      </c>
    </row>
    <row r="970" spans="2:9" x14ac:dyDescent="0.35">
      <c r="B970" s="16">
        <f t="shared" ref="B970:B1033" si="111">B969+$F$5</f>
        <v>80.083333333333144</v>
      </c>
      <c r="C970" s="17">
        <f t="shared" si="107"/>
        <v>80.083333333333144</v>
      </c>
      <c r="D970" s="1" cm="1">
        <f t="array" ref="D970">_xlfn.XLOOKUP(_xlfn.FLOOR.MATH(C970),'Mortality Tables'!$B$4:$B$124,_xlfn.XLOOKUP(mortality_table,'Mortality Tables'!$B$3:$G$3,'Mortality Tables'!$B$4:$G$124,0,0),0,0)</f>
        <v>6.9303000000000003E-2</v>
      </c>
      <c r="E970" s="1">
        <f t="shared" si="108"/>
        <v>5.77525E-3</v>
      </c>
      <c r="F970" s="1">
        <f t="shared" si="105"/>
        <v>0.99422474999999999</v>
      </c>
      <c r="G970" s="1">
        <f t="shared" si="106"/>
        <v>0.52561596605265326</v>
      </c>
      <c r="H970" s="34">
        <f t="shared" si="109"/>
        <v>2.0095105911223741E-2</v>
      </c>
      <c r="I970" s="36">
        <f t="shared" si="110"/>
        <v>1.056230850645825E-2</v>
      </c>
    </row>
    <row r="971" spans="2:9" x14ac:dyDescent="0.35">
      <c r="B971" s="16">
        <f t="shared" si="111"/>
        <v>80.166666666666472</v>
      </c>
      <c r="C971" s="17">
        <f t="shared" si="107"/>
        <v>80.166666666666472</v>
      </c>
      <c r="D971" s="1" cm="1">
        <f t="array" ref="D971">_xlfn.XLOOKUP(_xlfn.FLOOR.MATH(C971),'Mortality Tables'!$B$4:$B$124,_xlfn.XLOOKUP(mortality_table,'Mortality Tables'!$B$3:$G$3,'Mortality Tables'!$B$4:$G$124,0,0),0,0)</f>
        <v>6.9303000000000003E-2</v>
      </c>
      <c r="E971" s="1">
        <f t="shared" si="108"/>
        <v>5.77525E-3</v>
      </c>
      <c r="F971" s="1">
        <f t="shared" si="105"/>
        <v>0.99422474999999999</v>
      </c>
      <c r="G971" s="1">
        <f t="shared" si="106"/>
        <v>0.52258040244470771</v>
      </c>
      <c r="H971" s="34">
        <f t="shared" si="109"/>
        <v>2.001356815719884E-2</v>
      </c>
      <c r="I971" s="36">
        <f t="shared" si="110"/>
        <v>1.0458698501943557E-2</v>
      </c>
    </row>
    <row r="972" spans="2:9" x14ac:dyDescent="0.35">
      <c r="B972" s="16">
        <f t="shared" si="111"/>
        <v>80.249999999999801</v>
      </c>
      <c r="C972" s="17">
        <f t="shared" si="107"/>
        <v>80.249999999999801</v>
      </c>
      <c r="D972" s="1" cm="1">
        <f t="array" ref="D972">_xlfn.XLOOKUP(_xlfn.FLOOR.MATH(C972),'Mortality Tables'!$B$4:$B$124,_xlfn.XLOOKUP(mortality_table,'Mortality Tables'!$B$3:$G$3,'Mortality Tables'!$B$4:$G$124,0,0),0,0)</f>
        <v>6.9303000000000003E-2</v>
      </c>
      <c r="E972" s="1">
        <f t="shared" si="108"/>
        <v>5.77525E-3</v>
      </c>
      <c r="F972" s="1">
        <f t="shared" si="105"/>
        <v>0.99422474999999999</v>
      </c>
      <c r="G972" s="1">
        <f t="shared" si="106"/>
        <v>0.51956236997548888</v>
      </c>
      <c r="H972" s="34">
        <f t="shared" si="109"/>
        <v>1.9932361250165273E-2</v>
      </c>
      <c r="I972" s="36">
        <f t="shared" si="110"/>
        <v>1.0356104850343467E-2</v>
      </c>
    </row>
    <row r="973" spans="2:9" x14ac:dyDescent="0.35">
      <c r="B973" s="16">
        <f t="shared" si="111"/>
        <v>80.33333333333313</v>
      </c>
      <c r="C973" s="17">
        <f t="shared" si="107"/>
        <v>80.33333333333313</v>
      </c>
      <c r="D973" s="1" cm="1">
        <f t="array" ref="D973">_xlfn.XLOOKUP(_xlfn.FLOOR.MATH(C973),'Mortality Tables'!$B$4:$B$124,_xlfn.XLOOKUP(mortality_table,'Mortality Tables'!$B$3:$G$3,'Mortality Tables'!$B$4:$G$124,0,0),0,0)</f>
        <v>6.9303000000000003E-2</v>
      </c>
      <c r="E973" s="1">
        <f t="shared" si="108"/>
        <v>5.77525E-3</v>
      </c>
      <c r="F973" s="1">
        <f t="shared" si="105"/>
        <v>0.99422474999999999</v>
      </c>
      <c r="G973" s="1">
        <f t="shared" si="106"/>
        <v>0.51656176739828796</v>
      </c>
      <c r="H973" s="34">
        <f t="shared" si="109"/>
        <v>1.9851483847680734E-2</v>
      </c>
      <c r="I973" s="36">
        <f t="shared" si="110"/>
        <v>1.0254517581836526E-2</v>
      </c>
    </row>
    <row r="974" spans="2:9" x14ac:dyDescent="0.35">
      <c r="B974" s="16">
        <f t="shared" si="111"/>
        <v>80.416666666666458</v>
      </c>
      <c r="C974" s="17">
        <f t="shared" si="107"/>
        <v>80.416666666666458</v>
      </c>
      <c r="D974" s="1" cm="1">
        <f t="array" ref="D974">_xlfn.XLOOKUP(_xlfn.FLOOR.MATH(C974),'Mortality Tables'!$B$4:$B$124,_xlfn.XLOOKUP(mortality_table,'Mortality Tables'!$B$3:$G$3,'Mortality Tables'!$B$4:$G$124,0,0),0,0)</f>
        <v>6.9303000000000003E-2</v>
      </c>
      <c r="E974" s="1">
        <f t="shared" si="108"/>
        <v>5.77525E-3</v>
      </c>
      <c r="F974" s="1">
        <f t="shared" si="105"/>
        <v>0.99422474999999999</v>
      </c>
      <c r="G974" s="1">
        <f t="shared" si="106"/>
        <v>0.51357849405112099</v>
      </c>
      <c r="H974" s="34">
        <f t="shared" si="109"/>
        <v>1.977093461274998E-2</v>
      </c>
      <c r="I974" s="36">
        <f t="shared" si="110"/>
        <v>1.0153926824399317E-2</v>
      </c>
    </row>
    <row r="975" spans="2:9" x14ac:dyDescent="0.35">
      <c r="B975" s="16">
        <f t="shared" si="111"/>
        <v>80.499999999999787</v>
      </c>
      <c r="C975" s="17">
        <f t="shared" si="107"/>
        <v>80.499999999999787</v>
      </c>
      <c r="D975" s="1" cm="1">
        <f t="array" ref="D975">_xlfn.XLOOKUP(_xlfn.FLOOR.MATH(C975),'Mortality Tables'!$B$4:$B$124,_xlfn.XLOOKUP(mortality_table,'Mortality Tables'!$B$3:$G$3,'Mortality Tables'!$B$4:$G$124,0,0),0,0)</f>
        <v>6.9303000000000003E-2</v>
      </c>
      <c r="E975" s="1">
        <f t="shared" si="108"/>
        <v>5.77525E-3</v>
      </c>
      <c r="F975" s="1">
        <f t="shared" si="105"/>
        <v>0.99422474999999999</v>
      </c>
      <c r="G975" s="1">
        <f t="shared" si="106"/>
        <v>0.5106124498533523</v>
      </c>
      <c r="H975" s="34">
        <f t="shared" si="109"/>
        <v>1.9690712213802759E-2</v>
      </c>
      <c r="I975" s="36">
        <f t="shared" si="110"/>
        <v>1.0054322802847153E-2</v>
      </c>
    </row>
    <row r="976" spans="2:9" x14ac:dyDescent="0.35">
      <c r="B976" s="16">
        <f t="shared" si="111"/>
        <v>80.583333333333115</v>
      </c>
      <c r="C976" s="17">
        <f t="shared" si="107"/>
        <v>80.583333333333115</v>
      </c>
      <c r="D976" s="1" cm="1">
        <f t="array" ref="D976">_xlfn.XLOOKUP(_xlfn.FLOOR.MATH(C976),'Mortality Tables'!$B$4:$B$124,_xlfn.XLOOKUP(mortality_table,'Mortality Tables'!$B$3:$G$3,'Mortality Tables'!$B$4:$G$124,0,0),0,0)</f>
        <v>6.9303000000000003E-2</v>
      </c>
      <c r="E976" s="1">
        <f t="shared" si="108"/>
        <v>5.77525E-3</v>
      </c>
      <c r="F976" s="1">
        <f t="shared" si="105"/>
        <v>0.99422474999999999</v>
      </c>
      <c r="G976" s="1">
        <f t="shared" si="106"/>
        <v>0.50766353530233677</v>
      </c>
      <c r="H976" s="34">
        <f t="shared" si="109"/>
        <v>1.9610815324671772E-2</v>
      </c>
      <c r="I976" s="36">
        <f t="shared" si="110"/>
        <v>9.955695837884115E-3</v>
      </c>
    </row>
    <row r="977" spans="2:9" x14ac:dyDescent="0.35">
      <c r="B977" s="16">
        <f t="shared" si="111"/>
        <v>80.666666666666444</v>
      </c>
      <c r="C977" s="17">
        <f t="shared" si="107"/>
        <v>80.666666666666444</v>
      </c>
      <c r="D977" s="1" cm="1">
        <f t="array" ref="D977">_xlfn.XLOOKUP(_xlfn.FLOOR.MATH(C977),'Mortality Tables'!$B$4:$B$124,_xlfn.XLOOKUP(mortality_table,'Mortality Tables'!$B$3:$G$3,'Mortality Tables'!$B$4:$G$124,0,0),0,0)</f>
        <v>6.9303000000000003E-2</v>
      </c>
      <c r="E977" s="1">
        <f t="shared" si="108"/>
        <v>5.77525E-3</v>
      </c>
      <c r="F977" s="1">
        <f t="shared" si="105"/>
        <v>0.99422474999999999</v>
      </c>
      <c r="G977" s="1">
        <f t="shared" si="106"/>
        <v>0.50473165147008192</v>
      </c>
      <c r="H977" s="34">
        <f t="shared" si="109"/>
        <v>1.9531242624570809E-2</v>
      </c>
      <c r="I977" s="36">
        <f t="shared" si="110"/>
        <v>9.8580363451624825E-3</v>
      </c>
    </row>
    <row r="978" spans="2:9" x14ac:dyDescent="0.35">
      <c r="B978" s="16">
        <f t="shared" si="111"/>
        <v>80.749999999999773</v>
      </c>
      <c r="C978" s="17">
        <f t="shared" si="107"/>
        <v>80.749999999999773</v>
      </c>
      <c r="D978" s="1" cm="1">
        <f t="array" ref="D978">_xlfn.XLOOKUP(_xlfn.FLOOR.MATH(C978),'Mortality Tables'!$B$4:$B$124,_xlfn.XLOOKUP(mortality_table,'Mortality Tables'!$B$3:$G$3,'Mortality Tables'!$B$4:$G$124,0,0),0,0)</f>
        <v>6.9303000000000003E-2</v>
      </c>
      <c r="E978" s="1">
        <f t="shared" si="108"/>
        <v>5.77525E-3</v>
      </c>
      <c r="F978" s="1">
        <f t="shared" si="105"/>
        <v>0.99422474999999999</v>
      </c>
      <c r="G978" s="1">
        <f t="shared" si="106"/>
        <v>0.50181669999992928</v>
      </c>
      <c r="H978" s="34">
        <f t="shared" si="109"/>
        <v>1.9451992798072831E-2</v>
      </c>
      <c r="I978" s="36">
        <f t="shared" si="110"/>
        <v>9.7613348343512998E-3</v>
      </c>
    </row>
    <row r="979" spans="2:9" x14ac:dyDescent="0.35">
      <c r="B979" s="16">
        <f t="shared" si="111"/>
        <v>80.833333333333101</v>
      </c>
      <c r="C979" s="17">
        <f t="shared" si="107"/>
        <v>80.833333333333101</v>
      </c>
      <c r="D979" s="1" cm="1">
        <f t="array" ref="D979">_xlfn.XLOOKUP(_xlfn.FLOOR.MATH(C979),'Mortality Tables'!$B$4:$B$124,_xlfn.XLOOKUP(mortality_table,'Mortality Tables'!$B$3:$G$3,'Mortality Tables'!$B$4:$G$124,0,0),0,0)</f>
        <v>6.9303000000000003E-2</v>
      </c>
      <c r="E979" s="1">
        <f t="shared" si="108"/>
        <v>5.77525E-3</v>
      </c>
      <c r="F979" s="1">
        <f t="shared" si="105"/>
        <v>0.99422474999999999</v>
      </c>
      <c r="G979" s="1">
        <f t="shared" si="106"/>
        <v>0.49891858310325471</v>
      </c>
      <c r="H979" s="34">
        <f t="shared" si="109"/>
        <v>1.9373064535088282E-2</v>
      </c>
      <c r="I979" s="36">
        <f t="shared" si="110"/>
        <v>9.6655819082141596E-3</v>
      </c>
    </row>
    <row r="980" spans="2:9" x14ac:dyDescent="0.35">
      <c r="B980" s="16">
        <f t="shared" si="111"/>
        <v>80.91666666666643</v>
      </c>
      <c r="C980" s="17">
        <f t="shared" si="107"/>
        <v>80.91666666666643</v>
      </c>
      <c r="D980" s="1" cm="1">
        <f t="array" ref="D980">_xlfn.XLOOKUP(_xlfn.FLOOR.MATH(C980),'Mortality Tables'!$B$4:$B$124,_xlfn.XLOOKUP(mortality_table,'Mortality Tables'!$B$3:$G$3,'Mortality Tables'!$B$4:$G$124,0,0),0,0)</f>
        <v>6.9303000000000003E-2</v>
      </c>
      <c r="E980" s="1">
        <f t="shared" si="108"/>
        <v>5.77525E-3</v>
      </c>
      <c r="F980" s="1">
        <f t="shared" si="105"/>
        <v>0.99422474999999999</v>
      </c>
      <c r="G980" s="1">
        <f t="shared" si="106"/>
        <v>0.49603720355618763</v>
      </c>
      <c r="H980" s="34">
        <f t="shared" si="109"/>
        <v>1.9294456530843409E-2</v>
      </c>
      <c r="I980" s="36">
        <f t="shared" si="110"/>
        <v>9.5707682616959864E-3</v>
      </c>
    </row>
    <row r="981" spans="2:9" x14ac:dyDescent="0.35">
      <c r="B981" s="16">
        <f t="shared" si="111"/>
        <v>80.999999999999758</v>
      </c>
      <c r="C981" s="17">
        <f t="shared" si="107"/>
        <v>80.999999999999758</v>
      </c>
      <c r="D981" s="1" cm="1">
        <f t="array" ref="D981">_xlfn.XLOOKUP(_xlfn.FLOOR.MATH(C981),'Mortality Tables'!$B$4:$B$124,_xlfn.XLOOKUP(mortality_table,'Mortality Tables'!$B$3:$G$3,'Mortality Tables'!$B$4:$G$124,0,0),0,0)</f>
        <v>6.9303000000000003E-2</v>
      </c>
      <c r="E981" s="1">
        <f t="shared" si="108"/>
        <v>5.77525E-3</v>
      </c>
      <c r="F981" s="1">
        <f t="shared" si="105"/>
        <v>0.99422474999999999</v>
      </c>
      <c r="G981" s="1">
        <f t="shared" si="106"/>
        <v>0.49317246469634973</v>
      </c>
      <c r="H981" s="34">
        <f t="shared" si="109"/>
        <v>1.921616748585871E-2</v>
      </c>
      <c r="I981" s="36">
        <f t="shared" si="110"/>
        <v>9.4768846810187983E-3</v>
      </c>
    </row>
    <row r="982" spans="2:9" x14ac:dyDescent="0.35">
      <c r="B982" s="16">
        <f t="shared" si="111"/>
        <v>81.083333333333087</v>
      </c>
      <c r="C982" s="17">
        <f t="shared" si="107"/>
        <v>81.083333333333087</v>
      </c>
      <c r="D982" s="1" cm="1">
        <f t="array" ref="D982">_xlfn.XLOOKUP(_xlfn.FLOOR.MATH(C982),'Mortality Tables'!$B$4:$B$124,_xlfn.XLOOKUP(mortality_table,'Mortality Tables'!$B$3:$G$3,'Mortality Tables'!$B$4:$G$124,0,0),0,0)</f>
        <v>7.6300000000000007E-2</v>
      </c>
      <c r="E982" s="1">
        <f t="shared" si="108"/>
        <v>6.3583333333333339E-3</v>
      </c>
      <c r="F982" s="1">
        <f t="shared" si="105"/>
        <v>0.99364166666666665</v>
      </c>
      <c r="G982" s="1">
        <f t="shared" si="106"/>
        <v>0.49032427041961213</v>
      </c>
      <c r="H982" s="34">
        <f t="shared" si="109"/>
        <v>1.913819610592743E-2</v>
      </c>
      <c r="I982" s="36">
        <f t="shared" si="110"/>
        <v>9.3839220427863294E-3</v>
      </c>
    </row>
    <row r="983" spans="2:9" x14ac:dyDescent="0.35">
      <c r="B983" s="16">
        <f t="shared" si="111"/>
        <v>81.166666666666416</v>
      </c>
      <c r="C983" s="17">
        <f t="shared" si="107"/>
        <v>81.166666666666416</v>
      </c>
      <c r="D983" s="1" cm="1">
        <f t="array" ref="D983">_xlfn.XLOOKUP(_xlfn.FLOOR.MATH(C983),'Mortality Tables'!$B$4:$B$124,_xlfn.XLOOKUP(mortality_table,'Mortality Tables'!$B$3:$G$3,'Mortality Tables'!$B$4:$G$124,0,0),0,0)</f>
        <v>7.6300000000000007E-2</v>
      </c>
      <c r="E983" s="1">
        <f t="shared" si="108"/>
        <v>6.3583333333333339E-3</v>
      </c>
      <c r="F983" s="1">
        <f t="shared" si="105"/>
        <v>0.99364166666666665</v>
      </c>
      <c r="G983" s="1">
        <f t="shared" si="106"/>
        <v>0.48720662526686076</v>
      </c>
      <c r="H983" s="34">
        <f t="shared" si="109"/>
        <v>1.9060541102094188E-2</v>
      </c>
      <c r="I983" s="36">
        <f t="shared" si="110"/>
        <v>9.2864219061116002E-3</v>
      </c>
    </row>
    <row r="984" spans="2:9" x14ac:dyDescent="0.35">
      <c r="B984" s="16">
        <f t="shared" si="111"/>
        <v>81.249999999999744</v>
      </c>
      <c r="C984" s="17">
        <f t="shared" si="107"/>
        <v>81.249999999999744</v>
      </c>
      <c r="D984" s="1" cm="1">
        <f t="array" ref="D984">_xlfn.XLOOKUP(_xlfn.FLOOR.MATH(C984),'Mortality Tables'!$B$4:$B$124,_xlfn.XLOOKUP(mortality_table,'Mortality Tables'!$B$3:$G$3,'Mortality Tables'!$B$4:$G$124,0,0),0,0)</f>
        <v>7.6300000000000007E-2</v>
      </c>
      <c r="E984" s="1">
        <f t="shared" si="108"/>
        <v>6.3583333333333339E-3</v>
      </c>
      <c r="F984" s="1">
        <f t="shared" si="105"/>
        <v>0.99364166666666665</v>
      </c>
      <c r="G984" s="1">
        <f t="shared" si="106"/>
        <v>0.48410880314120563</v>
      </c>
      <c r="H984" s="34">
        <f t="shared" si="109"/>
        <v>1.8983201190633646E-2</v>
      </c>
      <c r="I984" s="36">
        <f t="shared" si="110"/>
        <v>9.1899348081863636E-3</v>
      </c>
    </row>
    <row r="985" spans="2:9" x14ac:dyDescent="0.35">
      <c r="B985" s="16">
        <f t="shared" si="111"/>
        <v>81.333333333333073</v>
      </c>
      <c r="C985" s="17">
        <f t="shared" si="107"/>
        <v>81.333333333333073</v>
      </c>
      <c r="D985" s="1" cm="1">
        <f t="array" ref="D985">_xlfn.XLOOKUP(_xlfn.FLOOR.MATH(C985),'Mortality Tables'!$B$4:$B$124,_xlfn.XLOOKUP(mortality_table,'Mortality Tables'!$B$3:$G$3,'Mortality Tables'!$B$4:$G$124,0,0),0,0)</f>
        <v>7.6300000000000007E-2</v>
      </c>
      <c r="E985" s="1">
        <f t="shared" si="108"/>
        <v>6.3583333333333339E-3</v>
      </c>
      <c r="F985" s="1">
        <f t="shared" si="105"/>
        <v>0.99364166666666665</v>
      </c>
      <c r="G985" s="1">
        <f t="shared" si="106"/>
        <v>0.48103067800123278</v>
      </c>
      <c r="H985" s="34">
        <f t="shared" si="109"/>
        <v>1.8906175093029318E-2</v>
      </c>
      <c r="I985" s="36">
        <f t="shared" si="110"/>
        <v>9.0944502234099125E-3</v>
      </c>
    </row>
    <row r="986" spans="2:9" x14ac:dyDescent="0.35">
      <c r="B986" s="16">
        <f t="shared" si="111"/>
        <v>81.416666666666401</v>
      </c>
      <c r="C986" s="17">
        <f t="shared" si="107"/>
        <v>81.416666666666401</v>
      </c>
      <c r="D986" s="1" cm="1">
        <f t="array" ref="D986">_xlfn.XLOOKUP(_xlfn.FLOOR.MATH(C986),'Mortality Tables'!$B$4:$B$124,_xlfn.XLOOKUP(mortality_table,'Mortality Tables'!$B$3:$G$3,'Mortality Tables'!$B$4:$G$124,0,0),0,0)</f>
        <v>7.6300000000000007E-2</v>
      </c>
      <c r="E986" s="1">
        <f t="shared" si="108"/>
        <v>6.3583333333333339E-3</v>
      </c>
      <c r="F986" s="1">
        <f t="shared" si="105"/>
        <v>0.99364166666666665</v>
      </c>
      <c r="G986" s="1">
        <f t="shared" si="106"/>
        <v>0.47797212460694161</v>
      </c>
      <c r="H986" s="34">
        <f t="shared" si="109"/>
        <v>1.882946153595241E-2</v>
      </c>
      <c r="I986" s="36">
        <f t="shared" si="110"/>
        <v>8.9999577355438596E-3</v>
      </c>
    </row>
    <row r="987" spans="2:9" x14ac:dyDescent="0.35">
      <c r="B987" s="16">
        <f t="shared" si="111"/>
        <v>81.49999999999973</v>
      </c>
      <c r="C987" s="17">
        <f t="shared" si="107"/>
        <v>81.49999999999973</v>
      </c>
      <c r="D987" s="1" cm="1">
        <f t="array" ref="D987">_xlfn.XLOOKUP(_xlfn.FLOOR.MATH(C987),'Mortality Tables'!$B$4:$B$124,_xlfn.XLOOKUP(mortality_table,'Mortality Tables'!$B$3:$G$3,'Mortality Tables'!$B$4:$G$124,0,0),0,0)</f>
        <v>7.6300000000000007E-2</v>
      </c>
      <c r="E987" s="1">
        <f t="shared" si="108"/>
        <v>6.3583333333333339E-3</v>
      </c>
      <c r="F987" s="1">
        <f t="shared" ref="F987:F1050" si="112">1-E987</f>
        <v>0.99364166666666665</v>
      </c>
      <c r="G987" s="1">
        <f t="shared" ref="G987:G1050" si="113">G986*F986</f>
        <v>0.47493301851464914</v>
      </c>
      <c r="H987" s="34">
        <f t="shared" si="109"/>
        <v>1.875305925124077E-2</v>
      </c>
      <c r="I987" s="36">
        <f t="shared" si="110"/>
        <v>8.9064470365758444E-3</v>
      </c>
    </row>
    <row r="988" spans="2:9" x14ac:dyDescent="0.35">
      <c r="B988" s="16">
        <f t="shared" si="111"/>
        <v>81.583333333333059</v>
      </c>
      <c r="C988" s="17">
        <f t="shared" si="107"/>
        <v>81.583333333333059</v>
      </c>
      <c r="D988" s="1" cm="1">
        <f t="array" ref="D988">_xlfn.XLOOKUP(_xlfn.FLOOR.MATH(C988),'Mortality Tables'!$B$4:$B$124,_xlfn.XLOOKUP(mortality_table,'Mortality Tables'!$B$3:$G$3,'Mortality Tables'!$B$4:$G$124,0,0),0,0)</f>
        <v>7.6300000000000007E-2</v>
      </c>
      <c r="E988" s="1">
        <f t="shared" si="108"/>
        <v>6.3583333333333339E-3</v>
      </c>
      <c r="F988" s="1">
        <f t="shared" si="112"/>
        <v>0.99364166666666665</v>
      </c>
      <c r="G988" s="1">
        <f t="shared" si="113"/>
        <v>0.47191323607192681</v>
      </c>
      <c r="H988" s="34">
        <f t="shared" si="109"/>
        <v>1.8676966975877937E-2</v>
      </c>
      <c r="I988" s="36">
        <f t="shared" si="110"/>
        <v>8.8139079255950652E-3</v>
      </c>
    </row>
    <row r="989" spans="2:9" x14ac:dyDescent="0.35">
      <c r="B989" s="16">
        <f t="shared" si="111"/>
        <v>81.666666666666387</v>
      </c>
      <c r="C989" s="17">
        <f t="shared" si="107"/>
        <v>81.666666666666387</v>
      </c>
      <c r="D989" s="1" cm="1">
        <f t="array" ref="D989">_xlfn.XLOOKUP(_xlfn.FLOOR.MATH(C989),'Mortality Tables'!$B$4:$B$124,_xlfn.XLOOKUP(mortality_table,'Mortality Tables'!$B$3:$G$3,'Mortality Tables'!$B$4:$G$124,0,0),0,0)</f>
        <v>7.6300000000000007E-2</v>
      </c>
      <c r="E989" s="1">
        <f t="shared" si="108"/>
        <v>6.3583333333333339E-3</v>
      </c>
      <c r="F989" s="1">
        <f t="shared" si="112"/>
        <v>0.99364166666666665</v>
      </c>
      <c r="G989" s="1">
        <f t="shared" si="113"/>
        <v>0.46891265441256946</v>
      </c>
      <c r="H989" s="34">
        <f t="shared" si="109"/>
        <v>1.8601183451972255E-2</v>
      </c>
      <c r="I989" s="36">
        <f t="shared" si="110"/>
        <v>8.7223303076794725E-3</v>
      </c>
    </row>
    <row r="990" spans="2:9" x14ac:dyDescent="0.35">
      <c r="B990" s="16">
        <f t="shared" si="111"/>
        <v>81.749999999999716</v>
      </c>
      <c r="C990" s="17">
        <f t="shared" si="107"/>
        <v>81.749999999999716</v>
      </c>
      <c r="D990" s="1" cm="1">
        <f t="array" ref="D990">_xlfn.XLOOKUP(_xlfn.FLOOR.MATH(C990),'Mortality Tables'!$B$4:$B$124,_xlfn.XLOOKUP(mortality_table,'Mortality Tables'!$B$3:$G$3,'Mortality Tables'!$B$4:$G$124,0,0),0,0)</f>
        <v>7.6300000000000007E-2</v>
      </c>
      <c r="E990" s="1">
        <f t="shared" si="108"/>
        <v>6.3583333333333339E-3</v>
      </c>
      <c r="F990" s="1">
        <f t="shared" si="112"/>
        <v>0.99364166666666665</v>
      </c>
      <c r="G990" s="1">
        <f t="shared" si="113"/>
        <v>0.46593115145159619</v>
      </c>
      <c r="H990" s="34">
        <f t="shared" si="109"/>
        <v>1.8525707426736086E-2</v>
      </c>
      <c r="I990" s="36">
        <f t="shared" si="110"/>
        <v>8.6317041927945325E-3</v>
      </c>
    </row>
    <row r="991" spans="2:9" x14ac:dyDescent="0.35">
      <c r="B991" s="16">
        <f t="shared" si="111"/>
        <v>81.833333333333044</v>
      </c>
      <c r="C991" s="17">
        <f t="shared" si="107"/>
        <v>81.833333333333044</v>
      </c>
      <c r="D991" s="1" cm="1">
        <f t="array" ref="D991">_xlfn.XLOOKUP(_xlfn.FLOOR.MATH(C991),'Mortality Tables'!$B$4:$B$124,_xlfn.XLOOKUP(mortality_table,'Mortality Tables'!$B$3:$G$3,'Mortality Tables'!$B$4:$G$124,0,0),0,0)</f>
        <v>7.6300000000000007E-2</v>
      </c>
      <c r="E991" s="1">
        <f t="shared" si="108"/>
        <v>6.3583333333333339E-3</v>
      </c>
      <c r="F991" s="1">
        <f t="shared" si="112"/>
        <v>0.99364166666666665</v>
      </c>
      <c r="G991" s="1">
        <f t="shared" si="113"/>
        <v>0.4629686058802831</v>
      </c>
      <c r="H991" s="34">
        <f t="shared" si="109"/>
        <v>1.8450537652465085E-2</v>
      </c>
      <c r="I991" s="36">
        <f t="shared" si="110"/>
        <v>8.5420196947034316E-3</v>
      </c>
    </row>
    <row r="992" spans="2:9" x14ac:dyDescent="0.35">
      <c r="B992" s="16">
        <f t="shared" si="111"/>
        <v>81.916666666666373</v>
      </c>
      <c r="C992" s="17">
        <f t="shared" si="107"/>
        <v>81.916666666666373</v>
      </c>
      <c r="D992" s="1" cm="1">
        <f t="array" ref="D992">_xlfn.XLOOKUP(_xlfn.FLOOR.MATH(C992),'Mortality Tables'!$B$4:$B$124,_xlfn.XLOOKUP(mortality_table,'Mortality Tables'!$B$3:$G$3,'Mortality Tables'!$B$4:$G$124,0,0),0,0)</f>
        <v>7.6300000000000007E-2</v>
      </c>
      <c r="E992" s="1">
        <f t="shared" si="108"/>
        <v>6.3583333333333339E-3</v>
      </c>
      <c r="F992" s="1">
        <f t="shared" si="112"/>
        <v>0.99364166666666665</v>
      </c>
      <c r="G992" s="1">
        <f t="shared" si="113"/>
        <v>0.46002489716122763</v>
      </c>
      <c r="H992" s="34">
        <f t="shared" si="109"/>
        <v>1.8375672886517577E-2</v>
      </c>
      <c r="I992" s="36">
        <f t="shared" si="110"/>
        <v>8.4532670298886076E-3</v>
      </c>
    </row>
    <row r="993" spans="2:9" x14ac:dyDescent="0.35">
      <c r="B993" s="16">
        <f t="shared" si="111"/>
        <v>81.999999999999702</v>
      </c>
      <c r="C993" s="17">
        <f t="shared" si="107"/>
        <v>81.999999999999702</v>
      </c>
      <c r="D993" s="1" cm="1">
        <f t="array" ref="D993">_xlfn.XLOOKUP(_xlfn.FLOOR.MATH(C993),'Mortality Tables'!$B$4:$B$124,_xlfn.XLOOKUP(mortality_table,'Mortality Tables'!$B$3:$G$3,'Mortality Tables'!$B$4:$G$124,0,0),0,0)</f>
        <v>7.6300000000000007E-2</v>
      </c>
      <c r="E993" s="1">
        <f t="shared" si="108"/>
        <v>6.3583333333333339E-3</v>
      </c>
      <c r="F993" s="1">
        <f t="shared" si="112"/>
        <v>0.99364166666666665</v>
      </c>
      <c r="G993" s="1">
        <f t="shared" si="113"/>
        <v>0.45709990552344415</v>
      </c>
      <c r="H993" s="34">
        <f t="shared" si="109"/>
        <v>1.8301111891294061E-2</v>
      </c>
      <c r="I993" s="36">
        <f t="shared" si="110"/>
        <v>8.3654365164844962E-3</v>
      </c>
    </row>
    <row r="994" spans="2:9" x14ac:dyDescent="0.35">
      <c r="B994" s="16">
        <f t="shared" si="111"/>
        <v>82.08333333333303</v>
      </c>
      <c r="C994" s="17">
        <f t="shared" si="107"/>
        <v>82.08333333333303</v>
      </c>
      <c r="D994" s="1" cm="1">
        <f t="array" ref="D994">_xlfn.XLOOKUP(_xlfn.FLOOR.MATH(C994),'Mortality Tables'!$B$4:$B$124,_xlfn.XLOOKUP(mortality_table,'Mortality Tables'!$B$3:$G$3,'Mortality Tables'!$B$4:$G$124,0,0),0,0)</f>
        <v>8.3892999999999995E-2</v>
      </c>
      <c r="E994" s="1">
        <f t="shared" si="108"/>
        <v>6.9910833333333327E-3</v>
      </c>
      <c r="F994" s="1">
        <f t="shared" si="112"/>
        <v>0.99300891666666669</v>
      </c>
      <c r="G994" s="1">
        <f t="shared" si="113"/>
        <v>0.45419351195749091</v>
      </c>
      <c r="H994" s="34">
        <f t="shared" si="109"/>
        <v>1.8226853434216653E-2</v>
      </c>
      <c r="I994" s="36">
        <f t="shared" si="110"/>
        <v>8.2785185732213162E-3</v>
      </c>
    </row>
    <row r="995" spans="2:9" x14ac:dyDescent="0.35">
      <c r="B995" s="16">
        <f t="shared" si="111"/>
        <v>82.166666666666359</v>
      </c>
      <c r="C995" s="17">
        <f t="shared" si="107"/>
        <v>82.166666666666359</v>
      </c>
      <c r="D995" s="1" cm="1">
        <f t="array" ref="D995">_xlfn.XLOOKUP(_xlfn.FLOOR.MATH(C995),'Mortality Tables'!$B$4:$B$124,_xlfn.XLOOKUP(mortality_table,'Mortality Tables'!$B$3:$G$3,'Mortality Tables'!$B$4:$G$124,0,0),0,0)</f>
        <v>8.3892999999999995E-2</v>
      </c>
      <c r="E995" s="1">
        <f t="shared" si="108"/>
        <v>6.9910833333333327E-3</v>
      </c>
      <c r="F995" s="1">
        <f t="shared" si="112"/>
        <v>0.99300891666666669</v>
      </c>
      <c r="G995" s="1">
        <f t="shared" si="113"/>
        <v>0.45101820726593678</v>
      </c>
      <c r="H995" s="34">
        <f t="shared" si="109"/>
        <v>1.8152896287708803E-2</v>
      </c>
      <c r="I995" s="36">
        <f t="shared" si="110"/>
        <v>8.1872867403669034E-3</v>
      </c>
    </row>
    <row r="996" spans="2:9" x14ac:dyDescent="0.35">
      <c r="B996" s="16">
        <f t="shared" si="111"/>
        <v>82.249999999999687</v>
      </c>
      <c r="C996" s="17">
        <f t="shared" si="107"/>
        <v>82.249999999999687</v>
      </c>
      <c r="D996" s="1" cm="1">
        <f t="array" ref="D996">_xlfn.XLOOKUP(_xlfn.FLOOR.MATH(C996),'Mortality Tables'!$B$4:$B$124,_xlfn.XLOOKUP(mortality_table,'Mortality Tables'!$B$3:$G$3,'Mortality Tables'!$B$4:$G$124,0,0),0,0)</f>
        <v>8.3892999999999995E-2</v>
      </c>
      <c r="E996" s="1">
        <f t="shared" si="108"/>
        <v>6.9910833333333327E-3</v>
      </c>
      <c r="F996" s="1">
        <f t="shared" si="112"/>
        <v>0.99300891666666669</v>
      </c>
      <c r="G996" s="1">
        <f t="shared" si="113"/>
        <v>0.44786510139409003</v>
      </c>
      <c r="H996" s="34">
        <f t="shared" si="109"/>
        <v>1.8079239229174943E-2</v>
      </c>
      <c r="I996" s="36">
        <f t="shared" si="110"/>
        <v>8.0970603105024463E-3</v>
      </c>
    </row>
    <row r="997" spans="2:9" x14ac:dyDescent="0.35">
      <c r="B997" s="16">
        <f t="shared" si="111"/>
        <v>82.333333333333016</v>
      </c>
      <c r="C997" s="17">
        <f t="shared" si="107"/>
        <v>82.333333333333016</v>
      </c>
      <c r="D997" s="1" cm="1">
        <f t="array" ref="D997">_xlfn.XLOOKUP(_xlfn.FLOOR.MATH(C997),'Mortality Tables'!$B$4:$B$124,_xlfn.XLOOKUP(mortality_table,'Mortality Tables'!$B$3:$G$3,'Mortality Tables'!$B$4:$G$124,0,0),0,0)</f>
        <v>8.3892999999999995E-2</v>
      </c>
      <c r="E997" s="1">
        <f t="shared" si="108"/>
        <v>6.9910833333333327E-3</v>
      </c>
      <c r="F997" s="1">
        <f t="shared" si="112"/>
        <v>0.99300891666666669</v>
      </c>
      <c r="G997" s="1">
        <f t="shared" si="113"/>
        <v>0.44473403914815218</v>
      </c>
      <c r="H997" s="34">
        <f t="shared" si="109"/>
        <v>1.8005881040980349E-2</v>
      </c>
      <c r="I997" s="36">
        <f t="shared" si="110"/>
        <v>8.0078282037763255E-3</v>
      </c>
    </row>
    <row r="998" spans="2:9" x14ac:dyDescent="0.35">
      <c r="B998" s="16">
        <f t="shared" si="111"/>
        <v>82.416666666666345</v>
      </c>
      <c r="C998" s="17">
        <f t="shared" si="107"/>
        <v>82.416666666666345</v>
      </c>
      <c r="D998" s="1" cm="1">
        <f t="array" ref="D998">_xlfn.XLOOKUP(_xlfn.FLOOR.MATH(C998),'Mortality Tables'!$B$4:$B$124,_xlfn.XLOOKUP(mortality_table,'Mortality Tables'!$B$3:$G$3,'Mortality Tables'!$B$4:$G$124,0,0),0,0)</f>
        <v>8.3892999999999995E-2</v>
      </c>
      <c r="E998" s="1">
        <f t="shared" si="108"/>
        <v>6.9910833333333327E-3</v>
      </c>
      <c r="F998" s="1">
        <f t="shared" si="112"/>
        <v>0.99300891666666669</v>
      </c>
      <c r="G998" s="1">
        <f t="shared" si="113"/>
        <v>0.44162486641929755</v>
      </c>
      <c r="H998" s="34">
        <f t="shared" si="109"/>
        <v>1.7932820510430911E-2</v>
      </c>
      <c r="I998" s="36">
        <f t="shared" si="110"/>
        <v>7.9195794624402904E-3</v>
      </c>
    </row>
    <row r="999" spans="2:9" x14ac:dyDescent="0.35">
      <c r="B999" s="16">
        <f t="shared" si="111"/>
        <v>82.499999999999673</v>
      </c>
      <c r="C999" s="17">
        <f t="shared" si="107"/>
        <v>82.499999999999673</v>
      </c>
      <c r="D999" s="1" cm="1">
        <f t="array" ref="D999">_xlfn.XLOOKUP(_xlfn.FLOOR.MATH(C999),'Mortality Tables'!$B$4:$B$124,_xlfn.XLOOKUP(mortality_table,'Mortality Tables'!$B$3:$G$3,'Mortality Tables'!$B$4:$G$124,0,0),0,0)</f>
        <v>8.3892999999999995E-2</v>
      </c>
      <c r="E999" s="1">
        <f t="shared" si="108"/>
        <v>6.9910833333333327E-3</v>
      </c>
      <c r="F999" s="1">
        <f t="shared" si="112"/>
        <v>0.99300891666666669</v>
      </c>
      <c r="G999" s="1">
        <f t="shared" si="113"/>
        <v>0.43853743017608804</v>
      </c>
      <c r="H999" s="34">
        <f t="shared" si="109"/>
        <v>1.7860056429753159E-2</v>
      </c>
      <c r="I999" s="36">
        <f t="shared" si="110"/>
        <v>7.8323032495038677E-3</v>
      </c>
    </row>
    <row r="1000" spans="2:9" x14ac:dyDescent="0.35">
      <c r="B1000" s="16">
        <f t="shared" si="111"/>
        <v>82.583333333333002</v>
      </c>
      <c r="C1000" s="17">
        <f t="shared" si="107"/>
        <v>82.583333333333002</v>
      </c>
      <c r="D1000" s="1" cm="1">
        <f t="array" ref="D1000">_xlfn.XLOOKUP(_xlfn.FLOOR.MATH(C1000),'Mortality Tables'!$B$4:$B$124,_xlfn.XLOOKUP(mortality_table,'Mortality Tables'!$B$3:$G$3,'Mortality Tables'!$B$4:$G$124,0,0),0,0)</f>
        <v>8.3892999999999995E-2</v>
      </c>
      <c r="E1000" s="1">
        <f t="shared" si="108"/>
        <v>6.9910833333333327E-3</v>
      </c>
      <c r="F1000" s="1">
        <f t="shared" si="112"/>
        <v>0.99300891666666669</v>
      </c>
      <c r="G1000" s="1">
        <f t="shared" si="113"/>
        <v>0.43547157845694118</v>
      </c>
      <c r="H1000" s="34">
        <f t="shared" si="109"/>
        <v>1.778758759607427E-2</v>
      </c>
      <c r="I1000" s="36">
        <f t="shared" si="110"/>
        <v>7.7459888474035706E-3</v>
      </c>
    </row>
    <row r="1001" spans="2:9" x14ac:dyDescent="0.35">
      <c r="B1001" s="16">
        <f t="shared" si="111"/>
        <v>82.66666666666633</v>
      </c>
      <c r="C1001" s="17">
        <f t="shared" si="107"/>
        <v>82.66666666666633</v>
      </c>
      <c r="D1001" s="1" cm="1">
        <f t="array" ref="D1001">_xlfn.XLOOKUP(_xlfn.FLOOR.MATH(C1001),'Mortality Tables'!$B$4:$B$124,_xlfn.XLOOKUP(mortality_table,'Mortality Tables'!$B$3:$G$3,'Mortality Tables'!$B$4:$G$124,0,0),0,0)</f>
        <v>8.3892999999999995E-2</v>
      </c>
      <c r="E1001" s="1">
        <f t="shared" si="108"/>
        <v>6.9910833333333327E-3</v>
      </c>
      <c r="F1001" s="1">
        <f t="shared" si="112"/>
        <v>0.99300891666666669</v>
      </c>
      <c r="G1001" s="1">
        <f t="shared" si="113"/>
        <v>0.4324271603626505</v>
      </c>
      <c r="H1001" s="34">
        <f t="shared" si="109"/>
        <v>1.7715412811402192E-2</v>
      </c>
      <c r="I1001" s="36">
        <f t="shared" si="110"/>
        <v>7.6606256566867691E-3</v>
      </c>
    </row>
    <row r="1002" spans="2:9" x14ac:dyDescent="0.35">
      <c r="B1002" s="16">
        <f t="shared" si="111"/>
        <v>82.749999999999659</v>
      </c>
      <c r="C1002" s="17">
        <f t="shared" si="107"/>
        <v>82.749999999999659</v>
      </c>
      <c r="D1002" s="1" cm="1">
        <f t="array" ref="D1002">_xlfn.XLOOKUP(_xlfn.FLOOR.MATH(C1002),'Mortality Tables'!$B$4:$B$124,_xlfn.XLOOKUP(mortality_table,'Mortality Tables'!$B$3:$G$3,'Mortality Tables'!$B$4:$G$124,0,0),0,0)</f>
        <v>8.3892999999999995E-2</v>
      </c>
      <c r="E1002" s="1">
        <f t="shared" si="108"/>
        <v>6.9910833333333327E-3</v>
      </c>
      <c r="F1002" s="1">
        <f t="shared" si="112"/>
        <v>0.99300891666666669</v>
      </c>
      <c r="G1002" s="1">
        <f t="shared" si="113"/>
        <v>0.4294040260489585</v>
      </c>
      <c r="H1002" s="34">
        <f t="shared" si="109"/>
        <v>1.764353088260584E-2</v>
      </c>
      <c r="I1002" s="36">
        <f t="shared" si="110"/>
        <v>7.5762031947100815E-3</v>
      </c>
    </row>
    <row r="1003" spans="2:9" x14ac:dyDescent="0.35">
      <c r="B1003" s="16">
        <f t="shared" si="111"/>
        <v>82.833333333332988</v>
      </c>
      <c r="C1003" s="17">
        <f t="shared" si="107"/>
        <v>82.833333333332988</v>
      </c>
      <c r="D1003" s="1" cm="1">
        <f t="array" ref="D1003">_xlfn.XLOOKUP(_xlfn.FLOOR.MATH(C1003),'Mortality Tables'!$B$4:$B$124,_xlfn.XLOOKUP(mortality_table,'Mortality Tables'!$B$3:$G$3,'Mortality Tables'!$B$4:$G$124,0,0),0,0)</f>
        <v>8.3892999999999995E-2</v>
      </c>
      <c r="E1003" s="1">
        <f t="shared" si="108"/>
        <v>6.9910833333333327E-3</v>
      </c>
      <c r="F1003" s="1">
        <f t="shared" si="112"/>
        <v>0.99300891666666669</v>
      </c>
      <c r="G1003" s="1">
        <f t="shared" si="113"/>
        <v>0.42640202671918143</v>
      </c>
      <c r="H1003" s="34">
        <f t="shared" si="109"/>
        <v>1.7571940621395363E-2</v>
      </c>
      <c r="I1003" s="36">
        <f t="shared" si="110"/>
        <v>7.4927110943520956E-3</v>
      </c>
    </row>
    <row r="1004" spans="2:9" x14ac:dyDescent="0.35">
      <c r="B1004" s="16">
        <f t="shared" si="111"/>
        <v>82.916666666666316</v>
      </c>
      <c r="C1004" s="17">
        <f t="shared" si="107"/>
        <v>82.916666666666316</v>
      </c>
      <c r="D1004" s="1" cm="1">
        <f t="array" ref="D1004">_xlfn.XLOOKUP(_xlfn.FLOOR.MATH(C1004),'Mortality Tables'!$B$4:$B$124,_xlfn.XLOOKUP(mortality_table,'Mortality Tables'!$B$3:$G$3,'Mortality Tables'!$B$4:$G$124,0,0),0,0)</f>
        <v>8.3892999999999995E-2</v>
      </c>
      <c r="E1004" s="1">
        <f t="shared" si="108"/>
        <v>6.9910833333333327E-3</v>
      </c>
      <c r="F1004" s="1">
        <f t="shared" si="112"/>
        <v>0.99300891666666669</v>
      </c>
      <c r="G1004" s="1">
        <f t="shared" si="113"/>
        <v>0.42342101461688542</v>
      </c>
      <c r="H1004" s="34">
        <f t="shared" si="109"/>
        <v>1.7500640844302508E-2</v>
      </c>
      <c r="I1004" s="36">
        <f t="shared" si="110"/>
        <v>7.4101391027402742E-3</v>
      </c>
    </row>
    <row r="1005" spans="2:9" x14ac:dyDescent="0.35">
      <c r="B1005" s="16">
        <f t="shared" si="111"/>
        <v>82.999999999999645</v>
      </c>
      <c r="C1005" s="17">
        <f t="shared" si="107"/>
        <v>82.999999999999645</v>
      </c>
      <c r="D1005" s="1" cm="1">
        <f t="array" ref="D1005">_xlfn.XLOOKUP(_xlfn.FLOOR.MATH(C1005),'Mortality Tables'!$B$4:$B$124,_xlfn.XLOOKUP(mortality_table,'Mortality Tables'!$B$3:$G$3,'Mortality Tables'!$B$4:$G$124,0,0),0,0)</f>
        <v>8.3892999999999995E-2</v>
      </c>
      <c r="E1005" s="1">
        <f t="shared" si="108"/>
        <v>6.9910833333333327E-3</v>
      </c>
      <c r="F1005" s="1">
        <f t="shared" si="112"/>
        <v>0.99300891666666669</v>
      </c>
      <c r="G1005" s="1">
        <f t="shared" si="113"/>
        <v>0.42046084301861425</v>
      </c>
      <c r="H1005" s="34">
        <f t="shared" si="109"/>
        <v>1.7429630372661056E-2</v>
      </c>
      <c r="I1005" s="36">
        <f t="shared" si="110"/>
        <v>7.3284770799919114E-3</v>
      </c>
    </row>
    <row r="1006" spans="2:9" x14ac:dyDescent="0.35">
      <c r="B1006" s="16">
        <f t="shared" si="111"/>
        <v>83.083333333332973</v>
      </c>
      <c r="C1006" s="17">
        <f t="shared" si="107"/>
        <v>83.083333333332973</v>
      </c>
      <c r="D1006" s="1" cm="1">
        <f t="array" ref="D1006">_xlfn.XLOOKUP(_xlfn.FLOOR.MATH(C1006),'Mortality Tables'!$B$4:$B$124,_xlfn.XLOOKUP(mortality_table,'Mortality Tables'!$B$3:$G$3,'Mortality Tables'!$B$4:$G$124,0,0),0,0)</f>
        <v>9.2117000000000004E-2</v>
      </c>
      <c r="E1006" s="1">
        <f t="shared" si="108"/>
        <v>7.6764166666666665E-3</v>
      </c>
      <c r="F1006" s="1">
        <f t="shared" si="112"/>
        <v>0.99232358333333337</v>
      </c>
      <c r="G1006" s="1">
        <f t="shared" si="113"/>
        <v>0.41752136622666752</v>
      </c>
      <c r="H1006" s="34">
        <f t="shared" si="109"/>
        <v>1.7358908032587335E-2</v>
      </c>
      <c r="I1006" s="36">
        <f t="shared" si="110"/>
        <v>7.2477149979689372E-3</v>
      </c>
    </row>
    <row r="1007" spans="2:9" x14ac:dyDescent="0.35">
      <c r="B1007" s="16">
        <f t="shared" si="111"/>
        <v>83.166666666666302</v>
      </c>
      <c r="C1007" s="17">
        <f t="shared" si="107"/>
        <v>83.166666666666302</v>
      </c>
      <c r="D1007" s="1" cm="1">
        <f t="array" ref="D1007">_xlfn.XLOOKUP(_xlfn.FLOOR.MATH(C1007),'Mortality Tables'!$B$4:$B$124,_xlfn.XLOOKUP(mortality_table,'Mortality Tables'!$B$3:$G$3,'Mortality Tables'!$B$4:$G$124,0,0),0,0)</f>
        <v>9.2117000000000004E-2</v>
      </c>
      <c r="E1007" s="1">
        <f t="shared" si="108"/>
        <v>7.6764166666666665E-3</v>
      </c>
      <c r="F1007" s="1">
        <f t="shared" si="112"/>
        <v>0.99232358333333337</v>
      </c>
      <c r="G1007" s="1">
        <f t="shared" si="113"/>
        <v>0.41431629825227573</v>
      </c>
      <c r="H1007" s="34">
        <f t="shared" si="109"/>
        <v>1.7288472654960807E-2</v>
      </c>
      <c r="I1007" s="36">
        <f t="shared" si="110"/>
        <v>7.1628959928390547E-3</v>
      </c>
    </row>
    <row r="1008" spans="2:9" x14ac:dyDescent="0.35">
      <c r="B1008" s="16">
        <f t="shared" si="111"/>
        <v>83.249999999999631</v>
      </c>
      <c r="C1008" s="17">
        <f t="shared" si="107"/>
        <v>83.249999999999631</v>
      </c>
      <c r="D1008" s="1" cm="1">
        <f t="array" ref="D1008">_xlfn.XLOOKUP(_xlfn.FLOOR.MATH(C1008),'Mortality Tables'!$B$4:$B$124,_xlfn.XLOOKUP(mortality_table,'Mortality Tables'!$B$3:$G$3,'Mortality Tables'!$B$4:$G$124,0,0),0,0)</f>
        <v>9.2117000000000004E-2</v>
      </c>
      <c r="E1008" s="1">
        <f t="shared" si="108"/>
        <v>7.6764166666666665E-3</v>
      </c>
      <c r="F1008" s="1">
        <f t="shared" si="112"/>
        <v>0.99232358333333337</v>
      </c>
      <c r="G1008" s="1">
        <f t="shared" si="113"/>
        <v>0.41113583371510032</v>
      </c>
      <c r="H1008" s="34">
        <f t="shared" si="109"/>
        <v>1.7218323075404766E-2</v>
      </c>
      <c r="I1008" s="36">
        <f t="shared" si="110"/>
        <v>7.0790696127824891E-3</v>
      </c>
    </row>
    <row r="1009" spans="2:9" x14ac:dyDescent="0.35">
      <c r="B1009" s="16">
        <f t="shared" si="111"/>
        <v>83.333333333332959</v>
      </c>
      <c r="C1009" s="17">
        <f t="shared" si="107"/>
        <v>83.333333333332959</v>
      </c>
      <c r="D1009" s="1" cm="1">
        <f t="array" ref="D1009">_xlfn.XLOOKUP(_xlfn.FLOOR.MATH(C1009),'Mortality Tables'!$B$4:$B$124,_xlfn.XLOOKUP(mortality_table,'Mortality Tables'!$B$3:$G$3,'Mortality Tables'!$B$4:$G$124,0,0),0,0)</f>
        <v>9.2117000000000004E-2</v>
      </c>
      <c r="E1009" s="1">
        <f t="shared" si="108"/>
        <v>7.6764166666666665E-3</v>
      </c>
      <c r="F1009" s="1">
        <f t="shared" si="112"/>
        <v>0.99232358333333337</v>
      </c>
      <c r="G1009" s="1">
        <f t="shared" si="113"/>
        <v>0.40797978374890587</v>
      </c>
      <c r="H1009" s="34">
        <f t="shared" si="109"/>
        <v>1.7148458134267058E-2</v>
      </c>
      <c r="I1009" s="36">
        <f t="shared" si="110"/>
        <v>6.99622424124544E-3</v>
      </c>
    </row>
    <row r="1010" spans="2:9" x14ac:dyDescent="0.35">
      <c r="B1010" s="16">
        <f t="shared" si="111"/>
        <v>83.416666666666288</v>
      </c>
      <c r="C1010" s="17">
        <f t="shared" si="107"/>
        <v>83.416666666666288</v>
      </c>
      <c r="D1010" s="1" cm="1">
        <f t="array" ref="D1010">_xlfn.XLOOKUP(_xlfn.FLOOR.MATH(C1010),'Mortality Tables'!$B$4:$B$124,_xlfn.XLOOKUP(mortality_table,'Mortality Tables'!$B$3:$G$3,'Mortality Tables'!$B$4:$G$124,0,0),0,0)</f>
        <v>9.2117000000000004E-2</v>
      </c>
      <c r="E1010" s="1">
        <f t="shared" si="108"/>
        <v>7.6764166666666665E-3</v>
      </c>
      <c r="F1010" s="1">
        <f t="shared" si="112"/>
        <v>0.99232358333333337</v>
      </c>
      <c r="G1010" s="1">
        <f t="shared" si="113"/>
        <v>0.40484796093727271</v>
      </c>
      <c r="H1010" s="34">
        <f t="shared" si="109"/>
        <v>1.7078876676600924E-2</v>
      </c>
      <c r="I1010" s="36">
        <f t="shared" si="110"/>
        <v>6.9143483976210288E-3</v>
      </c>
    </row>
    <row r="1011" spans="2:9" x14ac:dyDescent="0.35">
      <c r="B1011" s="16">
        <f t="shared" si="111"/>
        <v>83.499999999999616</v>
      </c>
      <c r="C1011" s="17">
        <f t="shared" si="107"/>
        <v>83.499999999999616</v>
      </c>
      <c r="D1011" s="1" cm="1">
        <f t="array" ref="D1011">_xlfn.XLOOKUP(_xlfn.FLOOR.MATH(C1011),'Mortality Tables'!$B$4:$B$124,_xlfn.XLOOKUP(mortality_table,'Mortality Tables'!$B$3:$G$3,'Mortality Tables'!$B$4:$G$124,0,0),0,0)</f>
        <v>9.2117000000000004E-2</v>
      </c>
      <c r="E1011" s="1">
        <f t="shared" si="108"/>
        <v>7.6764166666666665E-3</v>
      </c>
      <c r="F1011" s="1">
        <f t="shared" si="112"/>
        <v>0.99232358333333337</v>
      </c>
      <c r="G1011" s="1">
        <f t="shared" si="113"/>
        <v>0.4017401793024678</v>
      </c>
      <c r="H1011" s="34">
        <f t="shared" si="109"/>
        <v>1.7009577552145924E-2</v>
      </c>
      <c r="I1011" s="36">
        <f t="shared" si="110"/>
        <v>6.8334307356583352E-3</v>
      </c>
    </row>
    <row r="1012" spans="2:9" x14ac:dyDescent="0.35">
      <c r="B1012" s="16">
        <f t="shared" si="111"/>
        <v>83.583333333332945</v>
      </c>
      <c r="C1012" s="17">
        <f t="shared" si="107"/>
        <v>83.583333333332945</v>
      </c>
      <c r="D1012" s="1" cm="1">
        <f t="array" ref="D1012">_xlfn.XLOOKUP(_xlfn.FLOOR.MATH(C1012),'Mortality Tables'!$B$4:$B$124,_xlfn.XLOOKUP(mortality_table,'Mortality Tables'!$B$3:$G$3,'Mortality Tables'!$B$4:$G$124,0,0),0,0)</f>
        <v>9.2117000000000004E-2</v>
      </c>
      <c r="E1012" s="1">
        <f t="shared" si="108"/>
        <v>7.6764166666666665E-3</v>
      </c>
      <c r="F1012" s="1">
        <f t="shared" si="112"/>
        <v>0.99232358333333337</v>
      </c>
      <c r="G1012" s="1">
        <f t="shared" si="113"/>
        <v>0.39865625429440071</v>
      </c>
      <c r="H1012" s="34">
        <f t="shared" si="109"/>
        <v>1.6940559615308871E-2</v>
      </c>
      <c r="I1012" s="36">
        <f t="shared" si="110"/>
        <v>6.7534600418900281E-3</v>
      </c>
    </row>
    <row r="1013" spans="2:9" x14ac:dyDescent="0.35">
      <c r="B1013" s="16">
        <f t="shared" si="111"/>
        <v>83.666666666666273</v>
      </c>
      <c r="C1013" s="17">
        <f t="shared" si="107"/>
        <v>83.666666666666273</v>
      </c>
      <c r="D1013" s="1" cm="1">
        <f t="array" ref="D1013">_xlfn.XLOOKUP(_xlfn.FLOOR.MATH(C1013),'Mortality Tables'!$B$4:$B$124,_xlfn.XLOOKUP(mortality_table,'Mortality Tables'!$B$3:$G$3,'Mortality Tables'!$B$4:$G$124,0,0),0,0)</f>
        <v>9.2117000000000004E-2</v>
      </c>
      <c r="E1013" s="1">
        <f t="shared" si="108"/>
        <v>7.6764166666666665E-3</v>
      </c>
      <c r="F1013" s="1">
        <f t="shared" si="112"/>
        <v>0.99232358333333337</v>
      </c>
      <c r="G1013" s="1">
        <f t="shared" si="113"/>
        <v>0.39559600277966428</v>
      </c>
      <c r="H1013" s="34">
        <f t="shared" si="109"/>
        <v>1.6871821725144988E-2</v>
      </c>
      <c r="I1013" s="36">
        <f t="shared" si="110"/>
        <v>6.6744252340784566E-3</v>
      </c>
    </row>
    <row r="1014" spans="2:9" x14ac:dyDescent="0.35">
      <c r="B1014" s="16">
        <f t="shared" si="111"/>
        <v>83.749999999999602</v>
      </c>
      <c r="C1014" s="17">
        <f t="shared" si="107"/>
        <v>83.749999999999602</v>
      </c>
      <c r="D1014" s="1" cm="1">
        <f t="array" ref="D1014">_xlfn.XLOOKUP(_xlfn.FLOOR.MATH(C1014),'Mortality Tables'!$B$4:$B$124,_xlfn.XLOOKUP(mortality_table,'Mortality Tables'!$B$3:$G$3,'Mortality Tables'!$B$4:$G$124,0,0),0,0)</f>
        <v>9.2117000000000004E-2</v>
      </c>
      <c r="E1014" s="1">
        <f t="shared" si="108"/>
        <v>7.6764166666666665E-3</v>
      </c>
      <c r="F1014" s="1">
        <f t="shared" si="112"/>
        <v>0.99232358333333337</v>
      </c>
      <c r="G1014" s="1">
        <f t="shared" si="113"/>
        <v>0.39255924303065975</v>
      </c>
      <c r="H1014" s="34">
        <f t="shared" si="109"/>
        <v>1.6803362745338939E-2</v>
      </c>
      <c r="I1014" s="36">
        <f t="shared" si="110"/>
        <v>6.5963153596798425E-3</v>
      </c>
    </row>
    <row r="1015" spans="2:9" x14ac:dyDescent="0.35">
      <c r="B1015" s="16">
        <f t="shared" si="111"/>
        <v>83.833333333332931</v>
      </c>
      <c r="C1015" s="17">
        <f t="shared" si="107"/>
        <v>83.833333333332931</v>
      </c>
      <c r="D1015" s="1" cm="1">
        <f t="array" ref="D1015">_xlfn.XLOOKUP(_xlfn.FLOOR.MATH(C1015),'Mortality Tables'!$B$4:$B$124,_xlfn.XLOOKUP(mortality_table,'Mortality Tables'!$B$3:$G$3,'Mortality Tables'!$B$4:$G$124,0,0),0,0)</f>
        <v>9.2117000000000004E-2</v>
      </c>
      <c r="E1015" s="1">
        <f t="shared" si="108"/>
        <v>7.6764166666666665E-3</v>
      </c>
      <c r="F1015" s="1">
        <f t="shared" si="112"/>
        <v>0.99232358333333337</v>
      </c>
      <c r="G1015" s="1">
        <f t="shared" si="113"/>
        <v>0.38954579471480516</v>
      </c>
      <c r="H1015" s="34">
        <f t="shared" si="109"/>
        <v>1.6735181544186101E-2</v>
      </c>
      <c r="I1015" s="36">
        <f t="shared" si="110"/>
        <v>6.5191195943265145E-3</v>
      </c>
    </row>
    <row r="1016" spans="2:9" x14ac:dyDescent="0.35">
      <c r="B1016" s="16">
        <f t="shared" si="111"/>
        <v>83.916666666666259</v>
      </c>
      <c r="C1016" s="17">
        <f t="shared" si="107"/>
        <v>83.916666666666259</v>
      </c>
      <c r="D1016" s="1" cm="1">
        <f t="array" ref="D1016">_xlfn.XLOOKUP(_xlfn.FLOOR.MATH(C1016),'Mortality Tables'!$B$4:$B$124,_xlfn.XLOOKUP(mortality_table,'Mortality Tables'!$B$3:$G$3,'Mortality Tables'!$B$4:$G$124,0,0),0,0)</f>
        <v>9.2117000000000004E-2</v>
      </c>
      <c r="E1016" s="1">
        <f t="shared" si="108"/>
        <v>7.6764166666666665E-3</v>
      </c>
      <c r="F1016" s="1">
        <f t="shared" si="112"/>
        <v>0.99232358333333337</v>
      </c>
      <c r="G1016" s="1">
        <f t="shared" si="113"/>
        <v>0.38655547888382652</v>
      </c>
      <c r="H1016" s="34">
        <f t="shared" si="109"/>
        <v>1.6667276994573859E-2</v>
      </c>
      <c r="I1016" s="36">
        <f t="shared" si="110"/>
        <v>6.4428272403268833E-3</v>
      </c>
    </row>
    <row r="1017" spans="2:9" x14ac:dyDescent="0.35">
      <c r="B1017" s="16">
        <f t="shared" si="111"/>
        <v>83.999999999999588</v>
      </c>
      <c r="C1017" s="17">
        <f t="shared" si="107"/>
        <v>83.999999999999588</v>
      </c>
      <c r="D1017" s="1" cm="1">
        <f t="array" ref="D1017">_xlfn.XLOOKUP(_xlfn.FLOOR.MATH(C1017),'Mortality Tables'!$B$4:$B$124,_xlfn.XLOOKUP(mortality_table,'Mortality Tables'!$B$3:$G$3,'Mortality Tables'!$B$4:$G$124,0,0),0,0)</f>
        <v>9.2117000000000004E-2</v>
      </c>
      <c r="E1017" s="1">
        <f t="shared" si="108"/>
        <v>7.6764166666666665E-3</v>
      </c>
      <c r="F1017" s="1">
        <f t="shared" si="112"/>
        <v>0.99232358333333337</v>
      </c>
      <c r="G1017" s="1">
        <f t="shared" si="113"/>
        <v>0.38358811796313141</v>
      </c>
      <c r="H1017" s="34">
        <f t="shared" si="109"/>
        <v>1.6599647973962951E-2</v>
      </c>
      <c r="I1017" s="36">
        <f t="shared" si="110"/>
        <v>6.3674277251829555E-3</v>
      </c>
    </row>
    <row r="1018" spans="2:9" x14ac:dyDescent="0.35">
      <c r="B1018" s="16">
        <f t="shared" si="111"/>
        <v>84.083333333332916</v>
      </c>
      <c r="C1018" s="17">
        <f t="shared" si="107"/>
        <v>84.083333333332916</v>
      </c>
      <c r="D1018" s="1" cm="1">
        <f t="array" ref="D1018">_xlfn.XLOOKUP(_xlfn.FLOOR.MATH(C1018),'Mortality Tables'!$B$4:$B$124,_xlfn.XLOOKUP(mortality_table,'Mortality Tables'!$B$3:$G$3,'Mortality Tables'!$B$4:$G$124,0,0),0,0)</f>
        <v>0.101007</v>
      </c>
      <c r="E1018" s="1">
        <f t="shared" si="108"/>
        <v>8.4172499999999994E-3</v>
      </c>
      <c r="F1018" s="1">
        <f t="shared" si="112"/>
        <v>0.99158274999999996</v>
      </c>
      <c r="G1018" s="1">
        <f t="shared" si="113"/>
        <v>0.38064353574126397</v>
      </c>
      <c r="H1018" s="34">
        <f t="shared" si="109"/>
        <v>1.6532293364368931E-2</v>
      </c>
      <c r="I1018" s="36">
        <f t="shared" si="110"/>
        <v>6.2929106001252261E-3</v>
      </c>
    </row>
    <row r="1019" spans="2:9" x14ac:dyDescent="0.35">
      <c r="B1019" s="16">
        <f t="shared" si="111"/>
        <v>84.166666666666245</v>
      </c>
      <c r="C1019" s="17">
        <f t="shared" si="107"/>
        <v>84.166666666666245</v>
      </c>
      <c r="D1019" s="1" cm="1">
        <f t="array" ref="D1019">_xlfn.XLOOKUP(_xlfn.FLOOR.MATH(C1019),'Mortality Tables'!$B$4:$B$124,_xlfn.XLOOKUP(mortality_table,'Mortality Tables'!$B$3:$G$3,'Mortality Tables'!$B$4:$G$124,0,0),0,0)</f>
        <v>0.101007</v>
      </c>
      <c r="E1019" s="1">
        <f t="shared" si="108"/>
        <v>8.4172499999999994E-3</v>
      </c>
      <c r="F1019" s="1">
        <f t="shared" si="112"/>
        <v>0.99158274999999996</v>
      </c>
      <c r="G1019" s="1">
        <f t="shared" si="113"/>
        <v>0.3774395639400458</v>
      </c>
      <c r="H1019" s="34">
        <f t="shared" si="109"/>
        <v>1.6465212052343667E-2</v>
      </c>
      <c r="I1019" s="36">
        <f t="shared" si="110"/>
        <v>6.2146224572169808E-3</v>
      </c>
    </row>
    <row r="1020" spans="2:9" x14ac:dyDescent="0.35">
      <c r="B1020" s="16">
        <f t="shared" si="111"/>
        <v>84.249999999999574</v>
      </c>
      <c r="C1020" s="17">
        <f t="shared" si="107"/>
        <v>84.249999999999574</v>
      </c>
      <c r="D1020" s="1" cm="1">
        <f t="array" ref="D1020">_xlfn.XLOOKUP(_xlfn.FLOOR.MATH(C1020),'Mortality Tables'!$B$4:$B$124,_xlfn.XLOOKUP(mortality_table,'Mortality Tables'!$B$3:$G$3,'Mortality Tables'!$B$4:$G$124,0,0),0,0)</f>
        <v>0.101007</v>
      </c>
      <c r="E1020" s="1">
        <f t="shared" si="108"/>
        <v>8.4172499999999994E-3</v>
      </c>
      <c r="F1020" s="1">
        <f t="shared" si="112"/>
        <v>0.99158274999999996</v>
      </c>
      <c r="G1020" s="1">
        <f t="shared" si="113"/>
        <v>0.37426256077047143</v>
      </c>
      <c r="H1020" s="34">
        <f t="shared" si="109"/>
        <v>1.6398402928956963E-2</v>
      </c>
      <c r="I1020" s="36">
        <f t="shared" si="110"/>
        <v>6.1373082727374318E-3</v>
      </c>
    </row>
    <row r="1021" spans="2:9" x14ac:dyDescent="0.35">
      <c r="B1021" s="16">
        <f t="shared" si="111"/>
        <v>84.333333333332902</v>
      </c>
      <c r="C1021" s="17">
        <f t="shared" si="107"/>
        <v>84.333333333332902</v>
      </c>
      <c r="D1021" s="1" cm="1">
        <f t="array" ref="D1021">_xlfn.XLOOKUP(_xlfn.FLOOR.MATH(C1021),'Mortality Tables'!$B$4:$B$124,_xlfn.XLOOKUP(mortality_table,'Mortality Tables'!$B$3:$G$3,'Mortality Tables'!$B$4:$G$124,0,0),0,0)</f>
        <v>0.101007</v>
      </c>
      <c r="E1021" s="1">
        <f t="shared" si="108"/>
        <v>8.4172499999999994E-3</v>
      </c>
      <c r="F1021" s="1">
        <f t="shared" si="112"/>
        <v>0.99158274999999996</v>
      </c>
      <c r="G1021" s="1">
        <f t="shared" si="113"/>
        <v>0.37111229923082617</v>
      </c>
      <c r="H1021" s="34">
        <f t="shared" si="109"/>
        <v>1.633186488977819E-2</v>
      </c>
      <c r="I1021" s="36">
        <f t="shared" si="110"/>
        <v>6.0609559299727878E-3</v>
      </c>
    </row>
    <row r="1022" spans="2:9" x14ac:dyDescent="0.35">
      <c r="B1022" s="16">
        <f t="shared" si="111"/>
        <v>84.416666666666231</v>
      </c>
      <c r="C1022" s="17">
        <f t="shared" si="107"/>
        <v>84.416666666666231</v>
      </c>
      <c r="D1022" s="1" cm="1">
        <f t="array" ref="D1022">_xlfn.XLOOKUP(_xlfn.FLOOR.MATH(C1022),'Mortality Tables'!$B$4:$B$124,_xlfn.XLOOKUP(mortality_table,'Mortality Tables'!$B$3:$G$3,'Mortality Tables'!$B$4:$G$124,0,0),0,0)</f>
        <v>0.101007</v>
      </c>
      <c r="E1022" s="1">
        <f t="shared" si="108"/>
        <v>8.4172499999999994E-3</v>
      </c>
      <c r="F1022" s="1">
        <f t="shared" si="112"/>
        <v>0.99158274999999996</v>
      </c>
      <c r="G1022" s="1">
        <f t="shared" si="113"/>
        <v>0.3679885542301255</v>
      </c>
      <c r="H1022" s="34">
        <f t="shared" si="109"/>
        <v>1.6265596834858065E-2</v>
      </c>
      <c r="I1022" s="36">
        <f t="shared" si="110"/>
        <v>5.9855534629495244E-3</v>
      </c>
    </row>
    <row r="1023" spans="2:9" x14ac:dyDescent="0.35">
      <c r="B1023" s="16">
        <f t="shared" si="111"/>
        <v>84.499999999999559</v>
      </c>
      <c r="C1023" s="17">
        <f t="shared" si="107"/>
        <v>84.499999999999559</v>
      </c>
      <c r="D1023" s="1" cm="1">
        <f t="array" ref="D1023">_xlfn.XLOOKUP(_xlfn.FLOOR.MATH(C1023),'Mortality Tables'!$B$4:$B$124,_xlfn.XLOOKUP(mortality_table,'Mortality Tables'!$B$3:$G$3,'Mortality Tables'!$B$4:$G$124,0,0),0,0)</f>
        <v>0.101007</v>
      </c>
      <c r="E1023" s="1">
        <f t="shared" si="108"/>
        <v>8.4172499999999994E-3</v>
      </c>
      <c r="F1023" s="1">
        <f t="shared" si="112"/>
        <v>0.99158274999999996</v>
      </c>
      <c r="G1023" s="1">
        <f t="shared" si="113"/>
        <v>0.36489110257203194</v>
      </c>
      <c r="H1023" s="34">
        <f t="shared" si="109"/>
        <v>1.6199597668710444E-2</v>
      </c>
      <c r="I1023" s="36">
        <f t="shared" si="110"/>
        <v>5.9110890545590721E-3</v>
      </c>
    </row>
    <row r="1024" spans="2:9" x14ac:dyDescent="0.35">
      <c r="B1024" s="16">
        <f t="shared" si="111"/>
        <v>84.583333333332888</v>
      </c>
      <c r="C1024" s="17">
        <f t="shared" si="107"/>
        <v>84.583333333332888</v>
      </c>
      <c r="D1024" s="1" cm="1">
        <f t="array" ref="D1024">_xlfn.XLOOKUP(_xlfn.FLOOR.MATH(C1024),'Mortality Tables'!$B$4:$B$124,_xlfn.XLOOKUP(mortality_table,'Mortality Tables'!$B$3:$G$3,'Mortality Tables'!$B$4:$G$124,0,0),0,0)</f>
        <v>0.101007</v>
      </c>
      <c r="E1024" s="1">
        <f t="shared" si="108"/>
        <v>8.4172499999999994E-3</v>
      </c>
      <c r="F1024" s="1">
        <f t="shared" si="112"/>
        <v>0.99158274999999996</v>
      </c>
      <c r="G1024" s="1">
        <f t="shared" si="113"/>
        <v>0.36181972293890752</v>
      </c>
      <c r="H1024" s="34">
        <f t="shared" si="109"/>
        <v>1.6133866300294217E-2</v>
      </c>
      <c r="I1024" s="36">
        <f t="shared" si="110"/>
        <v>5.8375510347058301E-3</v>
      </c>
    </row>
    <row r="1025" spans="2:9" x14ac:dyDescent="0.35">
      <c r="B1025" s="16">
        <f t="shared" si="111"/>
        <v>84.666666666666217</v>
      </c>
      <c r="C1025" s="17">
        <f t="shared" si="107"/>
        <v>84.666666666666217</v>
      </c>
      <c r="D1025" s="1" cm="1">
        <f t="array" ref="D1025">_xlfn.XLOOKUP(_xlfn.FLOOR.MATH(C1025),'Mortality Tables'!$B$4:$B$124,_xlfn.XLOOKUP(mortality_table,'Mortality Tables'!$B$3:$G$3,'Mortality Tables'!$B$4:$G$124,0,0),0,0)</f>
        <v>0.101007</v>
      </c>
      <c r="E1025" s="1">
        <f t="shared" si="108"/>
        <v>8.4172499999999994E-3</v>
      </c>
      <c r="F1025" s="1">
        <f t="shared" si="112"/>
        <v>0.99158274999999996</v>
      </c>
      <c r="G1025" s="1">
        <f t="shared" si="113"/>
        <v>0.35877419587599996</v>
      </c>
      <c r="H1025" s="34">
        <f t="shared" si="109"/>
        <v>1.6068401642995282E-2</v>
      </c>
      <c r="I1025" s="36">
        <f t="shared" si="110"/>
        <v>5.7649278784782289E-3</v>
      </c>
    </row>
    <row r="1026" spans="2:9" x14ac:dyDescent="0.35">
      <c r="B1026" s="16">
        <f t="shared" si="111"/>
        <v>84.749999999999545</v>
      </c>
      <c r="C1026" s="17">
        <f t="shared" si="107"/>
        <v>84.749999999999545</v>
      </c>
      <c r="D1026" s="1" cm="1">
        <f t="array" ref="D1026">_xlfn.XLOOKUP(_xlfn.FLOOR.MATH(C1026),'Mortality Tables'!$B$4:$B$124,_xlfn.XLOOKUP(mortality_table,'Mortality Tables'!$B$3:$G$3,'Mortality Tables'!$B$4:$G$124,0,0),0,0)</f>
        <v>0.101007</v>
      </c>
      <c r="E1026" s="1">
        <f t="shared" si="108"/>
        <v>8.4172499999999994E-3</v>
      </c>
      <c r="F1026" s="1">
        <f t="shared" si="112"/>
        <v>0.99158274999999996</v>
      </c>
      <c r="G1026" s="1">
        <f t="shared" si="113"/>
        <v>0.35575430377576267</v>
      </c>
      <c r="H1026" s="34">
        <f t="shared" si="109"/>
        <v>1.6003202614608567E-2</v>
      </c>
      <c r="I1026" s="36">
        <f t="shared" si="110"/>
        <v>5.693208204342535E-3</v>
      </c>
    </row>
    <row r="1027" spans="2:9" x14ac:dyDescent="0.35">
      <c r="B1027" s="16">
        <f t="shared" si="111"/>
        <v>84.833333333332874</v>
      </c>
      <c r="C1027" s="17">
        <f t="shared" si="107"/>
        <v>84.833333333332874</v>
      </c>
      <c r="D1027" s="1" cm="1">
        <f t="array" ref="D1027">_xlfn.XLOOKUP(_xlfn.FLOOR.MATH(C1027),'Mortality Tables'!$B$4:$B$124,_xlfn.XLOOKUP(mortality_table,'Mortality Tables'!$B$3:$G$3,'Mortality Tables'!$B$4:$G$124,0,0),0,0)</f>
        <v>0.101007</v>
      </c>
      <c r="E1027" s="1">
        <f t="shared" si="108"/>
        <v>8.4172499999999994E-3</v>
      </c>
      <c r="F1027" s="1">
        <f t="shared" si="112"/>
        <v>0.99158274999999996</v>
      </c>
      <c r="G1027" s="1">
        <f t="shared" si="113"/>
        <v>0.35275983086230611</v>
      </c>
      <c r="H1027" s="34">
        <f t="shared" si="109"/>
        <v>1.593826813732015E-2</v>
      </c>
      <c r="I1027" s="36">
        <f t="shared" si="110"/>
        <v>5.6223807723591391E-3</v>
      </c>
    </row>
    <row r="1028" spans="2:9" x14ac:dyDescent="0.35">
      <c r="B1028" s="16">
        <f t="shared" si="111"/>
        <v>84.916666666666202</v>
      </c>
      <c r="C1028" s="17">
        <f t="shared" si="107"/>
        <v>84.916666666666202</v>
      </c>
      <c r="D1028" s="1" cm="1">
        <f t="array" ref="D1028">_xlfn.XLOOKUP(_xlfn.FLOOR.MATH(C1028),'Mortality Tables'!$B$4:$B$124,_xlfn.XLOOKUP(mortality_table,'Mortality Tables'!$B$3:$G$3,'Mortality Tables'!$B$4:$G$124,0,0),0,0)</f>
        <v>0.101007</v>
      </c>
      <c r="E1028" s="1">
        <f t="shared" si="108"/>
        <v>8.4172499999999994E-3</v>
      </c>
      <c r="F1028" s="1">
        <f t="shared" si="112"/>
        <v>0.99158274999999996</v>
      </c>
      <c r="G1028" s="1">
        <f t="shared" si="113"/>
        <v>0.34979056317598034</v>
      </c>
      <c r="H1028" s="34">
        <f t="shared" si="109"/>
        <v>1.5873597137689429E-2</v>
      </c>
      <c r="I1028" s="36">
        <f t="shared" si="110"/>
        <v>5.5524344824210148E-3</v>
      </c>
    </row>
    <row r="1029" spans="2:9" x14ac:dyDescent="0.35">
      <c r="B1029" s="16">
        <f t="shared" si="111"/>
        <v>84.999999999999531</v>
      </c>
      <c r="C1029" s="17">
        <f t="shared" si="107"/>
        <v>84.999999999999531</v>
      </c>
      <c r="D1029" s="1" cm="1">
        <f t="array" ref="D1029">_xlfn.XLOOKUP(_xlfn.FLOOR.MATH(C1029),'Mortality Tables'!$B$4:$B$124,_xlfn.XLOOKUP(mortality_table,'Mortality Tables'!$B$3:$G$3,'Mortality Tables'!$B$4:$G$124,0,0),0,0)</f>
        <v>0.101007</v>
      </c>
      <c r="E1029" s="1">
        <f t="shared" si="108"/>
        <v>8.4172499999999994E-3</v>
      </c>
      <c r="F1029" s="1">
        <f t="shared" si="112"/>
        <v>0.99158274999999996</v>
      </c>
      <c r="G1029" s="1">
        <f t="shared" si="113"/>
        <v>0.3468462885580873</v>
      </c>
      <c r="H1029" s="34">
        <f t="shared" si="109"/>
        <v>1.5809188546631422E-2</v>
      </c>
      <c r="I1029" s="36">
        <f t="shared" si="110"/>
        <v>5.4833583725141313E-3</v>
      </c>
    </row>
    <row r="1030" spans="2:9" x14ac:dyDescent="0.35">
      <c r="B1030" s="16">
        <f t="shared" si="111"/>
        <v>85.08333333333286</v>
      </c>
      <c r="C1030" s="17">
        <f t="shared" si="107"/>
        <v>85.08333333333286</v>
      </c>
      <c r="D1030" s="1" cm="1">
        <f t="array" ref="D1030">_xlfn.XLOOKUP(_xlfn.FLOOR.MATH(C1030),'Mortality Tables'!$B$4:$B$124,_xlfn.XLOOKUP(mortality_table,'Mortality Tables'!$B$3:$G$3,'Mortality Tables'!$B$4:$G$124,0,0),0,0)</f>
        <v>0.1106</v>
      </c>
      <c r="E1030" s="1">
        <f t="shared" si="108"/>
        <v>9.2166666666666664E-3</v>
      </c>
      <c r="F1030" s="1">
        <f t="shared" si="112"/>
        <v>0.99078333333333335</v>
      </c>
      <c r="G1030" s="1">
        <f t="shared" si="113"/>
        <v>0.34392679663572173</v>
      </c>
      <c r="H1030" s="34">
        <f t="shared" si="109"/>
        <v>1.5745041299399021E-2</v>
      </c>
      <c r="I1030" s="36">
        <f t="shared" si="110"/>
        <v>5.4151416169994472E-3</v>
      </c>
    </row>
    <row r="1031" spans="2:9" x14ac:dyDescent="0.35">
      <c r="B1031" s="16">
        <f t="shared" si="111"/>
        <v>85.166666666666188</v>
      </c>
      <c r="C1031" s="17">
        <f t="shared" si="107"/>
        <v>85.166666666666188</v>
      </c>
      <c r="D1031" s="1" cm="1">
        <f t="array" ref="D1031">_xlfn.XLOOKUP(_xlfn.FLOOR.MATH(C1031),'Mortality Tables'!$B$4:$B$124,_xlfn.XLOOKUP(mortality_table,'Mortality Tables'!$B$3:$G$3,'Mortality Tables'!$B$4:$G$124,0,0),0,0)</f>
        <v>0.1106</v>
      </c>
      <c r="E1031" s="1">
        <f t="shared" si="108"/>
        <v>9.2166666666666664E-3</v>
      </c>
      <c r="F1031" s="1">
        <f t="shared" si="112"/>
        <v>0.99078333333333335</v>
      </c>
      <c r="G1031" s="1">
        <f t="shared" si="113"/>
        <v>0.34075693799339585</v>
      </c>
      <c r="H1031" s="34">
        <f t="shared" si="109"/>
        <v>1.5681154335565436E-2</v>
      </c>
      <c r="I1031" s="36">
        <f t="shared" si="110"/>
        <v>5.3434621355891417E-3</v>
      </c>
    </row>
    <row r="1032" spans="2:9" x14ac:dyDescent="0.35">
      <c r="B1032" s="16">
        <f t="shared" si="111"/>
        <v>85.249999999999517</v>
      </c>
      <c r="C1032" s="17">
        <f t="shared" si="107"/>
        <v>85.249999999999517</v>
      </c>
      <c r="D1032" s="1" cm="1">
        <f t="array" ref="D1032">_xlfn.XLOOKUP(_xlfn.FLOOR.MATH(C1032),'Mortality Tables'!$B$4:$B$124,_xlfn.XLOOKUP(mortality_table,'Mortality Tables'!$B$3:$G$3,'Mortality Tables'!$B$4:$G$124,0,0),0,0)</f>
        <v>0.1106</v>
      </c>
      <c r="E1032" s="1">
        <f t="shared" si="108"/>
        <v>9.2166666666666664E-3</v>
      </c>
      <c r="F1032" s="1">
        <f t="shared" si="112"/>
        <v>0.99078333333333335</v>
      </c>
      <c r="G1032" s="1">
        <f t="shared" si="113"/>
        <v>0.3376162948815567</v>
      </c>
      <c r="H1032" s="34">
        <f t="shared" si="109"/>
        <v>1.561752659900667E-2</v>
      </c>
      <c r="I1032" s="36">
        <f t="shared" si="110"/>
        <v>5.2727314655707912E-3</v>
      </c>
    </row>
    <row r="1033" spans="2:9" x14ac:dyDescent="0.35">
      <c r="B1033" s="16">
        <f t="shared" si="111"/>
        <v>85.333333333332845</v>
      </c>
      <c r="C1033" s="17">
        <f t="shared" ref="C1033:C1096" si="114">current_age+B1033</f>
        <v>85.333333333332845</v>
      </c>
      <c r="D1033" s="1" cm="1">
        <f t="array" ref="D1033">_xlfn.XLOOKUP(_xlfn.FLOOR.MATH(C1033),'Mortality Tables'!$B$4:$B$124,_xlfn.XLOOKUP(mortality_table,'Mortality Tables'!$B$3:$G$3,'Mortality Tables'!$B$4:$G$124,0,0),0,0)</f>
        <v>0.1106</v>
      </c>
      <c r="E1033" s="1">
        <f t="shared" ref="E1033:E1089" si="115">$F$5*D1033</f>
        <v>9.2166666666666664E-3</v>
      </c>
      <c r="F1033" s="1">
        <f t="shared" si="112"/>
        <v>0.99078333333333335</v>
      </c>
      <c r="G1033" s="1">
        <f t="shared" si="113"/>
        <v>0.33450459803039834</v>
      </c>
      <c r="H1033" s="34">
        <f t="shared" ref="H1033:H1089" si="116">(1+interest_rate)^-(B1033)</f>
        <v>1.555415703788403E-2</v>
      </c>
      <c r="I1033" s="36">
        <f t="shared" ref="I1033:I1096" si="117">IF(current_age+B1033&lt;=$C$5,G1033*H1033,0)</f>
        <v>5.2029370476590888E-3</v>
      </c>
    </row>
    <row r="1034" spans="2:9" x14ac:dyDescent="0.35">
      <c r="B1034" s="16">
        <f t="shared" ref="B1034:B1097" si="118">B1033+$F$5</f>
        <v>85.416666666666174</v>
      </c>
      <c r="C1034" s="17">
        <f t="shared" si="114"/>
        <v>85.416666666666174</v>
      </c>
      <c r="D1034" s="1" cm="1">
        <f t="array" ref="D1034">_xlfn.XLOOKUP(_xlfn.FLOOR.MATH(C1034),'Mortality Tables'!$B$4:$B$124,_xlfn.XLOOKUP(mortality_table,'Mortality Tables'!$B$3:$G$3,'Mortality Tables'!$B$4:$G$124,0,0),0,0)</f>
        <v>0.1106</v>
      </c>
      <c r="E1034" s="1">
        <f t="shared" si="115"/>
        <v>9.2166666666666664E-3</v>
      </c>
      <c r="F1034" s="1">
        <f t="shared" si="112"/>
        <v>0.99078333333333335</v>
      </c>
      <c r="G1034" s="1">
        <f t="shared" si="113"/>
        <v>0.33142158065188482</v>
      </c>
      <c r="H1034" s="34">
        <f t="shared" si="116"/>
        <v>1.5491044604626768E-2</v>
      </c>
      <c r="I1034" s="36">
        <f t="shared" si="117"/>
        <v>5.1340664888142552E-3</v>
      </c>
    </row>
    <row r="1035" spans="2:9" x14ac:dyDescent="0.35">
      <c r="B1035" s="16">
        <f t="shared" si="118"/>
        <v>85.499999999999503</v>
      </c>
      <c r="C1035" s="17">
        <f t="shared" si="114"/>
        <v>85.499999999999503</v>
      </c>
      <c r="D1035" s="1" cm="1">
        <f t="array" ref="D1035">_xlfn.XLOOKUP(_xlfn.FLOOR.MATH(C1035),'Mortality Tables'!$B$4:$B$124,_xlfn.XLOOKUP(mortality_table,'Mortality Tables'!$B$3:$G$3,'Mortality Tables'!$B$4:$G$124,0,0),0,0)</f>
        <v>0.1106</v>
      </c>
      <c r="E1035" s="1">
        <f t="shared" si="115"/>
        <v>9.2166666666666664E-3</v>
      </c>
      <c r="F1035" s="1">
        <f t="shared" si="112"/>
        <v>0.99078333333333335</v>
      </c>
      <c r="G1035" s="1">
        <f t="shared" si="113"/>
        <v>0.32836697841687662</v>
      </c>
      <c r="H1035" s="34">
        <f t="shared" si="116"/>
        <v>1.5428188255914747E-2</v>
      </c>
      <c r="I1035" s="36">
        <f t="shared" si="117"/>
        <v>5.0661075600414666E-3</v>
      </c>
    </row>
    <row r="1036" spans="2:9" x14ac:dyDescent="0.35">
      <c r="B1036" s="16">
        <f t="shared" si="118"/>
        <v>85.583333333332831</v>
      </c>
      <c r="C1036" s="17">
        <f t="shared" si="114"/>
        <v>85.583333333332831</v>
      </c>
      <c r="D1036" s="1" cm="1">
        <f t="array" ref="D1036">_xlfn.XLOOKUP(_xlfn.FLOOR.MATH(C1036),'Mortality Tables'!$B$4:$B$124,_xlfn.XLOOKUP(mortality_table,'Mortality Tables'!$B$3:$G$3,'Mortality Tables'!$B$4:$G$124,0,0),0,0)</f>
        <v>0.1106</v>
      </c>
      <c r="E1036" s="1">
        <f t="shared" si="115"/>
        <v>9.2166666666666664E-3</v>
      </c>
      <c r="F1036" s="1">
        <f t="shared" si="112"/>
        <v>0.99078333333333335</v>
      </c>
      <c r="G1036" s="1">
        <f t="shared" si="113"/>
        <v>0.32534052943246777</v>
      </c>
      <c r="H1036" s="34">
        <f t="shared" si="116"/>
        <v>1.5365586952661197E-2</v>
      </c>
      <c r="I1036" s="36">
        <f t="shared" si="117"/>
        <v>4.999048194219413E-3</v>
      </c>
    </row>
    <row r="1037" spans="2:9" x14ac:dyDescent="0.35">
      <c r="B1037" s="16">
        <f t="shared" si="118"/>
        <v>85.66666666666616</v>
      </c>
      <c r="C1037" s="17">
        <f t="shared" si="114"/>
        <v>85.66666666666616</v>
      </c>
      <c r="D1037" s="1" cm="1">
        <f t="array" ref="D1037">_xlfn.XLOOKUP(_xlfn.FLOOR.MATH(C1037),'Mortality Tables'!$B$4:$B$124,_xlfn.XLOOKUP(mortality_table,'Mortality Tables'!$B$3:$G$3,'Mortality Tables'!$B$4:$G$124,0,0),0,0)</f>
        <v>0.1106</v>
      </c>
      <c r="E1037" s="1">
        <f t="shared" si="115"/>
        <v>9.2166666666666664E-3</v>
      </c>
      <c r="F1037" s="1">
        <f t="shared" si="112"/>
        <v>0.99078333333333335</v>
      </c>
      <c r="G1037" s="1">
        <f t="shared" si="113"/>
        <v>0.32234197421953187</v>
      </c>
      <c r="H1037" s="34">
        <f t="shared" si="116"/>
        <v>1.5303239659995546E-2</v>
      </c>
      <c r="I1037" s="36">
        <f t="shared" si="117"/>
        <v>4.9328764839576015E-3</v>
      </c>
    </row>
    <row r="1038" spans="2:9" x14ac:dyDescent="0.35">
      <c r="B1038" s="16">
        <f t="shared" si="118"/>
        <v>85.749999999999488</v>
      </c>
      <c r="C1038" s="17">
        <f t="shared" si="114"/>
        <v>85.749999999999488</v>
      </c>
      <c r="D1038" s="1" cm="1">
        <f t="array" ref="D1038">_xlfn.XLOOKUP(_xlfn.FLOOR.MATH(C1038),'Mortality Tables'!$B$4:$B$124,_xlfn.XLOOKUP(mortality_table,'Mortality Tables'!$B$3:$G$3,'Mortality Tables'!$B$4:$G$124,0,0),0,0)</f>
        <v>0.1106</v>
      </c>
      <c r="E1038" s="1">
        <f t="shared" si="115"/>
        <v>9.2166666666666664E-3</v>
      </c>
      <c r="F1038" s="1">
        <f t="shared" si="112"/>
        <v>0.99078333333333335</v>
      </c>
      <c r="G1038" s="1">
        <f t="shared" si="113"/>
        <v>0.31937105569047519</v>
      </c>
      <c r="H1038" s="34">
        <f t="shared" si="116"/>
        <v>1.5241145347246292E-2</v>
      </c>
      <c r="I1038" s="36">
        <f t="shared" si="117"/>
        <v>4.8675806794820226E-3</v>
      </c>
    </row>
    <row r="1039" spans="2:9" x14ac:dyDescent="0.35">
      <c r="B1039" s="16">
        <f t="shared" si="118"/>
        <v>85.833333333332817</v>
      </c>
      <c r="C1039" s="17">
        <f t="shared" si="114"/>
        <v>85.833333333332817</v>
      </c>
      <c r="D1039" s="1" cm="1">
        <f t="array" ref="D1039">_xlfn.XLOOKUP(_xlfn.FLOOR.MATH(C1039),'Mortality Tables'!$B$4:$B$124,_xlfn.XLOOKUP(mortality_table,'Mortality Tables'!$B$3:$G$3,'Mortality Tables'!$B$4:$G$124,0,0),0,0)</f>
        <v>0.1106</v>
      </c>
      <c r="E1039" s="1">
        <f t="shared" si="115"/>
        <v>9.2166666666666664E-3</v>
      </c>
      <c r="F1039" s="1">
        <f t="shared" si="112"/>
        <v>0.99078333333333335</v>
      </c>
      <c r="G1039" s="1">
        <f t="shared" si="113"/>
        <v>0.31642751912719463</v>
      </c>
      <c r="H1039" s="34">
        <f t="shared" si="116"/>
        <v>1.5179302987923993E-2</v>
      </c>
      <c r="I1039" s="36">
        <f t="shared" si="117"/>
        <v>4.8031491865488021E-3</v>
      </c>
    </row>
    <row r="1040" spans="2:9" x14ac:dyDescent="0.35">
      <c r="B1040" s="16">
        <f t="shared" si="118"/>
        <v>85.916666666666146</v>
      </c>
      <c r="C1040" s="17">
        <f t="shared" si="114"/>
        <v>85.916666666666146</v>
      </c>
      <c r="D1040" s="1" cm="1">
        <f t="array" ref="D1040">_xlfn.XLOOKUP(_xlfn.FLOOR.MATH(C1040),'Mortality Tables'!$B$4:$B$124,_xlfn.XLOOKUP(mortality_table,'Mortality Tables'!$B$3:$G$3,'Mortality Tables'!$B$4:$G$124,0,0),0,0)</f>
        <v>0.1106</v>
      </c>
      <c r="E1040" s="1">
        <f t="shared" si="115"/>
        <v>9.2166666666666664E-3</v>
      </c>
      <c r="F1040" s="1">
        <f t="shared" si="112"/>
        <v>0.99078333333333335</v>
      </c>
      <c r="G1040" s="1">
        <f t="shared" si="113"/>
        <v>0.31351111215923899</v>
      </c>
      <c r="H1040" s="34">
        <f t="shared" si="116"/>
        <v>1.5117711559704271E-2</v>
      </c>
      <c r="I1040" s="36">
        <f t="shared" si="117"/>
        <v>4.73957056438547E-3</v>
      </c>
    </row>
    <row r="1041" spans="2:9" x14ac:dyDescent="0.35">
      <c r="B1041" s="16">
        <f t="shared" si="118"/>
        <v>85.999999999999474</v>
      </c>
      <c r="C1041" s="17">
        <f t="shared" si="114"/>
        <v>85.999999999999474</v>
      </c>
      <c r="D1041" s="1" cm="1">
        <f t="array" ref="D1041">_xlfn.XLOOKUP(_xlfn.FLOOR.MATH(C1041),'Mortality Tables'!$B$4:$B$124,_xlfn.XLOOKUP(mortality_table,'Mortality Tables'!$B$3:$G$3,'Mortality Tables'!$B$4:$G$124,0,0),0,0)</f>
        <v>0.1106</v>
      </c>
      <c r="E1041" s="1">
        <f t="shared" si="115"/>
        <v>9.2166666666666664E-3</v>
      </c>
      <c r="F1041" s="1">
        <f t="shared" si="112"/>
        <v>0.99078333333333335</v>
      </c>
      <c r="G1041" s="1">
        <f t="shared" si="113"/>
        <v>0.31062158474217133</v>
      </c>
      <c r="H1041" s="34">
        <f t="shared" si="116"/>
        <v>1.5056370044410929E-2</v>
      </c>
      <c r="I1041" s="36">
        <f t="shared" si="117"/>
        <v>4.6768335236594795E-3</v>
      </c>
    </row>
    <row r="1042" spans="2:9" x14ac:dyDescent="0.35">
      <c r="B1042" s="16">
        <f t="shared" si="118"/>
        <v>86.083333333332803</v>
      </c>
      <c r="C1042" s="17">
        <f t="shared" si="114"/>
        <v>86.083333333332803</v>
      </c>
      <c r="D1042" s="1" cm="1">
        <f t="array" ref="D1042">_xlfn.XLOOKUP(_xlfn.FLOOR.MATH(C1042),'Mortality Tables'!$B$4:$B$124,_xlfn.XLOOKUP(mortality_table,'Mortality Tables'!$B$3:$G$3,'Mortality Tables'!$B$4:$G$124,0,0),0,0)</f>
        <v>0.12092899999999999</v>
      </c>
      <c r="E1042" s="1">
        <f t="shared" si="115"/>
        <v>1.0077416666666665E-2</v>
      </c>
      <c r="F1042" s="1">
        <f t="shared" si="112"/>
        <v>0.98992258333333338</v>
      </c>
      <c r="G1042" s="1">
        <f t="shared" si="113"/>
        <v>0.30775868913613097</v>
      </c>
      <c r="H1042" s="34">
        <f t="shared" si="116"/>
        <v>1.499527742799912E-2</v>
      </c>
      <c r="I1042" s="36">
        <f t="shared" si="117"/>
        <v>4.6149269244736228E-3</v>
      </c>
    </row>
    <row r="1043" spans="2:9" x14ac:dyDescent="0.35">
      <c r="B1043" s="16">
        <f t="shared" si="118"/>
        <v>86.166666666666131</v>
      </c>
      <c r="C1043" s="17">
        <f t="shared" si="114"/>
        <v>86.166666666666131</v>
      </c>
      <c r="D1043" s="1" cm="1">
        <f t="array" ref="D1043">_xlfn.XLOOKUP(_xlfn.FLOOR.MATH(C1043),'Mortality Tables'!$B$4:$B$124,_xlfn.XLOOKUP(mortality_table,'Mortality Tables'!$B$3:$G$3,'Mortality Tables'!$B$4:$G$124,0,0),0,0)</f>
        <v>0.12092899999999999</v>
      </c>
      <c r="E1043" s="1">
        <f t="shared" si="115"/>
        <v>1.0077416666666665E-2</v>
      </c>
      <c r="F1043" s="1">
        <f t="shared" si="112"/>
        <v>0.98992258333333338</v>
      </c>
      <c r="G1043" s="1">
        <f t="shared" si="113"/>
        <v>0.30465727659291908</v>
      </c>
      <c r="H1043" s="34">
        <f t="shared" si="116"/>
        <v>1.4934432700538562E-2</v>
      </c>
      <c r="I1043" s="36">
        <f t="shared" si="117"/>
        <v>4.5498835940063122E-3</v>
      </c>
    </row>
    <row r="1044" spans="2:9" x14ac:dyDescent="0.35">
      <c r="B1044" s="16">
        <f t="shared" si="118"/>
        <v>86.24999999999946</v>
      </c>
      <c r="C1044" s="17">
        <f t="shared" si="114"/>
        <v>86.24999999999946</v>
      </c>
      <c r="D1044" s="1" cm="1">
        <f t="array" ref="D1044">_xlfn.XLOOKUP(_xlfn.FLOOR.MATH(C1044),'Mortality Tables'!$B$4:$B$124,_xlfn.XLOOKUP(mortality_table,'Mortality Tables'!$B$3:$G$3,'Mortality Tables'!$B$4:$G$124,0,0),0,0)</f>
        <v>0.12092899999999999</v>
      </c>
      <c r="E1044" s="1">
        <f t="shared" si="115"/>
        <v>1.0077416666666665E-2</v>
      </c>
      <c r="F1044" s="1">
        <f t="shared" si="112"/>
        <v>0.98992258333333338</v>
      </c>
      <c r="G1044" s="1">
        <f t="shared" si="113"/>
        <v>0.30158711827616036</v>
      </c>
      <c r="H1044" s="34">
        <f t="shared" si="116"/>
        <v>1.4873834856196866E-2</v>
      </c>
      <c r="I1044" s="36">
        <f t="shared" si="117"/>
        <v>4.4857569919959208E-3</v>
      </c>
    </row>
    <row r="1045" spans="2:9" x14ac:dyDescent="0.35">
      <c r="B1045" s="16">
        <f t="shared" si="118"/>
        <v>86.333333333332789</v>
      </c>
      <c r="C1045" s="17">
        <f t="shared" si="114"/>
        <v>86.333333333332789</v>
      </c>
      <c r="D1045" s="1" cm="1">
        <f t="array" ref="D1045">_xlfn.XLOOKUP(_xlfn.FLOOR.MATH(C1045),'Mortality Tables'!$B$4:$B$124,_xlfn.XLOOKUP(mortality_table,'Mortality Tables'!$B$3:$G$3,'Mortality Tables'!$B$4:$G$124,0,0),0,0)</f>
        <v>0.12092899999999999</v>
      </c>
      <c r="E1045" s="1">
        <f t="shared" si="115"/>
        <v>1.0077416666666665E-2</v>
      </c>
      <c r="F1045" s="1">
        <f t="shared" si="112"/>
        <v>0.98992258333333338</v>
      </c>
      <c r="G1045" s="1">
        <f t="shared" si="113"/>
        <v>0.29854789922399222</v>
      </c>
      <c r="H1045" s="34">
        <f t="shared" si="116"/>
        <v>1.4813482893222924E-2</v>
      </c>
      <c r="I1045" s="36">
        <f t="shared" si="117"/>
        <v>4.4225341979622504E-3</v>
      </c>
    </row>
    <row r="1046" spans="2:9" x14ac:dyDescent="0.35">
      <c r="B1046" s="16">
        <f t="shared" si="118"/>
        <v>86.416666666666117</v>
      </c>
      <c r="C1046" s="17">
        <f t="shared" si="114"/>
        <v>86.416666666666117</v>
      </c>
      <c r="D1046" s="1" cm="1">
        <f t="array" ref="D1046">_xlfn.XLOOKUP(_xlfn.FLOOR.MATH(C1046),'Mortality Tables'!$B$4:$B$124,_xlfn.XLOOKUP(mortality_table,'Mortality Tables'!$B$3:$G$3,'Mortality Tables'!$B$4:$G$124,0,0),0,0)</f>
        <v>0.12092899999999999</v>
      </c>
      <c r="E1046" s="1">
        <f t="shared" si="115"/>
        <v>1.0077416666666665E-2</v>
      </c>
      <c r="F1046" s="1">
        <f t="shared" si="112"/>
        <v>0.98992258333333338</v>
      </c>
      <c r="G1046" s="1">
        <f t="shared" si="113"/>
        <v>0.29553930764855407</v>
      </c>
      <c r="H1046" s="34">
        <f t="shared" si="116"/>
        <v>1.4753375813930292E-2</v>
      </c>
      <c r="I1046" s="36">
        <f t="shared" si="117"/>
        <v>4.3602024735278815E-3</v>
      </c>
    </row>
    <row r="1047" spans="2:9" x14ac:dyDescent="0.35">
      <c r="B1047" s="16">
        <f t="shared" si="118"/>
        <v>86.499999999999446</v>
      </c>
      <c r="C1047" s="17">
        <f t="shared" si="114"/>
        <v>86.499999999999446</v>
      </c>
      <c r="D1047" s="1" cm="1">
        <f t="array" ref="D1047">_xlfn.XLOOKUP(_xlfn.FLOOR.MATH(C1047),'Mortality Tables'!$B$4:$B$124,_xlfn.XLOOKUP(mortality_table,'Mortality Tables'!$B$3:$G$3,'Mortality Tables'!$B$4:$G$124,0,0),0,0)</f>
        <v>0.12092899999999999</v>
      </c>
      <c r="E1047" s="1">
        <f t="shared" si="115"/>
        <v>1.0077416666666665E-2</v>
      </c>
      <c r="F1047" s="1">
        <f t="shared" si="112"/>
        <v>0.98992258333333338</v>
      </c>
      <c r="G1047" s="1">
        <f t="shared" si="113"/>
        <v>0.29256103490400143</v>
      </c>
      <c r="H1047" s="34">
        <f t="shared" si="116"/>
        <v>1.4693512624680747E-2</v>
      </c>
      <c r="I1047" s="36">
        <f t="shared" si="117"/>
        <v>4.29874925985161E-3</v>
      </c>
    </row>
    <row r="1048" spans="2:9" x14ac:dyDescent="0.35">
      <c r="B1048" s="16">
        <f t="shared" si="118"/>
        <v>86.583333333332774</v>
      </c>
      <c r="C1048" s="17">
        <f t="shared" si="114"/>
        <v>86.583333333332774</v>
      </c>
      <c r="D1048" s="1" cm="1">
        <f t="array" ref="D1048">_xlfn.XLOOKUP(_xlfn.FLOOR.MATH(C1048),'Mortality Tables'!$B$4:$B$124,_xlfn.XLOOKUP(mortality_table,'Mortality Tables'!$B$3:$G$3,'Mortality Tables'!$B$4:$G$124,0,0),0,0)</f>
        <v>0.12092899999999999</v>
      </c>
      <c r="E1048" s="1">
        <f t="shared" si="115"/>
        <v>1.0077416666666665E-2</v>
      </c>
      <c r="F1048" s="1">
        <f t="shared" si="112"/>
        <v>0.98992258333333338</v>
      </c>
      <c r="G1048" s="1">
        <f t="shared" si="113"/>
        <v>0.2896127754548426</v>
      </c>
      <c r="H1048" s="34">
        <f t="shared" si="116"/>
        <v>1.4633892335867843E-2</v>
      </c>
      <c r="I1048" s="36">
        <f t="shared" si="117"/>
        <v>4.2381621750980352E-3</v>
      </c>
    </row>
    <row r="1049" spans="2:9" x14ac:dyDescent="0.35">
      <c r="B1049" s="16">
        <f t="shared" si="118"/>
        <v>86.666666666666103</v>
      </c>
      <c r="C1049" s="17">
        <f t="shared" si="114"/>
        <v>86.666666666666103</v>
      </c>
      <c r="D1049" s="1" cm="1">
        <f t="array" ref="D1049">_xlfn.XLOOKUP(_xlfn.FLOOR.MATH(C1049),'Mortality Tables'!$B$4:$B$124,_xlfn.XLOOKUP(mortality_table,'Mortality Tables'!$B$3:$G$3,'Mortality Tables'!$B$4:$G$124,0,0),0,0)</f>
        <v>0.12092899999999999</v>
      </c>
      <c r="E1049" s="1">
        <f t="shared" si="115"/>
        <v>1.0077416666666665E-2</v>
      </c>
      <c r="F1049" s="1">
        <f t="shared" si="112"/>
        <v>0.98992258333333338</v>
      </c>
      <c r="G1049" s="1">
        <f t="shared" si="113"/>
        <v>0.28669422684459439</v>
      </c>
      <c r="H1049" s="34">
        <f t="shared" si="116"/>
        <v>1.4574513961900553E-2</v>
      </c>
      <c r="I1049" s="36">
        <f t="shared" si="117"/>
        <v>4.1784290119428252E-3</v>
      </c>
    </row>
    <row r="1050" spans="2:9" x14ac:dyDescent="0.35">
      <c r="B1050" s="16">
        <f t="shared" si="118"/>
        <v>86.749999999999432</v>
      </c>
      <c r="C1050" s="17">
        <f t="shared" si="114"/>
        <v>86.749999999999432</v>
      </c>
      <c r="D1050" s="1" cm="1">
        <f t="array" ref="D1050">_xlfn.XLOOKUP(_xlfn.FLOOR.MATH(C1050),'Mortality Tables'!$B$4:$B$124,_xlfn.XLOOKUP(mortality_table,'Mortality Tables'!$B$3:$G$3,'Mortality Tables'!$B$4:$G$124,0,0),0,0)</f>
        <v>0.12092899999999999</v>
      </c>
      <c r="E1050" s="1">
        <f t="shared" si="115"/>
        <v>1.0077416666666665E-2</v>
      </c>
      <c r="F1050" s="1">
        <f t="shared" si="112"/>
        <v>0.98992258333333338</v>
      </c>
      <c r="G1050" s="1">
        <f t="shared" si="113"/>
        <v>0.2838050896647536</v>
      </c>
      <c r="H1050" s="34">
        <f t="shared" si="116"/>
        <v>1.4515376521186981E-2</v>
      </c>
      <c r="I1050" s="36">
        <f t="shared" si="117"/>
        <v>4.1195377351131305E-3</v>
      </c>
    </row>
    <row r="1051" spans="2:9" x14ac:dyDescent="0.35">
      <c r="B1051" s="16">
        <f t="shared" si="118"/>
        <v>86.83333333333276</v>
      </c>
      <c r="C1051" s="17">
        <f t="shared" si="114"/>
        <v>86.83333333333276</v>
      </c>
      <c r="D1051" s="1" cm="1">
        <f t="array" ref="D1051">_xlfn.XLOOKUP(_xlfn.FLOOR.MATH(C1051),'Mortality Tables'!$B$4:$B$124,_xlfn.XLOOKUP(mortality_table,'Mortality Tables'!$B$3:$G$3,'Mortality Tables'!$B$4:$G$124,0,0),0,0)</f>
        <v>0.12092899999999999</v>
      </c>
      <c r="E1051" s="1">
        <f t="shared" si="115"/>
        <v>1.0077416666666665E-2</v>
      </c>
      <c r="F1051" s="1">
        <f t="shared" ref="F1051:F1089" si="119">1-E1051</f>
        <v>0.98992258333333338</v>
      </c>
      <c r="G1051" s="1">
        <f t="shared" ref="G1051:G1089" si="120">G1050*F1050</f>
        <v>0.28094506752408122</v>
      </c>
      <c r="H1051" s="34">
        <f t="shared" si="116"/>
        <v>1.4456479036118124E-2</v>
      </c>
      <c r="I1051" s="36">
        <f t="shared" si="117"/>
        <v>4.0614764789626704E-3</v>
      </c>
    </row>
    <row r="1052" spans="2:9" x14ac:dyDescent="0.35">
      <c r="B1052" s="16">
        <f t="shared" si="118"/>
        <v>86.916666666666089</v>
      </c>
      <c r="C1052" s="17">
        <f t="shared" si="114"/>
        <v>86.916666666666089</v>
      </c>
      <c r="D1052" s="1" cm="1">
        <f t="array" ref="D1052">_xlfn.XLOOKUP(_xlfn.FLOOR.MATH(C1052),'Mortality Tables'!$B$4:$B$124,_xlfn.XLOOKUP(mortality_table,'Mortality Tables'!$B$3:$G$3,'Mortality Tables'!$B$4:$G$124,0,0),0,0)</f>
        <v>0.12092899999999999</v>
      </c>
      <c r="E1052" s="1">
        <f t="shared" si="115"/>
        <v>1.0077416666666665E-2</v>
      </c>
      <c r="F1052" s="1">
        <f t="shared" si="119"/>
        <v>0.98992258333333338</v>
      </c>
      <c r="G1052" s="1">
        <f t="shared" si="120"/>
        <v>0.27811386701819624</v>
      </c>
      <c r="H1052" s="34">
        <f t="shared" si="116"/>
        <v>1.4397820533051719E-2</v>
      </c>
      <c r="I1052" s="36">
        <f t="shared" si="117"/>
        <v>4.0042335450810014E-3</v>
      </c>
    </row>
    <row r="1053" spans="2:9" x14ac:dyDescent="0.35">
      <c r="B1053" s="16">
        <f t="shared" si="118"/>
        <v>86.999999999999417</v>
      </c>
      <c r="C1053" s="17">
        <f t="shared" si="114"/>
        <v>86.999999999999417</v>
      </c>
      <c r="D1053" s="1" cm="1">
        <f t="array" ref="D1053">_xlfn.XLOOKUP(_xlfn.FLOOR.MATH(C1053),'Mortality Tables'!$B$4:$B$124,_xlfn.XLOOKUP(mortality_table,'Mortality Tables'!$B$3:$G$3,'Mortality Tables'!$B$4:$G$124,0,0),0,0)</f>
        <v>0.12092899999999999</v>
      </c>
      <c r="E1053" s="1">
        <f t="shared" si="115"/>
        <v>1.0077416666666665E-2</v>
      </c>
      <c r="F1053" s="1">
        <f t="shared" si="119"/>
        <v>0.98992258333333338</v>
      </c>
      <c r="G1053" s="1">
        <f t="shared" si="120"/>
        <v>0.27531119769947598</v>
      </c>
      <c r="H1053" s="34">
        <f t="shared" si="116"/>
        <v>1.433940004229616E-2</v>
      </c>
      <c r="I1053" s="36">
        <f t="shared" si="117"/>
        <v>3.9477973999364722E-3</v>
      </c>
    </row>
    <row r="1054" spans="2:9" x14ac:dyDescent="0.35">
      <c r="B1054" s="16">
        <f t="shared" si="118"/>
        <v>87.083333333332746</v>
      </c>
      <c r="C1054" s="17">
        <f t="shared" si="114"/>
        <v>87.083333333332746</v>
      </c>
      <c r="D1054" s="1" cm="1">
        <f t="array" ref="D1054">_xlfn.XLOOKUP(_xlfn.FLOOR.MATH(C1054),'Mortality Tables'!$B$4:$B$124,_xlfn.XLOOKUP(mortality_table,'Mortality Tables'!$B$3:$G$3,'Mortality Tables'!$B$4:$G$124,0,0),0,0)</f>
        <v>0.13202800000000001</v>
      </c>
      <c r="E1054" s="1">
        <f t="shared" si="115"/>
        <v>1.1002333333333333E-2</v>
      </c>
      <c r="F1054" s="1">
        <f t="shared" si="119"/>
        <v>0.98899766666666666</v>
      </c>
      <c r="G1054" s="1">
        <f t="shared" si="120"/>
        <v>0.27253677204725935</v>
      </c>
      <c r="H1054" s="34">
        <f t="shared" si="116"/>
        <v>1.4281216598094434E-2</v>
      </c>
      <c r="I1054" s="36">
        <f t="shared" si="117"/>
        <v>3.8921566725523995E-3</v>
      </c>
    </row>
    <row r="1055" spans="2:9" x14ac:dyDescent="0.35">
      <c r="B1055" s="16">
        <f t="shared" si="118"/>
        <v>87.166666666666075</v>
      </c>
      <c r="C1055" s="17">
        <f t="shared" si="114"/>
        <v>87.166666666666075</v>
      </c>
      <c r="D1055" s="1" cm="1">
        <f t="array" ref="D1055">_xlfn.XLOOKUP(_xlfn.FLOOR.MATH(C1055),'Mortality Tables'!$B$4:$B$124,_xlfn.XLOOKUP(mortality_table,'Mortality Tables'!$B$3:$G$3,'Mortality Tables'!$B$4:$G$124,0,0),0,0)</f>
        <v>0.13202800000000001</v>
      </c>
      <c r="E1055" s="1">
        <f t="shared" si="115"/>
        <v>1.1002333333333333E-2</v>
      </c>
      <c r="F1055" s="1">
        <f t="shared" si="119"/>
        <v>0.98899766666666666</v>
      </c>
      <c r="G1055" s="1">
        <f t="shared" si="120"/>
        <v>0.2695382316356047</v>
      </c>
      <c r="H1055" s="34">
        <f t="shared" si="116"/>
        <v>1.4223269238608191E-2</v>
      </c>
      <c r="I1055" s="36">
        <f t="shared" si="117"/>
        <v>3.8337148386515456E-3</v>
      </c>
    </row>
    <row r="1056" spans="2:9" x14ac:dyDescent="0.35">
      <c r="B1056" s="16">
        <f t="shared" si="118"/>
        <v>87.249999999999403</v>
      </c>
      <c r="C1056" s="17">
        <f t="shared" si="114"/>
        <v>87.249999999999403</v>
      </c>
      <c r="D1056" s="1" cm="1">
        <f t="array" ref="D1056">_xlfn.XLOOKUP(_xlfn.FLOOR.MATH(C1056),'Mortality Tables'!$B$4:$B$124,_xlfn.XLOOKUP(mortality_table,'Mortality Tables'!$B$3:$G$3,'Mortality Tables'!$B$4:$G$124,0,0),0,0)</f>
        <v>0.13202800000000001</v>
      </c>
      <c r="E1056" s="1">
        <f t="shared" si="115"/>
        <v>1.1002333333333333E-2</v>
      </c>
      <c r="F1056" s="1">
        <f t="shared" si="119"/>
        <v>0.98899766666666666</v>
      </c>
      <c r="G1056" s="1">
        <f t="shared" si="120"/>
        <v>0.26657268216507257</v>
      </c>
      <c r="H1056" s="34">
        <f t="shared" si="116"/>
        <v>1.4165557005901826E-2</v>
      </c>
      <c r="I1056" s="36">
        <f t="shared" si="117"/>
        <v>3.7761505254254846E-3</v>
      </c>
    </row>
    <row r="1057" spans="2:9" x14ac:dyDescent="0.35">
      <c r="B1057" s="16">
        <f t="shared" si="118"/>
        <v>87.333333333332732</v>
      </c>
      <c r="C1057" s="17">
        <f t="shared" si="114"/>
        <v>87.333333333332732</v>
      </c>
      <c r="D1057" s="1" cm="1">
        <f t="array" ref="D1057">_xlfn.XLOOKUP(_xlfn.FLOOR.MATH(C1057),'Mortality Tables'!$B$4:$B$124,_xlfn.XLOOKUP(mortality_table,'Mortality Tables'!$B$3:$G$3,'Mortality Tables'!$B$4:$G$124,0,0),0,0)</f>
        <v>0.13202800000000001</v>
      </c>
      <c r="E1057" s="1">
        <f t="shared" si="115"/>
        <v>1.1002333333333333E-2</v>
      </c>
      <c r="F1057" s="1">
        <f t="shared" si="119"/>
        <v>0.98899766666666666</v>
      </c>
      <c r="G1057" s="1">
        <f t="shared" si="120"/>
        <v>0.26363976065833172</v>
      </c>
      <c r="H1057" s="34">
        <f t="shared" si="116"/>
        <v>1.4108078945926642E-2</v>
      </c>
      <c r="I1057" s="36">
        <f t="shared" si="117"/>
        <v>3.719450556652949E-3</v>
      </c>
    </row>
    <row r="1058" spans="2:9" x14ac:dyDescent="0.35">
      <c r="B1058" s="16">
        <f t="shared" si="118"/>
        <v>87.41666666666606</v>
      </c>
      <c r="C1058" s="17">
        <f t="shared" si="114"/>
        <v>87.41666666666606</v>
      </c>
      <c r="D1058" s="1" cm="1">
        <f t="array" ref="D1058">_xlfn.XLOOKUP(_xlfn.FLOOR.MATH(C1058),'Mortality Tables'!$B$4:$B$124,_xlfn.XLOOKUP(mortality_table,'Mortality Tables'!$B$3:$G$3,'Mortality Tables'!$B$4:$G$124,0,0),0,0)</f>
        <v>0.13202800000000001</v>
      </c>
      <c r="E1058" s="1">
        <f t="shared" si="115"/>
        <v>1.1002333333333333E-2</v>
      </c>
      <c r="F1058" s="1">
        <f t="shared" si="119"/>
        <v>0.98899766666666666</v>
      </c>
      <c r="G1058" s="1">
        <f t="shared" si="120"/>
        <v>0.26073910813164852</v>
      </c>
      <c r="H1058" s="34">
        <f t="shared" si="116"/>
        <v>1.4050834108505088E-2</v>
      </c>
      <c r="I1058" s="36">
        <f t="shared" si="117"/>
        <v>3.6636019539573635E-3</v>
      </c>
    </row>
    <row r="1059" spans="2:9" x14ac:dyDescent="0.35">
      <c r="B1059" s="16">
        <f t="shared" si="118"/>
        <v>87.499999999999389</v>
      </c>
      <c r="C1059" s="17">
        <f t="shared" si="114"/>
        <v>87.499999999999389</v>
      </c>
      <c r="D1059" s="1" cm="1">
        <f t="array" ref="D1059">_xlfn.XLOOKUP(_xlfn.FLOOR.MATH(C1059),'Mortality Tables'!$B$4:$B$124,_xlfn.XLOOKUP(mortality_table,'Mortality Tables'!$B$3:$G$3,'Mortality Tables'!$B$4:$G$124,0,0),0,0)</f>
        <v>0.13202800000000001</v>
      </c>
      <c r="E1059" s="1">
        <f t="shared" si="115"/>
        <v>1.1002333333333333E-2</v>
      </c>
      <c r="F1059" s="1">
        <f t="shared" si="119"/>
        <v>0.98899766666666666</v>
      </c>
      <c r="G1059" s="1">
        <f t="shared" si="120"/>
        <v>0.25787036955094811</v>
      </c>
      <c r="H1059" s="34">
        <f t="shared" si="116"/>
        <v>1.3993821547315046E-2</v>
      </c>
      <c r="I1059" s="36">
        <f t="shared" si="117"/>
        <v>3.6085919338361512E-3</v>
      </c>
    </row>
    <row r="1060" spans="2:9" x14ac:dyDescent="0.35">
      <c r="B1060" s="16">
        <f t="shared" si="118"/>
        <v>87.583333333332718</v>
      </c>
      <c r="C1060" s="17">
        <f t="shared" si="114"/>
        <v>87.583333333332718</v>
      </c>
      <c r="D1060" s="1" cm="1">
        <f t="array" ref="D1060">_xlfn.XLOOKUP(_xlfn.FLOOR.MATH(C1060),'Mortality Tables'!$B$4:$B$124,_xlfn.XLOOKUP(mortality_table,'Mortality Tables'!$B$3:$G$3,'Mortality Tables'!$B$4:$G$124,0,0),0,0)</f>
        <v>0.13202800000000001</v>
      </c>
      <c r="E1060" s="1">
        <f t="shared" si="115"/>
        <v>1.1002333333333333E-2</v>
      </c>
      <c r="F1060" s="1">
        <f t="shared" si="119"/>
        <v>0.98899766666666666</v>
      </c>
      <c r="G1060" s="1">
        <f t="shared" si="120"/>
        <v>0.2550331937883587</v>
      </c>
      <c r="H1060" s="34">
        <f t="shared" si="116"/>
        <v>1.3937040319874172E-2</v>
      </c>
      <c r="I1060" s="36">
        <f t="shared" si="117"/>
        <v>3.5544079047346382E-3</v>
      </c>
    </row>
    <row r="1061" spans="2:9" x14ac:dyDescent="0.35">
      <c r="B1061" s="16">
        <f t="shared" si="118"/>
        <v>87.666666666666046</v>
      </c>
      <c r="C1061" s="17">
        <f t="shared" si="114"/>
        <v>87.666666666666046</v>
      </c>
      <c r="D1061" s="1" cm="1">
        <f t="array" ref="D1061">_xlfn.XLOOKUP(_xlfn.FLOOR.MATH(C1061),'Mortality Tables'!$B$4:$B$124,_xlfn.XLOOKUP(mortality_table,'Mortality Tables'!$B$3:$G$3,'Mortality Tables'!$B$4:$G$124,0,0),0,0)</f>
        <v>0.13202800000000001</v>
      </c>
      <c r="E1061" s="1">
        <f t="shared" si="115"/>
        <v>1.1002333333333333E-2</v>
      </c>
      <c r="F1061" s="1">
        <f t="shared" si="119"/>
        <v>0.98899766666666666</v>
      </c>
      <c r="G1061" s="1">
        <f t="shared" si="120"/>
        <v>0.2522272335792346</v>
      </c>
      <c r="H1061" s="34">
        <f t="shared" si="116"/>
        <v>1.3880489487524373E-2</v>
      </c>
      <c r="I1061" s="36">
        <f t="shared" si="117"/>
        <v>3.5010374641639202E-3</v>
      </c>
    </row>
    <row r="1062" spans="2:9" x14ac:dyDescent="0.35">
      <c r="B1062" s="16">
        <f t="shared" si="118"/>
        <v>87.749999999999375</v>
      </c>
      <c r="C1062" s="17">
        <f t="shared" si="114"/>
        <v>87.749999999999375</v>
      </c>
      <c r="D1062" s="1" cm="1">
        <f t="array" ref="D1062">_xlfn.XLOOKUP(_xlfn.FLOOR.MATH(C1062),'Mortality Tables'!$B$4:$B$124,_xlfn.XLOOKUP(mortality_table,'Mortality Tables'!$B$3:$G$3,'Mortality Tables'!$B$4:$G$124,0,0),0,0)</f>
        <v>0.13202800000000001</v>
      </c>
      <c r="E1062" s="1">
        <f t="shared" si="115"/>
        <v>1.1002333333333333E-2</v>
      </c>
      <c r="F1062" s="1">
        <f t="shared" si="119"/>
        <v>0.98899766666666666</v>
      </c>
      <c r="G1062" s="1">
        <f t="shared" si="120"/>
        <v>0.24945214547965133</v>
      </c>
      <c r="H1062" s="34">
        <f t="shared" si="116"/>
        <v>1.3824168115416207E-2</v>
      </c>
      <c r="I1062" s="36">
        <f t="shared" si="117"/>
        <v>3.4484683958619609E-3</v>
      </c>
    </row>
    <row r="1063" spans="2:9" x14ac:dyDescent="0.35">
      <c r="B1063" s="16">
        <f t="shared" si="118"/>
        <v>87.833333333332703</v>
      </c>
      <c r="C1063" s="17">
        <f t="shared" si="114"/>
        <v>87.833333333332703</v>
      </c>
      <c r="D1063" s="1" cm="1">
        <f t="array" ref="D1063">_xlfn.XLOOKUP(_xlfn.FLOOR.MATH(C1063),'Mortality Tables'!$B$4:$B$124,_xlfn.XLOOKUP(mortality_table,'Mortality Tables'!$B$3:$G$3,'Mortality Tables'!$B$4:$G$124,0,0),0,0)</f>
        <v>0.13202800000000001</v>
      </c>
      <c r="E1063" s="1">
        <f t="shared" si="115"/>
        <v>1.1002333333333333E-2</v>
      </c>
      <c r="F1063" s="1">
        <f t="shared" si="119"/>
        <v>0.98899766666666666</v>
      </c>
      <c r="G1063" s="1">
        <f t="shared" si="120"/>
        <v>0.24670758982436905</v>
      </c>
      <c r="H1063" s="34">
        <f t="shared" si="116"/>
        <v>1.3768075272493487E-2</v>
      </c>
      <c r="I1063" s="36">
        <f t="shared" si="117"/>
        <v>3.3966886669973616E-3</v>
      </c>
    </row>
    <row r="1064" spans="2:9" x14ac:dyDescent="0.35">
      <c r="B1064" s="16">
        <f t="shared" si="118"/>
        <v>87.916666666666032</v>
      </c>
      <c r="C1064" s="17">
        <f t="shared" si="114"/>
        <v>87.916666666666032</v>
      </c>
      <c r="D1064" s="1" cm="1">
        <f t="array" ref="D1064">_xlfn.XLOOKUP(_xlfn.FLOOR.MATH(C1064),'Mortality Tables'!$B$4:$B$124,_xlfn.XLOOKUP(mortality_table,'Mortality Tables'!$B$3:$G$3,'Mortality Tables'!$B$4:$G$124,0,0),0,0)</f>
        <v>0.13202800000000001</v>
      </c>
      <c r="E1064" s="1">
        <f t="shared" si="115"/>
        <v>1.1002333333333333E-2</v>
      </c>
      <c r="F1064" s="1">
        <f t="shared" si="119"/>
        <v>0.98899766666666666</v>
      </c>
      <c r="G1064" s="1">
        <f t="shared" si="120"/>
        <v>0.24399323068525808</v>
      </c>
      <c r="H1064" s="34">
        <f t="shared" si="116"/>
        <v>1.3712210031477866E-2</v>
      </c>
      <c r="I1064" s="36">
        <f t="shared" si="117"/>
        <v>3.3456864254150891E-3</v>
      </c>
    </row>
    <row r="1065" spans="2:9" x14ac:dyDescent="0.35">
      <c r="B1065" s="16">
        <f t="shared" si="118"/>
        <v>87.999999999999361</v>
      </c>
      <c r="C1065" s="17">
        <f t="shared" si="114"/>
        <v>87.999999999999361</v>
      </c>
      <c r="D1065" s="1" cm="1">
        <f t="array" ref="D1065">_xlfn.XLOOKUP(_xlfn.FLOOR.MATH(C1065),'Mortality Tables'!$B$4:$B$124,_xlfn.XLOOKUP(mortality_table,'Mortality Tables'!$B$3:$G$3,'Mortality Tables'!$B$4:$G$124,0,0),0,0)</f>
        <v>0.13202800000000001</v>
      </c>
      <c r="E1065" s="1">
        <f t="shared" si="115"/>
        <v>1.1002333333333333E-2</v>
      </c>
      <c r="F1065" s="1">
        <f t="shared" si="119"/>
        <v>0.98899766666666666</v>
      </c>
      <c r="G1065" s="1">
        <f t="shared" si="120"/>
        <v>0.24130873583018198</v>
      </c>
      <c r="H1065" s="34">
        <f t="shared" si="116"/>
        <v>1.3656571468853518E-2</v>
      </c>
      <c r="I1065" s="36">
        <f t="shared" si="117"/>
        <v>3.2954499969235738E-3</v>
      </c>
    </row>
    <row r="1066" spans="2:9" x14ac:dyDescent="0.35">
      <c r="B1066" s="16">
        <f t="shared" si="118"/>
        <v>88.083333333332689</v>
      </c>
      <c r="C1066" s="17">
        <f t="shared" si="114"/>
        <v>88.083333333332689</v>
      </c>
      <c r="D1066" s="1" cm="1">
        <f t="array" ref="D1066">_xlfn.XLOOKUP(_xlfn.FLOOR.MATH(C1066),'Mortality Tables'!$B$4:$B$124,_xlfn.XLOOKUP(mortality_table,'Mortality Tables'!$B$3:$G$3,'Mortality Tables'!$B$4:$G$124,0,0),0,0)</f>
        <v>0.143929</v>
      </c>
      <c r="E1066" s="1">
        <f t="shared" si="115"/>
        <v>1.1994083333333332E-2</v>
      </c>
      <c r="F1066" s="1">
        <f t="shared" si="119"/>
        <v>0.98800591666666671</v>
      </c>
      <c r="G1066" s="1">
        <f t="shared" si="120"/>
        <v>0.23865377668233304</v>
      </c>
      <c r="H1066" s="34">
        <f t="shared" si="116"/>
        <v>1.3601158664851877E-2</v>
      </c>
      <c r="I1066" s="36">
        <f t="shared" si="117"/>
        <v>3.2459678826225386E-3</v>
      </c>
    </row>
    <row r="1067" spans="2:9" x14ac:dyDescent="0.35">
      <c r="B1067" s="16">
        <f t="shared" si="118"/>
        <v>88.166666666666018</v>
      </c>
      <c r="C1067" s="17">
        <f t="shared" si="114"/>
        <v>88.166666666666018</v>
      </c>
      <c r="D1067" s="1" cm="1">
        <f t="array" ref="D1067">_xlfn.XLOOKUP(_xlfn.FLOOR.MATH(C1067),'Mortality Tables'!$B$4:$B$124,_xlfn.XLOOKUP(mortality_table,'Mortality Tables'!$B$3:$G$3,'Mortality Tables'!$B$4:$G$124,0,0),0,0)</f>
        <v>0.143929</v>
      </c>
      <c r="E1067" s="1">
        <f t="shared" si="115"/>
        <v>1.1994083333333332E-2</v>
      </c>
      <c r="F1067" s="1">
        <f t="shared" si="119"/>
        <v>0.98800591666666671</v>
      </c>
      <c r="G1067" s="1">
        <f t="shared" si="120"/>
        <v>0.23579134339699043</v>
      </c>
      <c r="H1067" s="34">
        <f t="shared" si="116"/>
        <v>1.3545970703436407E-2</v>
      </c>
      <c r="I1067" s="36">
        <f t="shared" si="117"/>
        <v>3.1940226297795457E-3</v>
      </c>
    </row>
    <row r="1068" spans="2:9" x14ac:dyDescent="0.35">
      <c r="B1068" s="16">
        <f t="shared" si="118"/>
        <v>88.249999999999346</v>
      </c>
      <c r="C1068" s="17">
        <f t="shared" si="114"/>
        <v>88.249999999999346</v>
      </c>
      <c r="D1068" s="1" cm="1">
        <f t="array" ref="D1068">_xlfn.XLOOKUP(_xlfn.FLOOR.MATH(C1068),'Mortality Tables'!$B$4:$B$124,_xlfn.XLOOKUP(mortality_table,'Mortality Tables'!$B$3:$G$3,'Mortality Tables'!$B$4:$G$124,0,0),0,0)</f>
        <v>0.143929</v>
      </c>
      <c r="E1068" s="1">
        <f t="shared" si="115"/>
        <v>1.1994083333333332E-2</v>
      </c>
      <c r="F1068" s="1">
        <f t="shared" si="119"/>
        <v>0.98800591666666671</v>
      </c>
      <c r="G1068" s="1">
        <f t="shared" si="120"/>
        <v>0.23296324237500832</v>
      </c>
      <c r="H1068" s="34">
        <f t="shared" si="116"/>
        <v>1.3491006672287484E-2</v>
      </c>
      <c r="I1068" s="36">
        <f t="shared" si="117"/>
        <v>3.1429086572789637E-3</v>
      </c>
    </row>
    <row r="1069" spans="2:9" x14ac:dyDescent="0.35">
      <c r="B1069" s="16">
        <f t="shared" si="118"/>
        <v>88.333333333332675</v>
      </c>
      <c r="C1069" s="17">
        <f t="shared" si="114"/>
        <v>88.333333333332675</v>
      </c>
      <c r="D1069" s="1" cm="1">
        <f t="array" ref="D1069">_xlfn.XLOOKUP(_xlfn.FLOOR.MATH(C1069),'Mortality Tables'!$B$4:$B$124,_xlfn.XLOOKUP(mortality_table,'Mortality Tables'!$B$3:$G$3,'Mortality Tables'!$B$4:$G$124,0,0),0,0)</f>
        <v>0.143929</v>
      </c>
      <c r="E1069" s="1">
        <f t="shared" si="115"/>
        <v>1.1994083333333332E-2</v>
      </c>
      <c r="F1069" s="1">
        <f t="shared" si="119"/>
        <v>0.98800591666666671</v>
      </c>
      <c r="G1069" s="1">
        <f t="shared" si="120"/>
        <v>0.23016906183235894</v>
      </c>
      <c r="H1069" s="34">
        <f t="shared" si="116"/>
        <v>1.3436265662787312E-2</v>
      </c>
      <c r="I1069" s="36">
        <f t="shared" si="117"/>
        <v>3.0926126621340943E-3</v>
      </c>
    </row>
    <row r="1070" spans="2:9" x14ac:dyDescent="0.35">
      <c r="B1070" s="16">
        <f t="shared" si="118"/>
        <v>88.416666666666003</v>
      </c>
      <c r="C1070" s="17">
        <f t="shared" si="114"/>
        <v>88.416666666666003</v>
      </c>
      <c r="D1070" s="1" cm="1">
        <f t="array" ref="D1070">_xlfn.XLOOKUP(_xlfn.FLOOR.MATH(C1070),'Mortality Tables'!$B$4:$B$124,_xlfn.XLOOKUP(mortality_table,'Mortality Tables'!$B$3:$G$3,'Mortality Tables'!$B$4:$G$124,0,0),0,0)</f>
        <v>0.143929</v>
      </c>
      <c r="E1070" s="1">
        <f t="shared" si="115"/>
        <v>1.1994083333333332E-2</v>
      </c>
      <c r="F1070" s="1">
        <f t="shared" si="119"/>
        <v>0.98800591666666671</v>
      </c>
      <c r="G1070" s="1">
        <f t="shared" si="120"/>
        <v>0.22740839492398648</v>
      </c>
      <c r="H1070" s="34">
        <f t="shared" si="116"/>
        <v>1.3381746770004881E-2</v>
      </c>
      <c r="I1070" s="36">
        <f t="shared" si="117"/>
        <v>3.0431215542460503E-3</v>
      </c>
    </row>
    <row r="1071" spans="2:9" x14ac:dyDescent="0.35">
      <c r="B1071" s="16">
        <f t="shared" si="118"/>
        <v>88.499999999999332</v>
      </c>
      <c r="C1071" s="17">
        <f t="shared" si="114"/>
        <v>88.499999999999332</v>
      </c>
      <c r="D1071" s="1" cm="1">
        <f t="array" ref="D1071">_xlfn.XLOOKUP(_xlfn.FLOOR.MATH(C1071),'Mortality Tables'!$B$4:$B$124,_xlfn.XLOOKUP(mortality_table,'Mortality Tables'!$B$3:$G$3,'Mortality Tables'!$B$4:$G$124,0,0),0,0)</f>
        <v>0.143929</v>
      </c>
      <c r="E1071" s="1">
        <f t="shared" si="115"/>
        <v>1.1994083333333332E-2</v>
      </c>
      <c r="F1071" s="1">
        <f t="shared" si="119"/>
        <v>0.98800591666666671</v>
      </c>
      <c r="G1071" s="1">
        <f t="shared" si="120"/>
        <v>0.22468083968456862</v>
      </c>
      <c r="H1071" s="34">
        <f t="shared" si="116"/>
        <v>1.3327449092681028E-2</v>
      </c>
      <c r="I1071" s="36">
        <f t="shared" si="117"/>
        <v>2.9944224529969156E-3</v>
      </c>
    </row>
    <row r="1072" spans="2:9" x14ac:dyDescent="0.35">
      <c r="B1072" s="16">
        <f t="shared" si="118"/>
        <v>88.583333333332661</v>
      </c>
      <c r="C1072" s="17">
        <f t="shared" si="114"/>
        <v>88.583333333332661</v>
      </c>
      <c r="D1072" s="1" cm="1">
        <f t="array" ref="D1072">_xlfn.XLOOKUP(_xlfn.FLOOR.MATH(C1072),'Mortality Tables'!$B$4:$B$124,_xlfn.XLOOKUP(mortality_table,'Mortality Tables'!$B$3:$G$3,'Mortality Tables'!$B$4:$G$124,0,0),0,0)</f>
        <v>0.143929</v>
      </c>
      <c r="E1072" s="1">
        <f t="shared" si="115"/>
        <v>1.1994083333333332E-2</v>
      </c>
      <c r="F1072" s="1">
        <f t="shared" si="119"/>
        <v>0.98800591666666671</v>
      </c>
      <c r="G1072" s="1">
        <f t="shared" si="120"/>
        <v>0.22198599896998861</v>
      </c>
      <c r="H1072" s="34">
        <f t="shared" si="116"/>
        <v>1.3273371733213543E-2</v>
      </c>
      <c r="I1072" s="36">
        <f t="shared" si="117"/>
        <v>2.9465026838974176E-3</v>
      </c>
    </row>
    <row r="1073" spans="2:9" x14ac:dyDescent="0.35">
      <c r="B1073" s="16">
        <f t="shared" si="118"/>
        <v>88.666666666665989</v>
      </c>
      <c r="C1073" s="17">
        <f t="shared" si="114"/>
        <v>88.666666666665989</v>
      </c>
      <c r="D1073" s="1" cm="1">
        <f t="array" ref="D1073">_xlfn.XLOOKUP(_xlfn.FLOOR.MATH(C1073),'Mortality Tables'!$B$4:$B$124,_xlfn.XLOOKUP(mortality_table,'Mortality Tables'!$B$3:$G$3,'Mortality Tables'!$B$4:$G$124,0,0),0,0)</f>
        <v>0.143929</v>
      </c>
      <c r="E1073" s="1">
        <f t="shared" si="115"/>
        <v>1.1994083333333332E-2</v>
      </c>
      <c r="F1073" s="1">
        <f t="shared" si="119"/>
        <v>0.98800591666666671</v>
      </c>
      <c r="G1073" s="1">
        <f t="shared" si="120"/>
        <v>0.21932348039950933</v>
      </c>
      <c r="H1073" s="34">
        <f t="shared" si="116"/>
        <v>1.3219513797642303E-2</v>
      </c>
      <c r="I1073" s="36">
        <f t="shared" si="117"/>
        <v>2.8993497752882449E-3</v>
      </c>
    </row>
    <row r="1074" spans="2:9" x14ac:dyDescent="0.35">
      <c r="B1074" s="16">
        <f t="shared" si="118"/>
        <v>88.749999999999318</v>
      </c>
      <c r="C1074" s="17">
        <f t="shared" si="114"/>
        <v>88.749999999999318</v>
      </c>
      <c r="D1074" s="1" cm="1">
        <f t="array" ref="D1074">_xlfn.XLOOKUP(_xlfn.FLOOR.MATH(C1074),'Mortality Tables'!$B$4:$B$124,_xlfn.XLOOKUP(mortality_table,'Mortality Tables'!$B$3:$G$3,'Mortality Tables'!$B$4:$G$124,0,0),0,0)</f>
        <v>0.143929</v>
      </c>
      <c r="E1074" s="1">
        <f t="shared" si="115"/>
        <v>1.1994083333333332E-2</v>
      </c>
      <c r="F1074" s="1">
        <f t="shared" si="119"/>
        <v>0.98800591666666671</v>
      </c>
      <c r="G1074" s="1">
        <f t="shared" si="120"/>
        <v>0.21669289629864091</v>
      </c>
      <c r="H1074" s="34">
        <f t="shared" si="116"/>
        <v>1.3165874395634526E-2</v>
      </c>
      <c r="I1074" s="36">
        <f t="shared" si="117"/>
        <v>2.852951455094164E-3</v>
      </c>
    </row>
    <row r="1075" spans="2:9" x14ac:dyDescent="0.35">
      <c r="B1075" s="16">
        <f t="shared" si="118"/>
        <v>88.833333333332646</v>
      </c>
      <c r="C1075" s="17">
        <f t="shared" si="114"/>
        <v>88.833333333332646</v>
      </c>
      <c r="D1075" s="1" cm="1">
        <f t="array" ref="D1075">_xlfn.XLOOKUP(_xlfn.FLOOR.MATH(C1075),'Mortality Tables'!$B$4:$B$124,_xlfn.XLOOKUP(mortality_table,'Mortality Tables'!$B$3:$G$3,'Mortality Tables'!$B$4:$G$124,0,0),0,0)</f>
        <v>0.143929</v>
      </c>
      <c r="E1075" s="1">
        <f t="shared" si="115"/>
        <v>1.1994083333333332E-2</v>
      </c>
      <c r="F1075" s="1">
        <f t="shared" si="119"/>
        <v>0.98800591666666671</v>
      </c>
      <c r="G1075" s="1">
        <f t="shared" si="120"/>
        <v>0.21409386364269367</v>
      </c>
      <c r="H1075" s="34">
        <f t="shared" si="116"/>
        <v>1.3112452640470031E-2</v>
      </c>
      <c r="I1075" s="36">
        <f t="shared" si="117"/>
        <v>2.8072956476300694E-3</v>
      </c>
    </row>
    <row r="1076" spans="2:9" x14ac:dyDescent="0.35">
      <c r="B1076" s="16">
        <f t="shared" si="118"/>
        <v>88.916666666665975</v>
      </c>
      <c r="C1076" s="17">
        <f t="shared" si="114"/>
        <v>88.916666666665975</v>
      </c>
      <c r="D1076" s="1" cm="1">
        <f t="array" ref="D1076">_xlfn.XLOOKUP(_xlfn.FLOOR.MATH(C1076),'Mortality Tables'!$B$4:$B$124,_xlfn.XLOOKUP(mortality_table,'Mortality Tables'!$B$3:$G$3,'Mortality Tables'!$B$4:$G$124,0,0),0,0)</f>
        <v>0.143929</v>
      </c>
      <c r="E1076" s="1">
        <f t="shared" si="115"/>
        <v>1.1994083333333332E-2</v>
      </c>
      <c r="F1076" s="1">
        <f t="shared" si="119"/>
        <v>0.98800591666666671</v>
      </c>
      <c r="G1076" s="1">
        <f t="shared" si="120"/>
        <v>0.21152600400100791</v>
      </c>
      <c r="H1076" s="34">
        <f t="shared" si="116"/>
        <v>1.305924764902657E-2</v>
      </c>
      <c r="I1076" s="36">
        <f t="shared" si="117"/>
        <v>2.7623704704581474E-3</v>
      </c>
    </row>
    <row r="1077" spans="2:9" x14ac:dyDescent="0.35">
      <c r="B1077" s="16">
        <f t="shared" si="118"/>
        <v>88.999999999999304</v>
      </c>
      <c r="C1077" s="17">
        <f t="shared" si="114"/>
        <v>88.999999999999304</v>
      </c>
      <c r="D1077" s="1" cm="1">
        <f t="array" ref="D1077">_xlfn.XLOOKUP(_xlfn.FLOOR.MATH(C1077),'Mortality Tables'!$B$4:$B$124,_xlfn.XLOOKUP(mortality_table,'Mortality Tables'!$B$3:$G$3,'Mortality Tables'!$B$4:$G$124,0,0),0,0)</f>
        <v>0.143929</v>
      </c>
      <c r="E1077" s="1">
        <f t="shared" si="115"/>
        <v>1.1994083333333332E-2</v>
      </c>
      <c r="F1077" s="1">
        <f t="shared" si="119"/>
        <v>0.98800591666666671</v>
      </c>
      <c r="G1077" s="1">
        <f t="shared" si="120"/>
        <v>0.20898894348185282</v>
      </c>
      <c r="H1077" s="34">
        <f t="shared" si="116"/>
        <v>1.300625854176529E-2</v>
      </c>
      <c r="I1077" s="36">
        <f t="shared" si="117"/>
        <v>2.7181642312953517E-3</v>
      </c>
    </row>
    <row r="1078" spans="2:9" x14ac:dyDescent="0.35">
      <c r="B1078" s="16">
        <f t="shared" si="118"/>
        <v>89.083333333332632</v>
      </c>
      <c r="C1078" s="17">
        <f t="shared" si="114"/>
        <v>89.083333333332632</v>
      </c>
      <c r="D1078" s="1" cm="1">
        <f t="array" ref="D1078">_xlfn.XLOOKUP(_xlfn.FLOOR.MATH(C1078),'Mortality Tables'!$B$4:$B$124,_xlfn.XLOOKUP(mortality_table,'Mortality Tables'!$B$3:$G$3,'Mortality Tables'!$B$4:$G$124,0,0),0,0)</f>
        <v>0.15665999999999999</v>
      </c>
      <c r="E1078" s="1">
        <f t="shared" si="115"/>
        <v>1.3054999999999999E-2</v>
      </c>
      <c r="F1078" s="1">
        <f t="shared" si="119"/>
        <v>0.98694499999999996</v>
      </c>
      <c r="G1078" s="1">
        <f t="shared" si="120"/>
        <v>0.2064823126779862</v>
      </c>
      <c r="H1078" s="34">
        <f t="shared" si="116"/>
        <v>1.2953484442716105E-2</v>
      </c>
      <c r="I1078" s="36">
        <f t="shared" si="117"/>
        <v>2.6746654249703364E-3</v>
      </c>
    </row>
    <row r="1079" spans="2:9" x14ac:dyDescent="0.35">
      <c r="B1079" s="16">
        <f t="shared" si="118"/>
        <v>89.166666666665961</v>
      </c>
      <c r="C1079" s="17">
        <f t="shared" si="114"/>
        <v>89.166666666665961</v>
      </c>
      <c r="D1079" s="1" cm="1">
        <f t="array" ref="D1079">_xlfn.XLOOKUP(_xlfn.FLOOR.MATH(C1079),'Mortality Tables'!$B$4:$B$124,_xlfn.XLOOKUP(mortality_table,'Mortality Tables'!$B$3:$G$3,'Mortality Tables'!$B$4:$G$124,0,0),0,0)</f>
        <v>0.15665999999999999</v>
      </c>
      <c r="E1079" s="1">
        <f t="shared" si="115"/>
        <v>1.3054999999999999E-2</v>
      </c>
      <c r="F1079" s="1">
        <f t="shared" si="119"/>
        <v>0.98694499999999996</v>
      </c>
      <c r="G1079" s="1">
        <f t="shared" si="120"/>
        <v>0.20378668608597508</v>
      </c>
      <c r="H1079" s="34">
        <f t="shared" si="116"/>
        <v>1.2900924479463276E-2</v>
      </c>
      <c r="I1079" s="36">
        <f t="shared" si="117"/>
        <v>2.6290366471152541E-3</v>
      </c>
    </row>
    <row r="1080" spans="2:9" x14ac:dyDescent="0.35">
      <c r="B1080" s="16">
        <f t="shared" si="118"/>
        <v>89.249999999999289</v>
      </c>
      <c r="C1080" s="17">
        <f t="shared" si="114"/>
        <v>89.249999999999289</v>
      </c>
      <c r="D1080" s="1" cm="1">
        <f t="array" ref="D1080">_xlfn.XLOOKUP(_xlfn.FLOOR.MATH(C1080),'Mortality Tables'!$B$4:$B$124,_xlfn.XLOOKUP(mortality_table,'Mortality Tables'!$B$3:$G$3,'Mortality Tables'!$B$4:$G$124,0,0),0,0)</f>
        <v>0.15665999999999999</v>
      </c>
      <c r="E1080" s="1">
        <f t="shared" si="115"/>
        <v>1.3054999999999999E-2</v>
      </c>
      <c r="F1080" s="1">
        <f t="shared" si="119"/>
        <v>0.98694499999999996</v>
      </c>
      <c r="G1080" s="1">
        <f t="shared" si="120"/>
        <v>0.20112625089912267</v>
      </c>
      <c r="H1080" s="34">
        <f t="shared" si="116"/>
        <v>1.2848577783130971E-2</v>
      </c>
      <c r="I1080" s="36">
        <f t="shared" si="117"/>
        <v>2.5841862789068933E-3</v>
      </c>
    </row>
    <row r="1081" spans="2:9" x14ac:dyDescent="0.35">
      <c r="B1081" s="16">
        <f t="shared" si="118"/>
        <v>89.333333333332618</v>
      </c>
      <c r="C1081" s="17">
        <f t="shared" si="114"/>
        <v>89.333333333332618</v>
      </c>
      <c r="D1081" s="1" cm="1">
        <f t="array" ref="D1081">_xlfn.XLOOKUP(_xlfn.FLOOR.MATH(C1081),'Mortality Tables'!$B$4:$B$124,_xlfn.XLOOKUP(mortality_table,'Mortality Tables'!$B$3:$G$3,'Mortality Tables'!$B$4:$G$124,0,0),0,0)</f>
        <v>0.15665999999999999</v>
      </c>
      <c r="E1081" s="1">
        <f t="shared" si="115"/>
        <v>1.3054999999999999E-2</v>
      </c>
      <c r="F1081" s="1">
        <f t="shared" si="119"/>
        <v>0.98694499999999996</v>
      </c>
      <c r="G1081" s="1">
        <f t="shared" si="120"/>
        <v>0.19850054769363462</v>
      </c>
      <c r="H1081" s="34">
        <f t="shared" si="116"/>
        <v>1.2796443488368899E-2</v>
      </c>
      <c r="I1081" s="36">
        <f t="shared" si="117"/>
        <v>2.5401010409718708E-3</v>
      </c>
    </row>
    <row r="1082" spans="2:9" x14ac:dyDescent="0.35">
      <c r="B1082" s="16">
        <f t="shared" si="118"/>
        <v>89.416666666665947</v>
      </c>
      <c r="C1082" s="17">
        <f t="shared" si="114"/>
        <v>89.416666666665947</v>
      </c>
      <c r="D1082" s="1" cm="1">
        <f t="array" ref="D1082">_xlfn.XLOOKUP(_xlfn.FLOOR.MATH(C1082),'Mortality Tables'!$B$4:$B$124,_xlfn.XLOOKUP(mortality_table,'Mortality Tables'!$B$3:$G$3,'Mortality Tables'!$B$4:$G$124,0,0),0,0)</f>
        <v>0.15665999999999999</v>
      </c>
      <c r="E1082" s="1">
        <f t="shared" si="115"/>
        <v>1.3054999999999999E-2</v>
      </c>
      <c r="F1082" s="1">
        <f t="shared" si="119"/>
        <v>0.98694499999999996</v>
      </c>
      <c r="G1082" s="1">
        <f t="shared" si="120"/>
        <v>0.19590912304349423</v>
      </c>
      <c r="H1082" s="34">
        <f t="shared" si="116"/>
        <v>1.2744520733338012E-2</v>
      </c>
      <c r="I1082" s="36">
        <f t="shared" si="117"/>
        <v>2.4967678804778798E-3</v>
      </c>
    </row>
    <row r="1083" spans="2:9" x14ac:dyDescent="0.35">
      <c r="B1083" s="16">
        <f t="shared" si="118"/>
        <v>89.499999999999275</v>
      </c>
      <c r="C1083" s="17">
        <f t="shared" si="114"/>
        <v>89.499999999999275</v>
      </c>
      <c r="D1083" s="1" cm="1">
        <f t="array" ref="D1083">_xlfn.XLOOKUP(_xlfn.FLOOR.MATH(C1083),'Mortality Tables'!$B$4:$B$124,_xlfn.XLOOKUP(mortality_table,'Mortality Tables'!$B$3:$G$3,'Mortality Tables'!$B$4:$G$124,0,0),0,0)</f>
        <v>0.15665999999999999</v>
      </c>
      <c r="E1083" s="1">
        <f t="shared" si="115"/>
        <v>1.3054999999999999E-2</v>
      </c>
      <c r="F1083" s="1">
        <f t="shared" si="119"/>
        <v>0.98694499999999996</v>
      </c>
      <c r="G1083" s="1">
        <f t="shared" si="120"/>
        <v>0.19335152944216141</v>
      </c>
      <c r="H1083" s="34">
        <f t="shared" si="116"/>
        <v>1.2692808659696251E-2</v>
      </c>
      <c r="I1083" s="36">
        <f t="shared" si="117"/>
        <v>2.4541739672689811E-3</v>
      </c>
    </row>
    <row r="1084" spans="2:9" x14ac:dyDescent="0.35">
      <c r="B1084" s="16">
        <f t="shared" si="118"/>
        <v>89.583333333332604</v>
      </c>
      <c r="C1084" s="17">
        <f t="shared" si="114"/>
        <v>89.583333333332604</v>
      </c>
      <c r="D1084" s="1" cm="1">
        <f t="array" ref="D1084">_xlfn.XLOOKUP(_xlfn.FLOOR.MATH(C1084),'Mortality Tables'!$B$4:$B$124,_xlfn.XLOOKUP(mortality_table,'Mortality Tables'!$B$3:$G$3,'Mortality Tables'!$B$4:$G$124,0,0),0,0)</f>
        <v>0.15665999999999999</v>
      </c>
      <c r="E1084" s="1">
        <f t="shared" si="115"/>
        <v>1.3054999999999999E-2</v>
      </c>
      <c r="F1084" s="1">
        <f t="shared" si="119"/>
        <v>0.98694499999999996</v>
      </c>
      <c r="G1084" s="1">
        <f t="shared" si="120"/>
        <v>0.190827325225294</v>
      </c>
      <c r="H1084" s="34">
        <f t="shared" si="116"/>
        <v>1.2641306412584357E-2</v>
      </c>
      <c r="I1084" s="36">
        <f t="shared" si="117"/>
        <v>2.4123066900668295E-3</v>
      </c>
    </row>
    <row r="1085" spans="2:9" x14ac:dyDescent="0.35">
      <c r="B1085" s="16">
        <f t="shared" si="118"/>
        <v>89.666666666665932</v>
      </c>
      <c r="C1085" s="17">
        <f t="shared" si="114"/>
        <v>89.666666666665932</v>
      </c>
      <c r="D1085" s="1" cm="1">
        <f t="array" ref="D1085">_xlfn.XLOOKUP(_xlfn.FLOOR.MATH(C1085),'Mortality Tables'!$B$4:$B$124,_xlfn.XLOOKUP(mortality_table,'Mortality Tables'!$B$3:$G$3,'Mortality Tables'!$B$4:$G$124,0,0),0,0)</f>
        <v>0.15665999999999999</v>
      </c>
      <c r="E1085" s="1">
        <f t="shared" si="115"/>
        <v>1.3054999999999999E-2</v>
      </c>
      <c r="F1085" s="1">
        <f t="shared" si="119"/>
        <v>0.98694499999999996</v>
      </c>
      <c r="G1085" s="1">
        <f t="shared" si="120"/>
        <v>0.18833607449447778</v>
      </c>
      <c r="H1085" s="34">
        <f t="shared" si="116"/>
        <v>1.2590013140611749E-2</v>
      </c>
      <c r="I1085" s="36">
        <f t="shared" si="117"/>
        <v>2.3711536527367084E-3</v>
      </c>
    </row>
    <row r="1086" spans="2:9" x14ac:dyDescent="0.35">
      <c r="B1086" s="16">
        <f t="shared" si="118"/>
        <v>89.749999999999261</v>
      </c>
      <c r="C1086" s="17">
        <f t="shared" si="114"/>
        <v>89.749999999999261</v>
      </c>
      <c r="D1086" s="1" cm="1">
        <f t="array" ref="D1086">_xlfn.XLOOKUP(_xlfn.FLOOR.MATH(C1086),'Mortality Tables'!$B$4:$B$124,_xlfn.XLOOKUP(mortality_table,'Mortality Tables'!$B$3:$G$3,'Mortality Tables'!$B$4:$G$124,0,0),0,0)</f>
        <v>0.15665999999999999</v>
      </c>
      <c r="E1086" s="1">
        <f t="shared" si="115"/>
        <v>1.3054999999999999E-2</v>
      </c>
      <c r="F1086" s="1">
        <f t="shared" si="119"/>
        <v>0.98694499999999996</v>
      </c>
      <c r="G1086" s="1">
        <f t="shared" si="120"/>
        <v>0.18587734704195236</v>
      </c>
      <c r="H1086" s="34">
        <f t="shared" si="116"/>
        <v>1.2538927995842438E-2</v>
      </c>
      <c r="I1086" s="36">
        <f t="shared" si="117"/>
        <v>2.3307026706172571E-3</v>
      </c>
    </row>
    <row r="1087" spans="2:9" x14ac:dyDescent="0.35">
      <c r="B1087" s="16">
        <f t="shared" si="118"/>
        <v>89.83333333333259</v>
      </c>
      <c r="C1087" s="17">
        <f t="shared" si="114"/>
        <v>89.83333333333259</v>
      </c>
      <c r="D1087" s="1" cm="1">
        <f t="array" ref="D1087">_xlfn.XLOOKUP(_xlfn.FLOOR.MATH(C1087),'Mortality Tables'!$B$4:$B$124,_xlfn.XLOOKUP(mortality_table,'Mortality Tables'!$B$3:$G$3,'Mortality Tables'!$B$4:$G$124,0,0),0,0)</f>
        <v>0.15665999999999999</v>
      </c>
      <c r="E1087" s="1">
        <f t="shared" si="115"/>
        <v>1.3054999999999999E-2</v>
      </c>
      <c r="F1087" s="1">
        <f t="shared" si="119"/>
        <v>0.98694499999999996</v>
      </c>
      <c r="G1087" s="1">
        <f t="shared" si="120"/>
        <v>0.18345071827631967</v>
      </c>
      <c r="H1087" s="34">
        <f t="shared" si="116"/>
        <v>1.2488050133781013E-2</v>
      </c>
      <c r="I1087" s="36">
        <f t="shared" si="117"/>
        <v>2.290941766912817E-3</v>
      </c>
    </row>
    <row r="1088" spans="2:9" x14ac:dyDescent="0.35">
      <c r="B1088" s="16">
        <f t="shared" si="118"/>
        <v>89.916666666665918</v>
      </c>
      <c r="C1088" s="17">
        <f t="shared" si="114"/>
        <v>89.916666666665918</v>
      </c>
      <c r="D1088" s="1" cm="1">
        <f t="array" ref="D1088">_xlfn.XLOOKUP(_xlfn.FLOOR.MATH(C1088),'Mortality Tables'!$B$4:$B$124,_xlfn.XLOOKUP(mortality_table,'Mortality Tables'!$B$3:$G$3,'Mortality Tables'!$B$4:$G$124,0,0),0,0)</f>
        <v>0.15665999999999999</v>
      </c>
      <c r="E1088" s="1">
        <f t="shared" si="115"/>
        <v>1.3054999999999999E-2</v>
      </c>
      <c r="F1088" s="1">
        <f t="shared" si="119"/>
        <v>0.98694499999999996</v>
      </c>
      <c r="G1088" s="1">
        <f t="shared" si="120"/>
        <v>0.18105576914922231</v>
      </c>
      <c r="H1088" s="34">
        <f t="shared" si="116"/>
        <v>1.243737871335868E-2</v>
      </c>
      <c r="I1088" s="36">
        <f t="shared" si="117"/>
        <v>2.2518591691473209E-3</v>
      </c>
    </row>
    <row r="1089" spans="2:9" x14ac:dyDescent="0.35">
      <c r="B1089" s="16">
        <f t="shared" si="118"/>
        <v>89.999999999999247</v>
      </c>
      <c r="C1089" s="17">
        <f t="shared" si="114"/>
        <v>89.999999999999247</v>
      </c>
      <c r="D1089" s="1" cm="1">
        <f t="array" ref="D1089">_xlfn.XLOOKUP(_xlfn.FLOOR.MATH(C1089),'Mortality Tables'!$B$4:$B$124,_xlfn.XLOOKUP(mortality_table,'Mortality Tables'!$B$3:$G$3,'Mortality Tables'!$B$4:$G$124,0,0),0,0)</f>
        <v>0.15665999999999999</v>
      </c>
      <c r="E1089" s="1">
        <f t="shared" si="115"/>
        <v>1.3054999999999999E-2</v>
      </c>
      <c r="F1089" s="1">
        <f t="shared" si="119"/>
        <v>0.98694499999999996</v>
      </c>
      <c r="G1089" s="1">
        <f t="shared" si="120"/>
        <v>0.17869208608297921</v>
      </c>
      <c r="H1089" s="34">
        <f t="shared" si="116"/>
        <v>1.2386912896919365E-2</v>
      </c>
      <c r="I1089" s="36">
        <f t="shared" si="117"/>
        <v>2.2134433056786806E-3</v>
      </c>
    </row>
    <row r="1090" spans="2:9" x14ac:dyDescent="0.35">
      <c r="B1090" s="16">
        <f t="shared" si="118"/>
        <v>90.083333333332575</v>
      </c>
      <c r="C1090" s="17">
        <f t="shared" si="114"/>
        <v>90.083333333332575</v>
      </c>
      <c r="D1090" s="1" cm="1">
        <f t="array" ref="D1090">_xlfn.XLOOKUP(_xlfn.FLOOR.MATH(C1090),'Mortality Tables'!$B$4:$B$124,_xlfn.XLOOKUP(mortality_table,'Mortality Tables'!$B$3:$G$3,'Mortality Tables'!$B$4:$G$124,0,0),0,0)</f>
        <v>0.17024700000000001</v>
      </c>
      <c r="E1090" s="1">
        <f t="shared" ref="E1090:E1153" si="121">$F$5*D1090</f>
        <v>1.418725E-2</v>
      </c>
      <c r="F1090" s="1">
        <f t="shared" ref="F1090:F1153" si="122">1-E1090</f>
        <v>0.98581275000000002</v>
      </c>
      <c r="G1090" s="1">
        <f t="shared" ref="G1090:G1153" si="123">G1089*F1089</f>
        <v>0.1763592608991659</v>
      </c>
      <c r="H1090" s="34">
        <f t="shared" ref="H1090:H1153" si="124">(1+interest_rate)^-(B1090)</f>
        <v>1.2336651850205856E-2</v>
      </c>
      <c r="I1090" s="36">
        <f t="shared" si="117"/>
        <v>2.1756828022726324E-3</v>
      </c>
    </row>
    <row r="1091" spans="2:9" x14ac:dyDescent="0.35">
      <c r="B1091" s="16">
        <f t="shared" si="118"/>
        <v>90.166666666665904</v>
      </c>
      <c r="C1091" s="17">
        <f t="shared" si="114"/>
        <v>90.166666666665904</v>
      </c>
      <c r="D1091" s="1" cm="1">
        <f t="array" ref="D1091">_xlfn.XLOOKUP(_xlfn.FLOOR.MATH(C1091),'Mortality Tables'!$B$4:$B$124,_xlfn.XLOOKUP(mortality_table,'Mortality Tables'!$B$3:$G$3,'Mortality Tables'!$B$4:$G$124,0,0),0,0)</f>
        <v>0.17024700000000001</v>
      </c>
      <c r="E1091" s="1">
        <f t="shared" si="121"/>
        <v>1.418725E-2</v>
      </c>
      <c r="F1091" s="1">
        <f t="shared" si="122"/>
        <v>0.98581275000000002</v>
      </c>
      <c r="G1091" s="1">
        <f t="shared" si="123"/>
        <v>0.1738572079749742</v>
      </c>
      <c r="H1091" s="34">
        <f t="shared" si="124"/>
        <v>1.2286594742346009E-2</v>
      </c>
      <c r="I1091" s="36">
        <f t="shared" si="117"/>
        <v>2.1361130574242748E-3</v>
      </c>
    </row>
    <row r="1092" spans="2:9" x14ac:dyDescent="0.35">
      <c r="B1092" s="16">
        <f t="shared" si="118"/>
        <v>90.249999999999233</v>
      </c>
      <c r="C1092" s="17">
        <f t="shared" si="114"/>
        <v>90.249999999999233</v>
      </c>
      <c r="D1092" s="1" cm="1">
        <f t="array" ref="D1092">_xlfn.XLOOKUP(_xlfn.FLOOR.MATH(C1092),'Mortality Tables'!$B$4:$B$124,_xlfn.XLOOKUP(mortality_table,'Mortality Tables'!$B$3:$G$3,'Mortality Tables'!$B$4:$G$124,0,0),0,0)</f>
        <v>0.17024700000000001</v>
      </c>
      <c r="E1092" s="1">
        <f t="shared" si="121"/>
        <v>1.418725E-2</v>
      </c>
      <c r="F1092" s="1">
        <f t="shared" si="122"/>
        <v>0.98581275000000002</v>
      </c>
      <c r="G1092" s="1">
        <f t="shared" si="123"/>
        <v>0.17139065230113124</v>
      </c>
      <c r="H1092" s="34">
        <f t="shared" si="124"/>
        <v>1.223674074583905E-2</v>
      </c>
      <c r="I1092" s="36">
        <f t="shared" si="117"/>
        <v>2.0972629784691858E-3</v>
      </c>
    </row>
    <row r="1093" spans="2:9" x14ac:dyDescent="0.35">
      <c r="B1093" s="16">
        <f t="shared" si="118"/>
        <v>90.333333333332561</v>
      </c>
      <c r="C1093" s="17">
        <f t="shared" si="114"/>
        <v>90.333333333332561</v>
      </c>
      <c r="D1093" s="1" cm="1">
        <f t="array" ref="D1093">_xlfn.XLOOKUP(_xlfn.FLOOR.MATH(C1093),'Mortality Tables'!$B$4:$B$124,_xlfn.XLOOKUP(mortality_table,'Mortality Tables'!$B$3:$G$3,'Mortality Tables'!$B$4:$G$124,0,0),0,0)</f>
        <v>0.17024700000000001</v>
      </c>
      <c r="E1093" s="1">
        <f t="shared" si="121"/>
        <v>1.418725E-2</v>
      </c>
      <c r="F1093" s="1">
        <f t="shared" si="122"/>
        <v>0.98581275000000002</v>
      </c>
      <c r="G1093" s="1">
        <f t="shared" si="123"/>
        <v>0.16895909026927203</v>
      </c>
      <c r="H1093" s="34">
        <f t="shared" si="124"/>
        <v>1.2187089036541841E-2</v>
      </c>
      <c r="I1093" s="36">
        <f t="shared" si="117"/>
        <v>2.0591194766447283E-3</v>
      </c>
    </row>
    <row r="1094" spans="2:9" x14ac:dyDescent="0.35">
      <c r="B1094" s="16">
        <f t="shared" si="118"/>
        <v>90.41666666666589</v>
      </c>
      <c r="C1094" s="17">
        <f t="shared" si="114"/>
        <v>90.41666666666589</v>
      </c>
      <c r="D1094" s="1" cm="1">
        <f t="array" ref="D1094">_xlfn.XLOOKUP(_xlfn.FLOOR.MATH(C1094),'Mortality Tables'!$B$4:$B$124,_xlfn.XLOOKUP(mortality_table,'Mortality Tables'!$B$3:$G$3,'Mortality Tables'!$B$4:$G$124,0,0),0,0)</f>
        <v>0.17024700000000001</v>
      </c>
      <c r="E1094" s="1">
        <f t="shared" si="121"/>
        <v>1.418725E-2</v>
      </c>
      <c r="F1094" s="1">
        <f t="shared" si="122"/>
        <v>0.98581275000000002</v>
      </c>
      <c r="G1094" s="1">
        <f t="shared" si="123"/>
        <v>0.1665620254158493</v>
      </c>
      <c r="H1094" s="34">
        <f t="shared" si="124"/>
        <v>1.2137638793655281E-2</v>
      </c>
      <c r="I1094" s="36">
        <f t="shared" si="117"/>
        <v>2.0216697012372096E-3</v>
      </c>
    </row>
    <row r="1095" spans="2:9" x14ac:dyDescent="0.35">
      <c r="B1095" s="16">
        <f t="shared" si="118"/>
        <v>90.499999999999218</v>
      </c>
      <c r="C1095" s="17">
        <f t="shared" si="114"/>
        <v>90.499999999999218</v>
      </c>
      <c r="D1095" s="1" cm="1">
        <f t="array" ref="D1095">_xlfn.XLOOKUP(_xlfn.FLOOR.MATH(C1095),'Mortality Tables'!$B$4:$B$124,_xlfn.XLOOKUP(mortality_table,'Mortality Tables'!$B$3:$G$3,'Mortality Tables'!$B$4:$G$124,0,0),0,0)</f>
        <v>0.17024700000000001</v>
      </c>
      <c r="E1095" s="1">
        <f t="shared" si="121"/>
        <v>1.418725E-2</v>
      </c>
      <c r="F1095" s="1">
        <f t="shared" si="122"/>
        <v>0.98581275000000002</v>
      </c>
      <c r="G1095" s="1">
        <f t="shared" si="123"/>
        <v>0.1641989683207683</v>
      </c>
      <c r="H1095" s="34">
        <f t="shared" si="124"/>
        <v>1.2088389199710744E-2</v>
      </c>
      <c r="I1095" s="36">
        <f t="shared" si="117"/>
        <v>1.9849010352524224E-3</v>
      </c>
    </row>
    <row r="1096" spans="2:9" x14ac:dyDescent="0.35">
      <c r="B1096" s="16">
        <f t="shared" si="118"/>
        <v>90.583333333332547</v>
      </c>
      <c r="C1096" s="17">
        <f t="shared" si="114"/>
        <v>90.583333333332547</v>
      </c>
      <c r="D1096" s="1" cm="1">
        <f t="array" ref="D1096">_xlfn.XLOOKUP(_xlfn.FLOOR.MATH(C1096),'Mortality Tables'!$B$4:$B$124,_xlfn.XLOOKUP(mortality_table,'Mortality Tables'!$B$3:$G$3,'Mortality Tables'!$B$4:$G$124,0,0),0,0)</f>
        <v>0.17024700000000001</v>
      </c>
      <c r="E1096" s="1">
        <f t="shared" si="121"/>
        <v>1.418725E-2</v>
      </c>
      <c r="F1096" s="1">
        <f t="shared" si="122"/>
        <v>0.98581275000000002</v>
      </c>
      <c r="G1096" s="1">
        <f t="shared" si="123"/>
        <v>0.1618694365074595</v>
      </c>
      <c r="H1096" s="34">
        <f t="shared" si="124"/>
        <v>1.2039339440556561E-2</v>
      </c>
      <c r="I1096" s="36">
        <f t="shared" si="117"/>
        <v>1.9488010911649233E-3</v>
      </c>
    </row>
    <row r="1097" spans="2:9" x14ac:dyDescent="0.35">
      <c r="B1097" s="16">
        <f t="shared" si="118"/>
        <v>90.666666666665876</v>
      </c>
      <c r="C1097" s="17">
        <f t="shared" ref="C1097:C1160" si="125">current_age+B1097</f>
        <v>90.666666666665876</v>
      </c>
      <c r="D1097" s="1" cm="1">
        <f t="array" ref="D1097">_xlfn.XLOOKUP(_xlfn.FLOOR.MATH(C1097),'Mortality Tables'!$B$4:$B$124,_xlfn.XLOOKUP(mortality_table,'Mortality Tables'!$B$3:$G$3,'Mortality Tables'!$B$4:$G$124,0,0),0,0)</f>
        <v>0.17024700000000001</v>
      </c>
      <c r="E1097" s="1">
        <f t="shared" si="121"/>
        <v>1.418725E-2</v>
      </c>
      <c r="F1097" s="1">
        <f t="shared" si="122"/>
        <v>0.98581275000000002</v>
      </c>
      <c r="G1097" s="1">
        <f t="shared" si="123"/>
        <v>0.15957295434436905</v>
      </c>
      <c r="H1097" s="34">
        <f t="shared" si="124"/>
        <v>1.1990488705344554E-2</v>
      </c>
      <c r="I1097" s="36">
        <f t="shared" ref="I1097:I1160" si="126">IF(current_age+B1097&lt;=$C$5,G1097*H1097,0)</f>
        <v>1.9133577067446193E-3</v>
      </c>
    </row>
    <row r="1098" spans="2:9" x14ac:dyDescent="0.35">
      <c r="B1098" s="16">
        <f t="shared" ref="B1098:B1161" si="127">B1097+$F$5</f>
        <v>90.749999999999204</v>
      </c>
      <c r="C1098" s="17">
        <f t="shared" si="125"/>
        <v>90.749999999999204</v>
      </c>
      <c r="D1098" s="1" cm="1">
        <f t="array" ref="D1098">_xlfn.XLOOKUP(_xlfn.FLOOR.MATH(C1098),'Mortality Tables'!$B$4:$B$124,_xlfn.XLOOKUP(mortality_table,'Mortality Tables'!$B$3:$G$3,'Mortality Tables'!$B$4:$G$124,0,0),0,0)</f>
        <v>0.17024700000000001</v>
      </c>
      <c r="E1098" s="1">
        <f t="shared" si="121"/>
        <v>1.418725E-2</v>
      </c>
      <c r="F1098" s="1">
        <f t="shared" si="122"/>
        <v>0.98581275000000002</v>
      </c>
      <c r="G1098" s="1">
        <f t="shared" si="123"/>
        <v>0.15730905294784689</v>
      </c>
      <c r="H1098" s="34">
        <f t="shared" si="124"/>
        <v>1.194183618651664E-2</v>
      </c>
      <c r="I1098" s="36">
        <f t="shared" si="126"/>
        <v>1.87855894095926E-3</v>
      </c>
    </row>
    <row r="1099" spans="2:9" x14ac:dyDescent="0.35">
      <c r="B1099" s="16">
        <f t="shared" si="127"/>
        <v>90.833333333332533</v>
      </c>
      <c r="C1099" s="17">
        <f t="shared" si="125"/>
        <v>90.833333333332533</v>
      </c>
      <c r="D1099" s="1" cm="1">
        <f t="array" ref="D1099">_xlfn.XLOOKUP(_xlfn.FLOOR.MATH(C1099),'Mortality Tables'!$B$4:$B$124,_xlfn.XLOOKUP(mortality_table,'Mortality Tables'!$B$3:$G$3,'Mortality Tables'!$B$4:$G$124,0,0),0,0)</f>
        <v>0.17024700000000001</v>
      </c>
      <c r="E1099" s="1">
        <f t="shared" si="121"/>
        <v>1.418725E-2</v>
      </c>
      <c r="F1099" s="1">
        <f t="shared" si="122"/>
        <v>0.98581275000000002</v>
      </c>
      <c r="G1099" s="1">
        <f t="shared" si="123"/>
        <v>0.15507727008641256</v>
      </c>
      <c r="H1099" s="34">
        <f t="shared" si="124"/>
        <v>1.189338107979147E-2</v>
      </c>
      <c r="I1099" s="36">
        <f t="shared" si="126"/>
        <v>1.8443930699514508E-3</v>
      </c>
    </row>
    <row r="1100" spans="2:9" x14ac:dyDescent="0.35">
      <c r="B1100" s="16">
        <f t="shared" si="127"/>
        <v>90.916666666665861</v>
      </c>
      <c r="C1100" s="17">
        <f t="shared" si="125"/>
        <v>90.916666666665861</v>
      </c>
      <c r="D1100" s="1" cm="1">
        <f t="array" ref="D1100">_xlfn.XLOOKUP(_xlfn.FLOOR.MATH(C1100),'Mortality Tables'!$B$4:$B$124,_xlfn.XLOOKUP(mortality_table,'Mortality Tables'!$B$3:$G$3,'Mortality Tables'!$B$4:$G$124,0,0),0,0)</f>
        <v>0.17024700000000001</v>
      </c>
      <c r="E1100" s="1">
        <f t="shared" si="121"/>
        <v>1.418725E-2</v>
      </c>
      <c r="F1100" s="1">
        <f t="shared" si="122"/>
        <v>0.98581275000000002</v>
      </c>
      <c r="G1100" s="1">
        <f t="shared" si="123"/>
        <v>0.15287715008637912</v>
      </c>
      <c r="H1100" s="34">
        <f t="shared" si="124"/>
        <v>1.1845122584151154E-2</v>
      </c>
      <c r="I1100" s="36">
        <f t="shared" si="126"/>
        <v>1.8108485830888349E-3</v>
      </c>
    </row>
    <row r="1101" spans="2:9" x14ac:dyDescent="0.35">
      <c r="B1101" s="16">
        <f t="shared" si="127"/>
        <v>90.99999999999919</v>
      </c>
      <c r="C1101" s="17">
        <f t="shared" si="125"/>
        <v>90.99999999999919</v>
      </c>
      <c r="D1101" s="1" cm="1">
        <f t="array" ref="D1101">_xlfn.XLOOKUP(_xlfn.FLOOR.MATH(C1101),'Mortality Tables'!$B$4:$B$124,_xlfn.XLOOKUP(mortality_table,'Mortality Tables'!$B$3:$G$3,'Mortality Tables'!$B$4:$G$124,0,0),0,0)</f>
        <v>0.17024700000000001</v>
      </c>
      <c r="E1101" s="1">
        <f t="shared" si="121"/>
        <v>1.418725E-2</v>
      </c>
      <c r="F1101" s="1">
        <f t="shared" si="122"/>
        <v>0.98581275000000002</v>
      </c>
      <c r="G1101" s="1">
        <f t="shared" si="123"/>
        <v>0.15070824373881614</v>
      </c>
      <c r="H1101" s="34">
        <f t="shared" si="124"/>
        <v>1.1797059901827996E-2</v>
      </c>
      <c r="I1101" s="36">
        <f t="shared" si="126"/>
        <v>1.7779141790861082E-3</v>
      </c>
    </row>
    <row r="1102" spans="2:9" x14ac:dyDescent="0.35">
      <c r="B1102" s="16">
        <f t="shared" si="127"/>
        <v>91.083333333332519</v>
      </c>
      <c r="C1102" s="17">
        <f t="shared" si="125"/>
        <v>91.083333333332519</v>
      </c>
      <c r="D1102" s="1" cm="1">
        <f t="array" ref="D1102">_xlfn.XLOOKUP(_xlfn.FLOOR.MATH(C1102),'Mortality Tables'!$B$4:$B$124,_xlfn.XLOOKUP(mortality_table,'Mortality Tables'!$B$3:$G$3,'Mortality Tables'!$B$4:$G$124,0,0),0,0)</f>
        <v>0.18471399999999999</v>
      </c>
      <c r="E1102" s="1">
        <f t="shared" si="121"/>
        <v>1.5392833333333331E-2</v>
      </c>
      <c r="F1102" s="1">
        <f t="shared" si="122"/>
        <v>0.9846071666666667</v>
      </c>
      <c r="G1102" s="1">
        <f t="shared" si="123"/>
        <v>0.14857010820783262</v>
      </c>
      <c r="H1102" s="34">
        <f t="shared" si="124"/>
        <v>1.1749192238291323E-2</v>
      </c>
      <c r="I1102" s="36">
        <f t="shared" si="126"/>
        <v>1.745578762197569E-3</v>
      </c>
    </row>
    <row r="1103" spans="2:9" x14ac:dyDescent="0.35">
      <c r="B1103" s="16">
        <f t="shared" si="127"/>
        <v>91.166666666665847</v>
      </c>
      <c r="C1103" s="17">
        <f t="shared" si="125"/>
        <v>91.166666666665847</v>
      </c>
      <c r="D1103" s="1" cm="1">
        <f t="array" ref="D1103">_xlfn.XLOOKUP(_xlfn.FLOOR.MATH(C1103),'Mortality Tables'!$B$4:$B$124,_xlfn.XLOOKUP(mortality_table,'Mortality Tables'!$B$3:$G$3,'Mortality Tables'!$B$4:$G$124,0,0),0,0)</f>
        <v>0.18471399999999999</v>
      </c>
      <c r="E1103" s="1">
        <f t="shared" si="121"/>
        <v>1.5392833333333331E-2</v>
      </c>
      <c r="F1103" s="1">
        <f t="shared" si="122"/>
        <v>0.9846071666666667</v>
      </c>
      <c r="G1103" s="1">
        <f t="shared" si="123"/>
        <v>0.14628319329387415</v>
      </c>
      <c r="H1103" s="34">
        <f t="shared" si="124"/>
        <v>1.1701518802234334E-2</v>
      </c>
      <c r="I1103" s="36">
        <f t="shared" si="126"/>
        <v>1.7117355367791479E-3</v>
      </c>
    </row>
    <row r="1104" spans="2:9" x14ac:dyDescent="0.35">
      <c r="B1104" s="16">
        <f t="shared" si="127"/>
        <v>91.249999999999176</v>
      </c>
      <c r="C1104" s="17">
        <f t="shared" si="125"/>
        <v>91.249999999999176</v>
      </c>
      <c r="D1104" s="1" cm="1">
        <f t="array" ref="D1104">_xlfn.XLOOKUP(_xlfn.FLOOR.MATH(C1104),'Mortality Tables'!$B$4:$B$124,_xlfn.XLOOKUP(mortality_table,'Mortality Tables'!$B$3:$G$3,'Mortality Tables'!$B$4:$G$124,0,0),0,0)</f>
        <v>0.18471399999999999</v>
      </c>
      <c r="E1104" s="1">
        <f t="shared" si="121"/>
        <v>1.5392833333333331E-2</v>
      </c>
      <c r="F1104" s="1">
        <f t="shared" si="122"/>
        <v>0.9846071666666667</v>
      </c>
      <c r="G1104" s="1">
        <f t="shared" si="123"/>
        <v>0.14403148048003378</v>
      </c>
      <c r="H1104" s="34">
        <f t="shared" si="124"/>
        <v>1.165403880556104E-2</v>
      </c>
      <c r="I1104" s="36">
        <f t="shared" si="126"/>
        <v>1.6785484627367211E-3</v>
      </c>
    </row>
    <row r="1105" spans="2:9" x14ac:dyDescent="0.35">
      <c r="B1105" s="16">
        <f t="shared" si="127"/>
        <v>91.333333333332504</v>
      </c>
      <c r="C1105" s="17">
        <f t="shared" si="125"/>
        <v>91.333333333332504</v>
      </c>
      <c r="D1105" s="1" cm="1">
        <f t="array" ref="D1105">_xlfn.XLOOKUP(_xlfn.FLOOR.MATH(C1105),'Mortality Tables'!$B$4:$B$124,_xlfn.XLOOKUP(mortality_table,'Mortality Tables'!$B$3:$G$3,'Mortality Tables'!$B$4:$G$124,0,0),0,0)</f>
        <v>0.18471399999999999</v>
      </c>
      <c r="E1105" s="1">
        <f t="shared" si="121"/>
        <v>1.5392833333333331E-2</v>
      </c>
      <c r="F1105" s="1">
        <f t="shared" si="122"/>
        <v>0.9846071666666667</v>
      </c>
      <c r="G1105" s="1">
        <f t="shared" si="123"/>
        <v>0.14181442790625137</v>
      </c>
      <c r="H1105" s="34">
        <f t="shared" si="124"/>
        <v>1.160675146337322E-2</v>
      </c>
      <c r="I1105" s="36">
        <f t="shared" si="126"/>
        <v>1.6460048186283192E-3</v>
      </c>
    </row>
    <row r="1106" spans="2:9" x14ac:dyDescent="0.35">
      <c r="B1106" s="16">
        <f t="shared" si="127"/>
        <v>91.416666666665833</v>
      </c>
      <c r="C1106" s="17">
        <f t="shared" si="125"/>
        <v>91.416666666665833</v>
      </c>
      <c r="D1106" s="1" cm="1">
        <f t="array" ref="D1106">_xlfn.XLOOKUP(_xlfn.FLOOR.MATH(C1106),'Mortality Tables'!$B$4:$B$124,_xlfn.XLOOKUP(mortality_table,'Mortality Tables'!$B$3:$G$3,'Mortality Tables'!$B$4:$G$124,0,0),0,0)</f>
        <v>0.18471399999999999</v>
      </c>
      <c r="E1106" s="1">
        <f t="shared" si="121"/>
        <v>1.5392833333333331E-2</v>
      </c>
      <c r="F1106" s="1">
        <f t="shared" si="122"/>
        <v>0.9846071666666667</v>
      </c>
      <c r="G1106" s="1">
        <f t="shared" si="123"/>
        <v>0.13963150205322844</v>
      </c>
      <c r="H1106" s="34">
        <f t="shared" si="124"/>
        <v>1.155965599395745E-2</v>
      </c>
      <c r="I1106" s="36">
        <f t="shared" si="126"/>
        <v>1.614092129654884E-3</v>
      </c>
    </row>
    <row r="1107" spans="2:9" x14ac:dyDescent="0.35">
      <c r="B1107" s="16">
        <f t="shared" si="127"/>
        <v>91.499999999999162</v>
      </c>
      <c r="C1107" s="17">
        <f t="shared" si="125"/>
        <v>91.499999999999162</v>
      </c>
      <c r="D1107" s="1" cm="1">
        <f t="array" ref="D1107">_xlfn.XLOOKUP(_xlfn.FLOOR.MATH(C1107),'Mortality Tables'!$B$4:$B$124,_xlfn.XLOOKUP(mortality_table,'Mortality Tables'!$B$3:$G$3,'Mortality Tables'!$B$4:$G$124,0,0),0,0)</f>
        <v>0.18471399999999999</v>
      </c>
      <c r="E1107" s="1">
        <f t="shared" si="121"/>
        <v>1.5392833333333331E-2</v>
      </c>
      <c r="F1107" s="1">
        <f t="shared" si="122"/>
        <v>0.9846071666666667</v>
      </c>
      <c r="G1107" s="1">
        <f t="shared" si="123"/>
        <v>0.13748217761404011</v>
      </c>
      <c r="H1107" s="34">
        <f t="shared" si="124"/>
        <v>1.1512751618772167E-2</v>
      </c>
      <c r="I1107" s="36">
        <f t="shared" si="126"/>
        <v>1.5827981628783628E-3</v>
      </c>
    </row>
    <row r="1108" spans="2:9" x14ac:dyDescent="0.35">
      <c r="B1108" s="16">
        <f t="shared" si="127"/>
        <v>91.58333333333249</v>
      </c>
      <c r="C1108" s="17">
        <f t="shared" si="125"/>
        <v>91.58333333333249</v>
      </c>
      <c r="D1108" s="1" cm="1">
        <f t="array" ref="D1108">_xlfn.XLOOKUP(_xlfn.FLOOR.MATH(C1108),'Mortality Tables'!$B$4:$B$124,_xlfn.XLOOKUP(mortality_table,'Mortality Tables'!$B$3:$G$3,'Mortality Tables'!$B$4:$G$124,0,0),0,0)</f>
        <v>0.18471399999999999</v>
      </c>
      <c r="E1108" s="1">
        <f t="shared" si="121"/>
        <v>1.5392833333333331E-2</v>
      </c>
      <c r="F1108" s="1">
        <f t="shared" si="122"/>
        <v>0.9846071666666667</v>
      </c>
      <c r="G1108" s="1">
        <f t="shared" si="123"/>
        <v>0.13536593736772345</v>
      </c>
      <c r="H1108" s="34">
        <f t="shared" si="124"/>
        <v>1.1466037562434851E-2</v>
      </c>
      <c r="I1108" s="36">
        <f t="shared" si="126"/>
        <v>1.5521109225325204E-3</v>
      </c>
    </row>
    <row r="1109" spans="2:9" x14ac:dyDescent="0.35">
      <c r="B1109" s="16">
        <f t="shared" si="127"/>
        <v>91.666666666665819</v>
      </c>
      <c r="C1109" s="17">
        <f t="shared" si="125"/>
        <v>91.666666666665819</v>
      </c>
      <c r="D1109" s="1" cm="1">
        <f t="array" ref="D1109">_xlfn.XLOOKUP(_xlfn.FLOOR.MATH(C1109),'Mortality Tables'!$B$4:$B$124,_xlfn.XLOOKUP(mortality_table,'Mortality Tables'!$B$3:$G$3,'Mortality Tables'!$B$4:$G$124,0,0),0,0)</f>
        <v>0.18471399999999999</v>
      </c>
      <c r="E1109" s="1">
        <f t="shared" si="121"/>
        <v>1.5392833333333331E-2</v>
      </c>
      <c r="F1109" s="1">
        <f t="shared" si="122"/>
        <v>0.9846071666666667</v>
      </c>
      <c r="G1109" s="1">
        <f t="shared" si="123"/>
        <v>0.13328227205481166</v>
      </c>
      <c r="H1109" s="34">
        <f t="shared" si="124"/>
        <v>1.1419513052709128E-2</v>
      </c>
      <c r="I1109" s="36">
        <f t="shared" si="126"/>
        <v>1.5220186454246508E-3</v>
      </c>
    </row>
    <row r="1110" spans="2:9" x14ac:dyDescent="0.35">
      <c r="B1110" s="16">
        <f t="shared" si="127"/>
        <v>91.749999999999147</v>
      </c>
      <c r="C1110" s="17">
        <f t="shared" si="125"/>
        <v>91.749999999999147</v>
      </c>
      <c r="D1110" s="1" cm="1">
        <f t="array" ref="D1110">_xlfn.XLOOKUP(_xlfn.FLOOR.MATH(C1110),'Mortality Tables'!$B$4:$B$124,_xlfn.XLOOKUP(mortality_table,'Mortality Tables'!$B$3:$G$3,'Mortality Tables'!$B$4:$G$124,0,0),0,0)</f>
        <v>0.18471399999999999</v>
      </c>
      <c r="E1110" s="1">
        <f t="shared" si="121"/>
        <v>1.5392833333333331E-2</v>
      </c>
      <c r="F1110" s="1">
        <f t="shared" si="122"/>
        <v>0.9846071666666667</v>
      </c>
      <c r="G1110" s="1">
        <f t="shared" si="123"/>
        <v>0.13123068025478396</v>
      </c>
      <c r="H1110" s="34">
        <f t="shared" si="124"/>
        <v>1.1373177320492065E-2</v>
      </c>
      <c r="I1110" s="36">
        <f t="shared" si="126"/>
        <v>1.4925097964264549E-3</v>
      </c>
    </row>
    <row r="1111" spans="2:9" x14ac:dyDescent="0.35">
      <c r="B1111" s="16">
        <f t="shared" si="127"/>
        <v>91.833333333332476</v>
      </c>
      <c r="C1111" s="17">
        <f t="shared" si="125"/>
        <v>91.833333333332476</v>
      </c>
      <c r="D1111" s="1" cm="1">
        <f t="array" ref="D1111">_xlfn.XLOOKUP(_xlfn.FLOOR.MATH(C1111),'Mortality Tables'!$B$4:$B$124,_xlfn.XLOOKUP(mortality_table,'Mortality Tables'!$B$3:$G$3,'Mortality Tables'!$B$4:$G$124,0,0),0,0)</f>
        <v>0.18471399999999999</v>
      </c>
      <c r="E1111" s="1">
        <f t="shared" si="121"/>
        <v>1.5392833333333331E-2</v>
      </c>
      <c r="F1111" s="1">
        <f t="shared" si="122"/>
        <v>0.9846071666666667</v>
      </c>
      <c r="G1111" s="1">
        <f t="shared" si="123"/>
        <v>0.12921066826540212</v>
      </c>
      <c r="H1111" s="34">
        <f t="shared" si="124"/>
        <v>1.132702959980143E-2</v>
      </c>
      <c r="I1111" s="36">
        <f t="shared" si="126"/>
        <v>1.463573064052333E-3</v>
      </c>
    </row>
    <row r="1112" spans="2:9" x14ac:dyDescent="0.35">
      <c r="B1112" s="16">
        <f t="shared" si="127"/>
        <v>91.916666666665805</v>
      </c>
      <c r="C1112" s="17">
        <f t="shared" si="125"/>
        <v>91.916666666665805</v>
      </c>
      <c r="D1112" s="1" cm="1">
        <f t="array" ref="D1112">_xlfn.XLOOKUP(_xlfn.FLOOR.MATH(C1112),'Mortality Tables'!$B$4:$B$124,_xlfn.XLOOKUP(mortality_table,'Mortality Tables'!$B$3:$G$3,'Mortality Tables'!$B$4:$G$124,0,0),0,0)</f>
        <v>0.18471399999999999</v>
      </c>
      <c r="E1112" s="1">
        <f t="shared" si="121"/>
        <v>1.5392833333333331E-2</v>
      </c>
      <c r="F1112" s="1">
        <f t="shared" si="122"/>
        <v>0.9846071666666667</v>
      </c>
      <c r="G1112" s="1">
        <f t="shared" si="123"/>
        <v>0.12722174998390418</v>
      </c>
      <c r="H1112" s="34">
        <f t="shared" si="124"/>
        <v>1.1281069127763032E-2</v>
      </c>
      <c r="I1112" s="36">
        <f t="shared" si="126"/>
        <v>1.4351973561234084E-3</v>
      </c>
    </row>
    <row r="1113" spans="2:9" x14ac:dyDescent="0.35">
      <c r="B1113" s="16">
        <f t="shared" si="127"/>
        <v>91.999999999999133</v>
      </c>
      <c r="C1113" s="17">
        <f t="shared" si="125"/>
        <v>91.999999999999133</v>
      </c>
      <c r="D1113" s="1" cm="1">
        <f t="array" ref="D1113">_xlfn.XLOOKUP(_xlfn.FLOOR.MATH(C1113),'Mortality Tables'!$B$4:$B$124,_xlfn.XLOOKUP(mortality_table,'Mortality Tables'!$B$3:$G$3,'Mortality Tables'!$B$4:$G$124,0,0),0,0)</f>
        <v>0.18471399999999999</v>
      </c>
      <c r="E1113" s="1">
        <f t="shared" si="121"/>
        <v>1.5392833333333331E-2</v>
      </c>
      <c r="F1113" s="1">
        <f t="shared" si="122"/>
        <v>0.9846071666666667</v>
      </c>
      <c r="G1113" s="1">
        <f t="shared" si="123"/>
        <v>0.12526344679002693</v>
      </c>
      <c r="H1113" s="34">
        <f t="shared" si="124"/>
        <v>1.1235295144598119E-2</v>
      </c>
      <c r="I1113" s="36">
        <f t="shared" si="126"/>
        <v>1.4073717955156145E-3</v>
      </c>
    </row>
    <row r="1114" spans="2:9" x14ac:dyDescent="0.35">
      <c r="B1114" s="16">
        <f t="shared" si="127"/>
        <v>92.083333333332462</v>
      </c>
      <c r="C1114" s="17">
        <f t="shared" si="125"/>
        <v>92.083333333332462</v>
      </c>
      <c r="D1114" s="1" cm="1">
        <f t="array" ref="D1114">_xlfn.XLOOKUP(_xlfn.FLOOR.MATH(C1114),'Mortality Tables'!$B$4:$B$124,_xlfn.XLOOKUP(mortality_table,'Mortality Tables'!$B$3:$G$3,'Mortality Tables'!$B$4:$G$124,0,0),0,0)</f>
        <v>0.20007900000000001</v>
      </c>
      <c r="E1114" s="1">
        <f t="shared" si="121"/>
        <v>1.6673250000000001E-2</v>
      </c>
      <c r="F1114" s="1">
        <f t="shared" si="122"/>
        <v>0.98332675000000003</v>
      </c>
      <c r="G1114" s="1">
        <f t="shared" si="123"/>
        <v>0.12333528743082918</v>
      </c>
      <c r="H1114" s="34">
        <f t="shared" si="124"/>
        <v>1.1189706893610809E-2</v>
      </c>
      <c r="I1114" s="36">
        <f t="shared" si="126"/>
        <v>1.3800857159902199E-3</v>
      </c>
    </row>
    <row r="1115" spans="2:9" x14ac:dyDescent="0.35">
      <c r="B1115" s="16">
        <f t="shared" si="127"/>
        <v>92.16666666666579</v>
      </c>
      <c r="C1115" s="17">
        <f t="shared" si="125"/>
        <v>92.16666666666579</v>
      </c>
      <c r="D1115" s="1" cm="1">
        <f t="array" ref="D1115">_xlfn.XLOOKUP(_xlfn.FLOOR.MATH(C1115),'Mortality Tables'!$B$4:$B$124,_xlfn.XLOOKUP(mortality_table,'Mortality Tables'!$B$3:$G$3,'Mortality Tables'!$B$4:$G$124,0,0),0,0)</f>
        <v>0.20007900000000001</v>
      </c>
      <c r="E1115" s="1">
        <f t="shared" si="121"/>
        <v>1.6673250000000001E-2</v>
      </c>
      <c r="F1115" s="1">
        <f t="shared" si="122"/>
        <v>0.98332675000000003</v>
      </c>
      <c r="G1115" s="1">
        <f t="shared" si="123"/>
        <v>0.12127888734967311</v>
      </c>
      <c r="H1115" s="34">
        <f t="shared" si="124"/>
        <v>1.1144303621175583E-2</v>
      </c>
      <c r="I1115" s="36">
        <f t="shared" si="126"/>
        <v>1.3515687434631075E-3</v>
      </c>
    </row>
    <row r="1116" spans="2:9" x14ac:dyDescent="0.35">
      <c r="B1116" s="16">
        <f t="shared" si="127"/>
        <v>92.249999999999119</v>
      </c>
      <c r="C1116" s="17">
        <f t="shared" si="125"/>
        <v>92.249999999999119</v>
      </c>
      <c r="D1116" s="1" cm="1">
        <f t="array" ref="D1116">_xlfn.XLOOKUP(_xlfn.FLOOR.MATH(C1116),'Mortality Tables'!$B$4:$B$124,_xlfn.XLOOKUP(mortality_table,'Mortality Tables'!$B$3:$G$3,'Mortality Tables'!$B$4:$G$124,0,0),0,0)</f>
        <v>0.20007900000000001</v>
      </c>
      <c r="E1116" s="1">
        <f t="shared" si="121"/>
        <v>1.6673250000000001E-2</v>
      </c>
      <c r="F1116" s="1">
        <f t="shared" si="122"/>
        <v>0.98332675000000003</v>
      </c>
      <c r="G1116" s="1">
        <f t="shared" si="123"/>
        <v>0.11925677414117018</v>
      </c>
      <c r="H1116" s="34">
        <f t="shared" si="124"/>
        <v>1.1099084576724828E-2</v>
      </c>
      <c r="I1116" s="36">
        <f t="shared" si="126"/>
        <v>1.3236410225402184E-3</v>
      </c>
    </row>
    <row r="1117" spans="2:9" x14ac:dyDescent="0.35">
      <c r="B1117" s="16">
        <f t="shared" si="127"/>
        <v>92.333333333332448</v>
      </c>
      <c r="C1117" s="17">
        <f t="shared" si="125"/>
        <v>92.333333333332448</v>
      </c>
      <c r="D1117" s="1" cm="1">
        <f t="array" ref="D1117">_xlfn.XLOOKUP(_xlfn.FLOOR.MATH(C1117),'Mortality Tables'!$B$4:$B$124,_xlfn.XLOOKUP(mortality_table,'Mortality Tables'!$B$3:$G$3,'Mortality Tables'!$B$4:$G$124,0,0),0,0)</f>
        <v>0.20007900000000001</v>
      </c>
      <c r="E1117" s="1">
        <f t="shared" si="121"/>
        <v>1.6673250000000001E-2</v>
      </c>
      <c r="F1117" s="1">
        <f t="shared" si="122"/>
        <v>0.98332675000000003</v>
      </c>
      <c r="G1117" s="1">
        <f t="shared" si="123"/>
        <v>0.11726837613172092</v>
      </c>
      <c r="H1117" s="34">
        <f t="shared" si="124"/>
        <v>1.1054049012736428E-2</v>
      </c>
      <c r="I1117" s="36">
        <f t="shared" si="126"/>
        <v>1.2962903774040538E-3</v>
      </c>
    </row>
    <row r="1118" spans="2:9" x14ac:dyDescent="0.35">
      <c r="B1118" s="16">
        <f t="shared" si="127"/>
        <v>92.416666666665776</v>
      </c>
      <c r="C1118" s="17">
        <f t="shared" si="125"/>
        <v>92.416666666665776</v>
      </c>
      <c r="D1118" s="1" cm="1">
        <f t="array" ref="D1118">_xlfn.XLOOKUP(_xlfn.FLOOR.MATH(C1118),'Mortality Tables'!$B$4:$B$124,_xlfn.XLOOKUP(mortality_table,'Mortality Tables'!$B$3:$G$3,'Mortality Tables'!$B$4:$G$124,0,0),0,0)</f>
        <v>0.20007900000000001</v>
      </c>
      <c r="E1118" s="1">
        <f t="shared" si="121"/>
        <v>1.6673250000000001E-2</v>
      </c>
      <c r="F1118" s="1">
        <f t="shared" si="122"/>
        <v>0.98332675000000003</v>
      </c>
      <c r="G1118" s="1">
        <f t="shared" si="123"/>
        <v>0.1153131311793827</v>
      </c>
      <c r="H1118" s="34">
        <f t="shared" si="124"/>
        <v>1.1009196184721409E-2</v>
      </c>
      <c r="I1118" s="36">
        <f t="shared" si="126"/>
        <v>1.2695048838283394E-3</v>
      </c>
    </row>
    <row r="1119" spans="2:9" x14ac:dyDescent="0.35">
      <c r="B1119" s="16">
        <f t="shared" si="127"/>
        <v>92.499999999999105</v>
      </c>
      <c r="C1119" s="17">
        <f t="shared" si="125"/>
        <v>92.499999999999105</v>
      </c>
      <c r="D1119" s="1" cm="1">
        <f t="array" ref="D1119">_xlfn.XLOOKUP(_xlfn.FLOOR.MATH(C1119),'Mortality Tables'!$B$4:$B$124,_xlfn.XLOOKUP(mortality_table,'Mortality Tables'!$B$3:$G$3,'Mortality Tables'!$B$4:$G$124,0,0),0,0)</f>
        <v>0.20007900000000001</v>
      </c>
      <c r="E1119" s="1">
        <f t="shared" si="121"/>
        <v>1.6673250000000001E-2</v>
      </c>
      <c r="F1119" s="1">
        <f t="shared" si="122"/>
        <v>0.98332675000000003</v>
      </c>
      <c r="G1119" s="1">
        <f t="shared" si="123"/>
        <v>0.11339048651494606</v>
      </c>
      <c r="H1119" s="34">
        <f t="shared" si="124"/>
        <v>1.0964525351211625E-2</v>
      </c>
      <c r="I1119" s="36">
        <f t="shared" si="126"/>
        <v>1.2432728639793459E-3</v>
      </c>
    </row>
    <row r="1120" spans="2:9" x14ac:dyDescent="0.35">
      <c r="B1120" s="16">
        <f t="shared" si="127"/>
        <v>92.583333333332433</v>
      </c>
      <c r="C1120" s="17">
        <f t="shared" si="125"/>
        <v>92.583333333332433</v>
      </c>
      <c r="D1120" s="1" cm="1">
        <f t="array" ref="D1120">_xlfn.XLOOKUP(_xlfn.FLOOR.MATH(C1120),'Mortality Tables'!$B$4:$B$124,_xlfn.XLOOKUP(mortality_table,'Mortality Tables'!$B$3:$G$3,'Mortality Tables'!$B$4:$G$124,0,0),0,0)</f>
        <v>0.20007900000000001</v>
      </c>
      <c r="E1120" s="1">
        <f t="shared" si="121"/>
        <v>1.6673250000000001E-2</v>
      </c>
      <c r="F1120" s="1">
        <f t="shared" si="122"/>
        <v>0.98332675000000003</v>
      </c>
      <c r="G1120" s="1">
        <f t="shared" si="123"/>
        <v>0.11149989858566074</v>
      </c>
      <c r="H1120" s="34">
        <f t="shared" si="124"/>
        <v>1.0920035773747512E-2</v>
      </c>
      <c r="I1120" s="36">
        <f t="shared" si="126"/>
        <v>1.2175828813246348E-3</v>
      </c>
    </row>
    <row r="1121" spans="2:9" x14ac:dyDescent="0.35">
      <c r="B1121" s="16">
        <f t="shared" si="127"/>
        <v>92.666666666665762</v>
      </c>
      <c r="C1121" s="17">
        <f t="shared" si="125"/>
        <v>92.666666666665762</v>
      </c>
      <c r="D1121" s="1" cm="1">
        <f t="array" ref="D1121">_xlfn.XLOOKUP(_xlfn.FLOOR.MATH(C1121),'Mortality Tables'!$B$4:$B$124,_xlfn.XLOOKUP(mortality_table,'Mortality Tables'!$B$3:$G$3,'Mortality Tables'!$B$4:$G$124,0,0),0,0)</f>
        <v>0.20007900000000001</v>
      </c>
      <c r="E1121" s="1">
        <f t="shared" si="121"/>
        <v>1.6673250000000001E-2</v>
      </c>
      <c r="F1121" s="1">
        <f t="shared" si="122"/>
        <v>0.98332675000000003</v>
      </c>
      <c r="G1121" s="1">
        <f t="shared" si="123"/>
        <v>0.10964083290156738</v>
      </c>
      <c r="H1121" s="34">
        <f t="shared" si="124"/>
        <v>1.0875726716865873E-2</v>
      </c>
      <c r="I1121" s="36">
        <f t="shared" si="126"/>
        <v>1.1924237356470031E-3</v>
      </c>
    </row>
    <row r="1122" spans="2:9" x14ac:dyDescent="0.35">
      <c r="B1122" s="16">
        <f t="shared" si="127"/>
        <v>92.749999999999091</v>
      </c>
      <c r="C1122" s="17">
        <f t="shared" si="125"/>
        <v>92.749999999999091</v>
      </c>
      <c r="D1122" s="1" cm="1">
        <f t="array" ref="D1122">_xlfn.XLOOKUP(_xlfn.FLOOR.MATH(C1122),'Mortality Tables'!$B$4:$B$124,_xlfn.XLOOKUP(mortality_table,'Mortality Tables'!$B$3:$G$3,'Mortality Tables'!$B$4:$G$124,0,0),0,0)</f>
        <v>0.20007900000000001</v>
      </c>
      <c r="E1122" s="1">
        <f t="shared" si="121"/>
        <v>1.6673250000000001E-2</v>
      </c>
      <c r="F1122" s="1">
        <f t="shared" si="122"/>
        <v>0.98332675000000003</v>
      </c>
      <c r="G1122" s="1">
        <f t="shared" si="123"/>
        <v>0.10781276388439133</v>
      </c>
      <c r="H1122" s="34">
        <f t="shared" si="124"/>
        <v>1.0831597448087718E-2</v>
      </c>
      <c r="I1122" s="36">
        <f t="shared" si="126"/>
        <v>1.1677844581614567E-3</v>
      </c>
    </row>
    <row r="1123" spans="2:9" x14ac:dyDescent="0.35">
      <c r="B1123" s="16">
        <f t="shared" si="127"/>
        <v>92.833333333332419</v>
      </c>
      <c r="C1123" s="17">
        <f t="shared" si="125"/>
        <v>92.833333333332419</v>
      </c>
      <c r="D1123" s="1" cm="1">
        <f t="array" ref="D1123">_xlfn.XLOOKUP(_xlfn.FLOOR.MATH(C1123),'Mortality Tables'!$B$4:$B$124,_xlfn.XLOOKUP(mortality_table,'Mortality Tables'!$B$3:$G$3,'Mortality Tables'!$B$4:$G$124,0,0),0,0)</f>
        <v>0.20007900000000001</v>
      </c>
      <c r="E1123" s="1">
        <f t="shared" si="121"/>
        <v>1.6673250000000001E-2</v>
      </c>
      <c r="F1123" s="1">
        <f t="shared" si="122"/>
        <v>0.98332675000000003</v>
      </c>
      <c r="G1123" s="1">
        <f t="shared" si="123"/>
        <v>0.1060151747189559</v>
      </c>
      <c r="H1123" s="34">
        <f t="shared" si="124"/>
        <v>1.0787647237906149E-2</v>
      </c>
      <c r="I1123" s="36">
        <f t="shared" si="126"/>
        <v>1.1436543067330823E-3</v>
      </c>
    </row>
    <row r="1124" spans="2:9" x14ac:dyDescent="0.35">
      <c r="B1124" s="16">
        <f t="shared" si="127"/>
        <v>92.916666666665748</v>
      </c>
      <c r="C1124" s="17">
        <f t="shared" si="125"/>
        <v>92.916666666665748</v>
      </c>
      <c r="D1124" s="1" cm="1">
        <f t="array" ref="D1124">_xlfn.XLOOKUP(_xlfn.FLOOR.MATH(C1124),'Mortality Tables'!$B$4:$B$124,_xlfn.XLOOKUP(mortality_table,'Mortality Tables'!$B$3:$G$3,'Mortality Tables'!$B$4:$G$124,0,0),0,0)</f>
        <v>0.20007900000000001</v>
      </c>
      <c r="E1124" s="1">
        <f t="shared" si="121"/>
        <v>1.6673250000000001E-2</v>
      </c>
      <c r="F1124" s="1">
        <f t="shared" si="122"/>
        <v>0.98332675000000003</v>
      </c>
      <c r="G1124" s="1">
        <f t="shared" si="123"/>
        <v>0.10424755720707307</v>
      </c>
      <c r="H1124" s="34">
        <f t="shared" si="124"/>
        <v>1.0743875359774344E-2</v>
      </c>
      <c r="I1124" s="36">
        <f t="shared" si="126"/>
        <v>1.1200227611937387E-3</v>
      </c>
    </row>
    <row r="1125" spans="2:9" x14ac:dyDescent="0.35">
      <c r="B1125" s="16">
        <f t="shared" si="127"/>
        <v>92.999999999999076</v>
      </c>
      <c r="C1125" s="17">
        <f t="shared" si="125"/>
        <v>92.999999999999076</v>
      </c>
      <c r="D1125" s="1" cm="1">
        <f t="array" ref="D1125">_xlfn.XLOOKUP(_xlfn.FLOOR.MATH(C1125),'Mortality Tables'!$B$4:$B$124,_xlfn.XLOOKUP(mortality_table,'Mortality Tables'!$B$3:$G$3,'Mortality Tables'!$B$4:$G$124,0,0),0,0)</f>
        <v>0.20007900000000001</v>
      </c>
      <c r="E1125" s="1">
        <f t="shared" si="121"/>
        <v>1.6673250000000001E-2</v>
      </c>
      <c r="F1125" s="1">
        <f t="shared" si="122"/>
        <v>0.98332675000000003</v>
      </c>
      <c r="G1125" s="1">
        <f t="shared" si="123"/>
        <v>0.10250941162387024</v>
      </c>
      <c r="H1125" s="34">
        <f t="shared" si="124"/>
        <v>1.0700281090093473E-2</v>
      </c>
      <c r="I1125" s="36">
        <f t="shared" si="126"/>
        <v>1.0968795187555069E-3</v>
      </c>
    </row>
    <row r="1126" spans="2:9" x14ac:dyDescent="0.35">
      <c r="B1126" s="16">
        <f t="shared" si="127"/>
        <v>93.083333333332405</v>
      </c>
      <c r="C1126" s="17">
        <f t="shared" si="125"/>
        <v>93.083333333332405</v>
      </c>
      <c r="D1126" s="1" cm="1">
        <f t="array" ref="D1126">_xlfn.XLOOKUP(_xlfn.FLOOR.MATH(C1126),'Mortality Tables'!$B$4:$B$124,_xlfn.XLOOKUP(mortality_table,'Mortality Tables'!$B$3:$G$3,'Mortality Tables'!$B$4:$G$124,0,0),0,0)</f>
        <v>0.21635399999999999</v>
      </c>
      <c r="E1126" s="1">
        <f t="shared" si="121"/>
        <v>1.8029499999999997E-2</v>
      </c>
      <c r="F1126" s="1">
        <f t="shared" si="122"/>
        <v>0.98197049999999997</v>
      </c>
      <c r="G1126" s="1">
        <f t="shared" si="123"/>
        <v>0.10080024657651256</v>
      </c>
      <c r="H1126" s="34">
        <f t="shared" si="124"/>
        <v>1.0656863708200797E-2</v>
      </c>
      <c r="I1126" s="36">
        <f t="shared" si="126"/>
        <v>1.0742144895189284E-3</v>
      </c>
    </row>
    <row r="1127" spans="2:9" x14ac:dyDescent="0.35">
      <c r="B1127" s="16">
        <f t="shared" si="127"/>
        <v>93.166666666665733</v>
      </c>
      <c r="C1127" s="17">
        <f t="shared" si="125"/>
        <v>93.166666666665733</v>
      </c>
      <c r="D1127" s="1" cm="1">
        <f t="array" ref="D1127">_xlfn.XLOOKUP(_xlfn.FLOOR.MATH(C1127),'Mortality Tables'!$B$4:$B$124,_xlfn.XLOOKUP(mortality_table,'Mortality Tables'!$B$3:$G$3,'Mortality Tables'!$B$4:$G$124,0,0),0,0)</f>
        <v>0.21635399999999999</v>
      </c>
      <c r="E1127" s="1">
        <f t="shared" si="121"/>
        <v>1.8029499999999997E-2</v>
      </c>
      <c r="F1127" s="1">
        <f t="shared" si="122"/>
        <v>0.98197049999999997</v>
      </c>
      <c r="G1127" s="1">
        <f t="shared" si="123"/>
        <v>9.8982868530861315E-2</v>
      </c>
      <c r="H1127" s="34">
        <f t="shared" si="124"/>
        <v>1.0613622496357725E-2</v>
      </c>
      <c r="I1127" s="36">
        <f t="shared" si="126"/>
        <v>1.0505668001931688E-3</v>
      </c>
    </row>
    <row r="1128" spans="2:9" x14ac:dyDescent="0.35">
      <c r="B1128" s="16">
        <f t="shared" si="127"/>
        <v>93.249999999999062</v>
      </c>
      <c r="C1128" s="17">
        <f t="shared" si="125"/>
        <v>93.249999999999062</v>
      </c>
      <c r="D1128" s="1" cm="1">
        <f t="array" ref="D1128">_xlfn.XLOOKUP(_xlfn.FLOOR.MATH(C1128),'Mortality Tables'!$B$4:$B$124,_xlfn.XLOOKUP(mortality_table,'Mortality Tables'!$B$3:$G$3,'Mortality Tables'!$B$4:$G$124,0,0),0,0)</f>
        <v>0.21635399999999999</v>
      </c>
      <c r="E1128" s="1">
        <f t="shared" si="121"/>
        <v>1.8029499999999997E-2</v>
      </c>
      <c r="F1128" s="1">
        <f t="shared" si="122"/>
        <v>0.98197049999999997</v>
      </c>
      <c r="G1128" s="1">
        <f t="shared" si="123"/>
        <v>9.7198256902684146E-2</v>
      </c>
      <c r="H1128" s="34">
        <f t="shared" si="124"/>
        <v>1.0570556739737958E-2</v>
      </c>
      <c r="I1128" s="36">
        <f t="shared" si="126"/>
        <v>1.0274396895934494E-3</v>
      </c>
    </row>
    <row r="1129" spans="2:9" x14ac:dyDescent="0.35">
      <c r="B1129" s="16">
        <f t="shared" si="127"/>
        <v>93.333333333332391</v>
      </c>
      <c r="C1129" s="17">
        <f t="shared" si="125"/>
        <v>93.333333333332391</v>
      </c>
      <c r="D1129" s="1" cm="1">
        <f t="array" ref="D1129">_xlfn.XLOOKUP(_xlfn.FLOOR.MATH(C1129),'Mortality Tables'!$B$4:$B$124,_xlfn.XLOOKUP(mortality_table,'Mortality Tables'!$B$3:$G$3,'Mortality Tables'!$B$4:$G$124,0,0),0,0)</f>
        <v>0.21635399999999999</v>
      </c>
      <c r="E1129" s="1">
        <f t="shared" si="121"/>
        <v>1.8029499999999997E-2</v>
      </c>
      <c r="F1129" s="1">
        <f t="shared" si="122"/>
        <v>0.98197049999999997</v>
      </c>
      <c r="G1129" s="1">
        <f t="shared" si="123"/>
        <v>9.5445820929857206E-2</v>
      </c>
      <c r="H1129" s="34">
        <f t="shared" si="124"/>
        <v>1.0527665726415673E-2</v>
      </c>
      <c r="I1129" s="36">
        <f t="shared" si="126"/>
        <v>1.0048216977328653E-3</v>
      </c>
    </row>
    <row r="1130" spans="2:9" x14ac:dyDescent="0.35">
      <c r="B1130" s="16">
        <f t="shared" si="127"/>
        <v>93.416666666665719</v>
      </c>
      <c r="C1130" s="17">
        <f t="shared" si="125"/>
        <v>93.416666666665719</v>
      </c>
      <c r="D1130" s="1" cm="1">
        <f t="array" ref="D1130">_xlfn.XLOOKUP(_xlfn.FLOOR.MATH(C1130),'Mortality Tables'!$B$4:$B$124,_xlfn.XLOOKUP(mortality_table,'Mortality Tables'!$B$3:$G$3,'Mortality Tables'!$B$4:$G$124,0,0),0,0)</f>
        <v>0.21635399999999999</v>
      </c>
      <c r="E1130" s="1">
        <f t="shared" si="121"/>
        <v>1.8029499999999997E-2</v>
      </c>
      <c r="F1130" s="1">
        <f t="shared" si="122"/>
        <v>0.98197049999999997</v>
      </c>
      <c r="G1130" s="1">
        <f t="shared" si="123"/>
        <v>9.3724980501402336E-2</v>
      </c>
      <c r="H1130" s="34">
        <f t="shared" si="124"/>
        <v>1.0484948747353747E-2</v>
      </c>
      <c r="I1130" s="36">
        <f t="shared" si="126"/>
        <v>9.8270161690393277E-4</v>
      </c>
    </row>
    <row r="1131" spans="2:9" x14ac:dyDescent="0.35">
      <c r="B1131" s="16">
        <f t="shared" si="127"/>
        <v>93.499999999999048</v>
      </c>
      <c r="C1131" s="17">
        <f t="shared" si="125"/>
        <v>93.499999999999048</v>
      </c>
      <c r="D1131" s="1" cm="1">
        <f t="array" ref="D1131">_xlfn.XLOOKUP(_xlfn.FLOOR.MATH(C1131),'Mortality Tables'!$B$4:$B$124,_xlfn.XLOOKUP(mortality_table,'Mortality Tables'!$B$3:$G$3,'Mortality Tables'!$B$4:$G$124,0,0),0,0)</f>
        <v>0.21635399999999999</v>
      </c>
      <c r="E1131" s="1">
        <f t="shared" si="121"/>
        <v>1.8029499999999997E-2</v>
      </c>
      <c r="F1131" s="1">
        <f t="shared" si="122"/>
        <v>0.98197049999999997</v>
      </c>
      <c r="G1131" s="1">
        <f t="shared" si="123"/>
        <v>9.2035165965452304E-2</v>
      </c>
      <c r="H1131" s="34">
        <f t="shared" si="124"/>
        <v>1.0442405096392051E-2</v>
      </c>
      <c r="I1131" s="36">
        <f t="shared" si="126"/>
        <v>9.6106848612492735E-4</v>
      </c>
    </row>
    <row r="1132" spans="2:9" x14ac:dyDescent="0.35">
      <c r="B1132" s="16">
        <f t="shared" si="127"/>
        <v>93.583333333332376</v>
      </c>
      <c r="C1132" s="17">
        <f t="shared" si="125"/>
        <v>93.583333333332376</v>
      </c>
      <c r="D1132" s="1" cm="1">
        <f t="array" ref="D1132">_xlfn.XLOOKUP(_xlfn.FLOOR.MATH(C1132),'Mortality Tables'!$B$4:$B$124,_xlfn.XLOOKUP(mortality_table,'Mortality Tables'!$B$3:$G$3,'Mortality Tables'!$B$4:$G$124,0,0),0,0)</f>
        <v>0.21635399999999999</v>
      </c>
      <c r="E1132" s="1">
        <f t="shared" si="121"/>
        <v>1.8029499999999997E-2</v>
      </c>
      <c r="F1132" s="1">
        <f t="shared" si="122"/>
        <v>0.98197049999999997</v>
      </c>
      <c r="G1132" s="1">
        <f t="shared" si="123"/>
        <v>9.0375817940678171E-2</v>
      </c>
      <c r="H1132" s="34">
        <f t="shared" si="124"/>
        <v>1.0400034070235752E-2</v>
      </c>
      <c r="I1132" s="36">
        <f t="shared" si="126"/>
        <v>9.3991158570847649E-4</v>
      </c>
    </row>
    <row r="1133" spans="2:9" x14ac:dyDescent="0.35">
      <c r="B1133" s="16">
        <f t="shared" si="127"/>
        <v>93.666666666665705</v>
      </c>
      <c r="C1133" s="17">
        <f t="shared" si="125"/>
        <v>93.666666666665705</v>
      </c>
      <c r="D1133" s="1" cm="1">
        <f t="array" ref="D1133">_xlfn.XLOOKUP(_xlfn.FLOOR.MATH(C1133),'Mortality Tables'!$B$4:$B$124,_xlfn.XLOOKUP(mortality_table,'Mortality Tables'!$B$3:$G$3,'Mortality Tables'!$B$4:$G$124,0,0),0,0)</f>
        <v>0.21635399999999999</v>
      </c>
      <c r="E1133" s="1">
        <f t="shared" si="121"/>
        <v>1.8029499999999997E-2</v>
      </c>
      <c r="F1133" s="1">
        <f t="shared" si="122"/>
        <v>0.98197049999999997</v>
      </c>
      <c r="G1133" s="1">
        <f t="shared" si="123"/>
        <v>8.8746387131116711E-2</v>
      </c>
      <c r="H1133" s="34">
        <f t="shared" si="124"/>
        <v>1.0357834968443714E-2</v>
      </c>
      <c r="I1133" s="36">
        <f t="shared" si="126"/>
        <v>9.1922043194972393E-4</v>
      </c>
    </row>
    <row r="1134" spans="2:9" x14ac:dyDescent="0.35">
      <c r="B1134" s="16">
        <f t="shared" si="127"/>
        <v>93.749999999999034</v>
      </c>
      <c r="C1134" s="17">
        <f t="shared" si="125"/>
        <v>93.749999999999034</v>
      </c>
      <c r="D1134" s="1" cm="1">
        <f t="array" ref="D1134">_xlfn.XLOOKUP(_xlfn.FLOOR.MATH(C1134),'Mortality Tables'!$B$4:$B$124,_xlfn.XLOOKUP(mortality_table,'Mortality Tables'!$B$3:$G$3,'Mortality Tables'!$B$4:$G$124,0,0),0,0)</f>
        <v>0.21635399999999999</v>
      </c>
      <c r="E1134" s="1">
        <f t="shared" si="121"/>
        <v>1.8029499999999997E-2</v>
      </c>
      <c r="F1134" s="1">
        <f t="shared" si="122"/>
        <v>0.98197049999999997</v>
      </c>
      <c r="G1134" s="1">
        <f t="shared" si="123"/>
        <v>8.7146334144336243E-2</v>
      </c>
      <c r="H1134" s="34">
        <f t="shared" si="124"/>
        <v>1.0315807093416901E-2</v>
      </c>
      <c r="I1134" s="36">
        <f t="shared" si="126"/>
        <v>8.9898477193142332E-4</v>
      </c>
    </row>
    <row r="1135" spans="2:9" x14ac:dyDescent="0.35">
      <c r="B1135" s="16">
        <f t="shared" si="127"/>
        <v>93.833333333332362</v>
      </c>
      <c r="C1135" s="17">
        <f t="shared" si="125"/>
        <v>93.833333333332362</v>
      </c>
      <c r="D1135" s="1" cm="1">
        <f t="array" ref="D1135">_xlfn.XLOOKUP(_xlfn.FLOOR.MATH(C1135),'Mortality Tables'!$B$4:$B$124,_xlfn.XLOOKUP(mortality_table,'Mortality Tables'!$B$3:$G$3,'Mortality Tables'!$B$4:$G$124,0,0),0,0)</f>
        <v>0.21635399999999999</v>
      </c>
      <c r="E1135" s="1">
        <f t="shared" si="121"/>
        <v>1.8029499999999997E-2</v>
      </c>
      <c r="F1135" s="1">
        <f t="shared" si="122"/>
        <v>0.98197049999999997</v>
      </c>
      <c r="G1135" s="1">
        <f t="shared" si="123"/>
        <v>8.5575129312880929E-2</v>
      </c>
      <c r="H1135" s="34">
        <f t="shared" si="124"/>
        <v>1.0273949750386844E-2</v>
      </c>
      <c r="I1135" s="36">
        <f t="shared" si="126"/>
        <v>8.7919457844339488E-4</v>
      </c>
    </row>
    <row r="1136" spans="2:9" x14ac:dyDescent="0.35">
      <c r="B1136" s="16">
        <f t="shared" si="127"/>
        <v>93.916666666665691</v>
      </c>
      <c r="C1136" s="17">
        <f t="shared" si="125"/>
        <v>93.916666666665691</v>
      </c>
      <c r="D1136" s="1" cm="1">
        <f t="array" ref="D1136">_xlfn.XLOOKUP(_xlfn.FLOOR.MATH(C1136),'Mortality Tables'!$B$4:$B$124,_xlfn.XLOOKUP(mortality_table,'Mortality Tables'!$B$3:$G$3,'Mortality Tables'!$B$4:$G$124,0,0),0,0)</f>
        <v>0.21635399999999999</v>
      </c>
      <c r="E1136" s="1">
        <f t="shared" si="121"/>
        <v>1.8029499999999997E-2</v>
      </c>
      <c r="F1136" s="1">
        <f t="shared" si="122"/>
        <v>0.98197049999999997</v>
      </c>
      <c r="G1136" s="1">
        <f t="shared" si="123"/>
        <v>8.4032252518934342E-2</v>
      </c>
      <c r="H1136" s="34">
        <f t="shared" si="124"/>
        <v>1.0232262247404171E-2</v>
      </c>
      <c r="I1136" s="36">
        <f t="shared" si="126"/>
        <v>8.5984004501382584E-4</v>
      </c>
    </row>
    <row r="1137" spans="2:9" x14ac:dyDescent="0.35">
      <c r="B1137" s="16">
        <f t="shared" si="127"/>
        <v>93.999999999999019</v>
      </c>
      <c r="C1137" s="17">
        <f t="shared" si="125"/>
        <v>93.999999999999019</v>
      </c>
      <c r="D1137" s="1" cm="1">
        <f t="array" ref="D1137">_xlfn.XLOOKUP(_xlfn.FLOOR.MATH(C1137),'Mortality Tables'!$B$4:$B$124,_xlfn.XLOOKUP(mortality_table,'Mortality Tables'!$B$3:$G$3,'Mortality Tables'!$B$4:$G$124,0,0),0,0)</f>
        <v>0.21635399999999999</v>
      </c>
      <c r="E1137" s="1">
        <f t="shared" si="121"/>
        <v>1.8029499999999997E-2</v>
      </c>
      <c r="F1137" s="1">
        <f t="shared" si="122"/>
        <v>0.98197049999999997</v>
      </c>
      <c r="G1137" s="1">
        <f t="shared" si="123"/>
        <v>8.2517193022144206E-2</v>
      </c>
      <c r="H1137" s="34">
        <f t="shared" si="124"/>
        <v>1.0190743895327153E-2</v>
      </c>
      <c r="I1137" s="36">
        <f t="shared" si="126"/>
        <v>8.4091158104994846E-4</v>
      </c>
    </row>
    <row r="1138" spans="2:9" x14ac:dyDescent="0.35">
      <c r="B1138" s="16">
        <f t="shared" si="127"/>
        <v>94.083333333332348</v>
      </c>
      <c r="C1138" s="17">
        <f t="shared" si="125"/>
        <v>94.083333333332348</v>
      </c>
      <c r="D1138" s="1" cm="1">
        <f t="array" ref="D1138">_xlfn.XLOOKUP(_xlfn.FLOOR.MATH(C1138),'Mortality Tables'!$B$4:$B$124,_xlfn.XLOOKUP(mortality_table,'Mortality Tables'!$B$3:$G$3,'Mortality Tables'!$B$4:$G$124,0,0),0,0)</f>
        <v>0.23354800000000001</v>
      </c>
      <c r="E1138" s="1">
        <f t="shared" si="121"/>
        <v>1.9462333333333331E-2</v>
      </c>
      <c r="F1138" s="1">
        <f t="shared" si="122"/>
        <v>0.98053766666666664</v>
      </c>
      <c r="G1138" s="1">
        <f t="shared" si="123"/>
        <v>8.1029449290551447E-2</v>
      </c>
      <c r="H1138" s="34">
        <f t="shared" si="124"/>
        <v>1.0149394007810319E-2</v>
      </c>
      <c r="I1138" s="36">
        <f t="shared" si="126"/>
        <v>8.2239980708569301E-4</v>
      </c>
    </row>
    <row r="1139" spans="2:9" x14ac:dyDescent="0.35">
      <c r="B1139" s="16">
        <f t="shared" si="127"/>
        <v>94.166666666665677</v>
      </c>
      <c r="C1139" s="17">
        <f t="shared" si="125"/>
        <v>94.166666666665677</v>
      </c>
      <c r="D1139" s="1" cm="1">
        <f t="array" ref="D1139">_xlfn.XLOOKUP(_xlfn.FLOOR.MATH(C1139),'Mortality Tables'!$B$4:$B$124,_xlfn.XLOOKUP(mortality_table,'Mortality Tables'!$B$3:$G$3,'Mortality Tables'!$B$4:$G$124,0,0),0,0)</f>
        <v>0.23354800000000001</v>
      </c>
      <c r="E1139" s="1">
        <f t="shared" si="121"/>
        <v>1.9462333333333331E-2</v>
      </c>
      <c r="F1139" s="1">
        <f t="shared" si="122"/>
        <v>0.98053766666666664</v>
      </c>
      <c r="G1139" s="1">
        <f t="shared" si="123"/>
        <v>7.9452427138642298E-2</v>
      </c>
      <c r="H1139" s="34">
        <f t="shared" si="124"/>
        <v>1.0108211901293098E-2</v>
      </c>
      <c r="I1139" s="36">
        <f t="shared" si="126"/>
        <v>8.0312196958944677E-4</v>
      </c>
    </row>
    <row r="1140" spans="2:9" x14ac:dyDescent="0.35">
      <c r="B1140" s="16">
        <f t="shared" si="127"/>
        <v>94.249999999999005</v>
      </c>
      <c r="C1140" s="17">
        <f t="shared" si="125"/>
        <v>94.249999999999005</v>
      </c>
      <c r="D1140" s="1" cm="1">
        <f t="array" ref="D1140">_xlfn.XLOOKUP(_xlfn.FLOOR.MATH(C1140),'Mortality Tables'!$B$4:$B$124,_xlfn.XLOOKUP(mortality_table,'Mortality Tables'!$B$3:$G$3,'Mortality Tables'!$B$4:$G$124,0,0),0,0)</f>
        <v>0.23354800000000001</v>
      </c>
      <c r="E1140" s="1">
        <f t="shared" si="121"/>
        <v>1.9462333333333331E-2</v>
      </c>
      <c r="F1140" s="1">
        <f t="shared" si="122"/>
        <v>0.98053766666666664</v>
      </c>
      <c r="G1140" s="1">
        <f t="shared" si="123"/>
        <v>7.7906097517527653E-2</v>
      </c>
      <c r="H1140" s="34">
        <f t="shared" si="124"/>
        <v>1.0067196894988556E-2</v>
      </c>
      <c r="I1140" s="36">
        <f t="shared" si="126"/>
        <v>7.8429602302913001E-4</v>
      </c>
    </row>
    <row r="1141" spans="2:9" x14ac:dyDescent="0.35">
      <c r="B1141" s="16">
        <f t="shared" si="127"/>
        <v>94.333333333332334</v>
      </c>
      <c r="C1141" s="17">
        <f t="shared" si="125"/>
        <v>94.333333333332334</v>
      </c>
      <c r="D1141" s="1" cm="1">
        <f t="array" ref="D1141">_xlfn.XLOOKUP(_xlfn.FLOOR.MATH(C1141),'Mortality Tables'!$B$4:$B$124,_xlfn.XLOOKUP(mortality_table,'Mortality Tables'!$B$3:$G$3,'Mortality Tables'!$B$4:$G$124,0,0),0,0)</f>
        <v>0.23354800000000001</v>
      </c>
      <c r="E1141" s="1">
        <f t="shared" si="121"/>
        <v>1.9462333333333331E-2</v>
      </c>
      <c r="F1141" s="1">
        <f t="shared" si="122"/>
        <v>0.98053766666666664</v>
      </c>
      <c r="G1141" s="1">
        <f t="shared" si="123"/>
        <v>7.6389863078942355E-2</v>
      </c>
      <c r="H1141" s="34">
        <f t="shared" si="124"/>
        <v>1.0026348310872095E-2</v>
      </c>
      <c r="I1141" s="36">
        <f t="shared" si="126"/>
        <v>7.6591137464930429E-4</v>
      </c>
    </row>
    <row r="1142" spans="2:9" x14ac:dyDescent="0.35">
      <c r="B1142" s="16">
        <f t="shared" si="127"/>
        <v>94.416666666665662</v>
      </c>
      <c r="C1142" s="17">
        <f t="shared" si="125"/>
        <v>94.416666666665662</v>
      </c>
      <c r="D1142" s="1" cm="1">
        <f t="array" ref="D1142">_xlfn.XLOOKUP(_xlfn.FLOOR.MATH(C1142),'Mortality Tables'!$B$4:$B$124,_xlfn.XLOOKUP(mortality_table,'Mortality Tables'!$B$3:$G$3,'Mortality Tables'!$B$4:$G$124,0,0),0,0)</f>
        <v>0.23354800000000001</v>
      </c>
      <c r="E1142" s="1">
        <f t="shared" si="121"/>
        <v>1.9462333333333331E-2</v>
      </c>
      <c r="F1142" s="1">
        <f t="shared" si="122"/>
        <v>0.98053766666666664</v>
      </c>
      <c r="G1142" s="1">
        <f t="shared" si="123"/>
        <v>7.4903138100412284E-2</v>
      </c>
      <c r="H1142" s="34">
        <f t="shared" si="124"/>
        <v>9.9856654736702605E-3</v>
      </c>
      <c r="I1142" s="36">
        <f t="shared" si="126"/>
        <v>7.4795767999884233E-4</v>
      </c>
    </row>
    <row r="1143" spans="2:9" x14ac:dyDescent="0.35">
      <c r="B1143" s="16">
        <f t="shared" si="127"/>
        <v>94.499999999998991</v>
      </c>
      <c r="C1143" s="17">
        <f t="shared" si="125"/>
        <v>94.499999999998991</v>
      </c>
      <c r="D1143" s="1" cm="1">
        <f t="array" ref="D1143">_xlfn.XLOOKUP(_xlfn.FLOOR.MATH(C1143),'Mortality Tables'!$B$4:$B$124,_xlfn.XLOOKUP(mortality_table,'Mortality Tables'!$B$3:$G$3,'Mortality Tables'!$B$4:$G$124,0,0),0,0)</f>
        <v>0.23354800000000001</v>
      </c>
      <c r="E1143" s="1">
        <f t="shared" si="121"/>
        <v>1.9462333333333331E-2</v>
      </c>
      <c r="F1143" s="1">
        <f t="shared" si="122"/>
        <v>0.98053766666666664</v>
      </c>
      <c r="G1143" s="1">
        <f t="shared" si="123"/>
        <v>7.3445348258989351E-2</v>
      </c>
      <c r="H1143" s="34">
        <f t="shared" si="124"/>
        <v>9.9451477108495959E-3</v>
      </c>
      <c r="I1143" s="36">
        <f t="shared" si="126"/>
        <v>7.3042483711043926E-4</v>
      </c>
    </row>
    <row r="1144" spans="2:9" x14ac:dyDescent="0.35">
      <c r="B1144" s="16">
        <f t="shared" si="127"/>
        <v>94.58333333333232</v>
      </c>
      <c r="C1144" s="17">
        <f t="shared" si="125"/>
        <v>94.58333333333232</v>
      </c>
      <c r="D1144" s="1" cm="1">
        <f t="array" ref="D1144">_xlfn.XLOOKUP(_xlfn.FLOOR.MATH(C1144),'Mortality Tables'!$B$4:$B$124,_xlfn.XLOOKUP(mortality_table,'Mortality Tables'!$B$3:$G$3,'Mortality Tables'!$B$4:$G$124,0,0),0,0)</f>
        <v>0.23354800000000001</v>
      </c>
      <c r="E1144" s="1">
        <f t="shared" si="121"/>
        <v>1.9462333333333331E-2</v>
      </c>
      <c r="F1144" s="1">
        <f t="shared" si="122"/>
        <v>0.98053766666666664</v>
      </c>
      <c r="G1144" s="1">
        <f t="shared" si="123"/>
        <v>7.2015930409390153E-2</v>
      </c>
      <c r="H1144" s="34">
        <f t="shared" si="124"/>
        <v>9.9047943526055036E-3</v>
      </c>
      <c r="I1144" s="36">
        <f t="shared" si="126"/>
        <v>7.1330298081655858E-4</v>
      </c>
    </row>
    <row r="1145" spans="2:9" x14ac:dyDescent="0.35">
      <c r="B1145" s="16">
        <f t="shared" si="127"/>
        <v>94.666666666665648</v>
      </c>
      <c r="C1145" s="17">
        <f t="shared" si="125"/>
        <v>94.666666666665648</v>
      </c>
      <c r="D1145" s="1" cm="1">
        <f t="array" ref="D1145">_xlfn.XLOOKUP(_xlfn.FLOOR.MATH(C1145),'Mortality Tables'!$B$4:$B$124,_xlfn.XLOOKUP(mortality_table,'Mortality Tables'!$B$3:$G$3,'Mortality Tables'!$B$4:$G$124,0,0),0,0)</f>
        <v>0.23354800000000001</v>
      </c>
      <c r="E1145" s="1">
        <f t="shared" si="121"/>
        <v>1.9462333333333331E-2</v>
      </c>
      <c r="F1145" s="1">
        <f t="shared" si="122"/>
        <v>0.98053766666666664</v>
      </c>
      <c r="G1145" s="1">
        <f t="shared" si="123"/>
        <v>7.0614332366452467E-2</v>
      </c>
      <c r="H1145" s="34">
        <f t="shared" si="124"/>
        <v>9.8646047318511811E-3</v>
      </c>
      <c r="I1145" s="36">
        <f t="shared" si="126"/>
        <v>6.9658247719861901E-4</v>
      </c>
    </row>
    <row r="1146" spans="2:9" x14ac:dyDescent="0.35">
      <c r="B1146" s="16">
        <f t="shared" si="127"/>
        <v>94.749999999998977</v>
      </c>
      <c r="C1146" s="17">
        <f t="shared" si="125"/>
        <v>94.749999999998977</v>
      </c>
      <c r="D1146" s="1" cm="1">
        <f t="array" ref="D1146">_xlfn.XLOOKUP(_xlfn.FLOOR.MATH(C1146),'Mortality Tables'!$B$4:$B$124,_xlfn.XLOOKUP(mortality_table,'Mortality Tables'!$B$3:$G$3,'Mortality Tables'!$B$4:$G$124,0,0),0,0)</f>
        <v>0.23354800000000001</v>
      </c>
      <c r="E1146" s="1">
        <f t="shared" si="121"/>
        <v>1.9462333333333331E-2</v>
      </c>
      <c r="F1146" s="1">
        <f t="shared" si="122"/>
        <v>0.98053766666666664</v>
      </c>
      <c r="G1146" s="1">
        <f t="shared" si="123"/>
        <v>6.9240012691825781E-2</v>
      </c>
      <c r="H1146" s="34">
        <f t="shared" si="124"/>
        <v>9.8245781842065949E-3</v>
      </c>
      <c r="I1146" s="36">
        <f t="shared" si="126"/>
        <v>6.8025391816629931E-4</v>
      </c>
    </row>
    <row r="1147" spans="2:9" x14ac:dyDescent="0.35">
      <c r="B1147" s="16">
        <f t="shared" si="127"/>
        <v>94.833333333332305</v>
      </c>
      <c r="C1147" s="17">
        <f t="shared" si="125"/>
        <v>94.833333333332305</v>
      </c>
      <c r="D1147" s="1" cm="1">
        <f t="array" ref="D1147">_xlfn.XLOOKUP(_xlfn.FLOOR.MATH(C1147),'Mortality Tables'!$B$4:$B$124,_xlfn.XLOOKUP(mortality_table,'Mortality Tables'!$B$3:$G$3,'Mortality Tables'!$B$4:$G$124,0,0),0,0)</f>
        <v>0.23354800000000001</v>
      </c>
      <c r="E1147" s="1">
        <f t="shared" si="121"/>
        <v>1.9462333333333331E-2</v>
      </c>
      <c r="F1147" s="1">
        <f t="shared" si="122"/>
        <v>0.98053766666666664</v>
      </c>
      <c r="G1147" s="1">
        <f t="shared" si="123"/>
        <v>6.789244048481323E-2</v>
      </c>
      <c r="H1147" s="34">
        <f t="shared" si="124"/>
        <v>9.7847140479874958E-3</v>
      </c>
      <c r="I1147" s="36">
        <f t="shared" si="126"/>
        <v>6.6430811616390701E-4</v>
      </c>
    </row>
    <row r="1148" spans="2:9" x14ac:dyDescent="0.35">
      <c r="B1148" s="16">
        <f t="shared" si="127"/>
        <v>94.916666666665634</v>
      </c>
      <c r="C1148" s="17">
        <f t="shared" si="125"/>
        <v>94.916666666665634</v>
      </c>
      <c r="D1148" s="1" cm="1">
        <f t="array" ref="D1148">_xlfn.XLOOKUP(_xlfn.FLOOR.MATH(C1148),'Mortality Tables'!$B$4:$B$124,_xlfn.XLOOKUP(mortality_table,'Mortality Tables'!$B$3:$G$3,'Mortality Tables'!$B$4:$G$124,0,0),0,0)</f>
        <v>0.23354800000000001</v>
      </c>
      <c r="E1148" s="1">
        <f t="shared" si="121"/>
        <v>1.9462333333333331E-2</v>
      </c>
      <c r="F1148" s="1">
        <f t="shared" si="122"/>
        <v>0.98053766666666664</v>
      </c>
      <c r="G1148" s="1">
        <f t="shared" si="123"/>
        <v>6.6571095177284295E-2</v>
      </c>
      <c r="H1148" s="34">
        <f t="shared" si="124"/>
        <v>9.7450116641944733E-3</v>
      </c>
      <c r="I1148" s="36">
        <f t="shared" si="126"/>
        <v>6.4873609900083587E-4</v>
      </c>
    </row>
    <row r="1149" spans="2:9" x14ac:dyDescent="0.35">
      <c r="B1149" s="16">
        <f t="shared" si="127"/>
        <v>94.999999999998963</v>
      </c>
      <c r="C1149" s="17">
        <f t="shared" si="125"/>
        <v>94.999999999998963</v>
      </c>
      <c r="D1149" s="1" cm="1">
        <f t="array" ref="D1149">_xlfn.XLOOKUP(_xlfn.FLOOR.MATH(C1149),'Mortality Tables'!$B$4:$B$124,_xlfn.XLOOKUP(mortality_table,'Mortality Tables'!$B$3:$G$3,'Mortality Tables'!$B$4:$G$124,0,0),0,0)</f>
        <v>0.23354800000000001</v>
      </c>
      <c r="E1149" s="1">
        <f t="shared" si="121"/>
        <v>1.9462333333333331E-2</v>
      </c>
      <c r="F1149" s="1">
        <f t="shared" si="122"/>
        <v>0.98053766666666664</v>
      </c>
      <c r="G1149" s="1">
        <f t="shared" si="123"/>
        <v>6.5275466332578927E-2</v>
      </c>
      <c r="H1149" s="34">
        <f t="shared" si="124"/>
        <v>9.7054703765020751E-3</v>
      </c>
      <c r="I1149" s="36">
        <f t="shared" si="126"/>
        <v>6.3352910480320331E-4</v>
      </c>
    </row>
    <row r="1150" spans="2:9" x14ac:dyDescent="0.35">
      <c r="B1150" s="16">
        <f t="shared" si="127"/>
        <v>95.083333333332291</v>
      </c>
      <c r="C1150" s="17">
        <f t="shared" si="125"/>
        <v>95.083333333332291</v>
      </c>
      <c r="D1150" s="1" cm="1">
        <f t="array" ref="D1150">_xlfn.XLOOKUP(_xlfn.FLOOR.MATH(C1150),'Mortality Tables'!$B$4:$B$124,_xlfn.XLOOKUP(mortality_table,'Mortality Tables'!$B$3:$G$3,'Mortality Tables'!$B$4:$G$124,0,0),0,0)</f>
        <v>0.251662</v>
      </c>
      <c r="E1150" s="1">
        <f t="shared" si="121"/>
        <v>2.0971833333333332E-2</v>
      </c>
      <c r="F1150" s="1">
        <f t="shared" si="122"/>
        <v>0.9790281666666667</v>
      </c>
      <c r="G1150" s="1">
        <f t="shared" si="123"/>
        <v>6.4005053448325494E-2</v>
      </c>
      <c r="H1150" s="34">
        <f t="shared" si="124"/>
        <v>9.6660895312479476E-3</v>
      </c>
      <c r="I1150" s="36">
        <f t="shared" si="126"/>
        <v>6.1867857708382441E-4</v>
      </c>
    </row>
    <row r="1151" spans="2:9" x14ac:dyDescent="0.35">
      <c r="B1151" s="16">
        <f t="shared" si="127"/>
        <v>95.16666666666562</v>
      </c>
      <c r="C1151" s="17">
        <f t="shared" si="125"/>
        <v>95.16666666666562</v>
      </c>
      <c r="D1151" s="1" cm="1">
        <f t="array" ref="D1151">_xlfn.XLOOKUP(_xlfn.FLOOR.MATH(C1151),'Mortality Tables'!$B$4:$B$124,_xlfn.XLOOKUP(mortality_table,'Mortality Tables'!$B$3:$G$3,'Mortality Tables'!$B$4:$G$124,0,0),0,0)</f>
        <v>0.251662</v>
      </c>
      <c r="E1151" s="1">
        <f t="shared" si="121"/>
        <v>2.0971833333333332E-2</v>
      </c>
      <c r="F1151" s="1">
        <f t="shared" si="122"/>
        <v>0.9790281666666667</v>
      </c>
      <c r="G1151" s="1">
        <f t="shared" si="123"/>
        <v>6.2662750134916123E-2</v>
      </c>
      <c r="H1151" s="34">
        <f t="shared" si="124"/>
        <v>9.6268684774220292E-3</v>
      </c>
      <c r="I1151" s="36">
        <f t="shared" si="126"/>
        <v>6.0324605398239699E-4</v>
      </c>
    </row>
    <row r="1152" spans="2:9" x14ac:dyDescent="0.35">
      <c r="B1152" s="16">
        <f t="shared" si="127"/>
        <v>95.249999999998948</v>
      </c>
      <c r="C1152" s="17">
        <f t="shared" si="125"/>
        <v>95.249999999998948</v>
      </c>
      <c r="D1152" s="1" cm="1">
        <f t="array" ref="D1152">_xlfn.XLOOKUP(_xlfn.FLOOR.MATH(C1152),'Mortality Tables'!$B$4:$B$124,_xlfn.XLOOKUP(mortality_table,'Mortality Tables'!$B$3:$G$3,'Mortality Tables'!$B$4:$G$124,0,0),0,0)</f>
        <v>0.251662</v>
      </c>
      <c r="E1152" s="1">
        <f t="shared" si="121"/>
        <v>2.0971833333333332E-2</v>
      </c>
      <c r="F1152" s="1">
        <f t="shared" si="122"/>
        <v>0.9790281666666667</v>
      </c>
      <c r="G1152" s="1">
        <f t="shared" si="123"/>
        <v>6.1348597382878352E-2</v>
      </c>
      <c r="H1152" s="34">
        <f t="shared" si="124"/>
        <v>9.5878065666558012E-3</v>
      </c>
      <c r="I1152" s="36">
        <f t="shared" si="126"/>
        <v>5.8819848484268397E-4</v>
      </c>
    </row>
    <row r="1153" spans="2:9" x14ac:dyDescent="0.35">
      <c r="B1153" s="16">
        <f t="shared" si="127"/>
        <v>95.333333333332277</v>
      </c>
      <c r="C1153" s="17">
        <f t="shared" si="125"/>
        <v>95.333333333332277</v>
      </c>
      <c r="D1153" s="1" cm="1">
        <f t="array" ref="D1153">_xlfn.XLOOKUP(_xlfn.FLOOR.MATH(C1153),'Mortality Tables'!$B$4:$B$124,_xlfn.XLOOKUP(mortality_table,'Mortality Tables'!$B$3:$G$3,'Mortality Tables'!$B$4:$G$124,0,0),0,0)</f>
        <v>0.251662</v>
      </c>
      <c r="E1153" s="1">
        <f t="shared" si="121"/>
        <v>2.0971833333333332E-2</v>
      </c>
      <c r="F1153" s="1">
        <f t="shared" si="122"/>
        <v>0.9790281666666667</v>
      </c>
      <c r="G1153" s="1">
        <f t="shared" si="123"/>
        <v>6.0062004823330857E-2</v>
      </c>
      <c r="H1153" s="34">
        <f t="shared" si="124"/>
        <v>9.5489031532115503E-3</v>
      </c>
      <c r="I1153" s="36">
        <f t="shared" si="126"/>
        <v>5.7352626724571133E-4</v>
      </c>
    </row>
    <row r="1154" spans="2:9" x14ac:dyDescent="0.35">
      <c r="B1154" s="16">
        <f t="shared" si="127"/>
        <v>95.416666666665606</v>
      </c>
      <c r="C1154" s="17">
        <f t="shared" si="125"/>
        <v>95.416666666665606</v>
      </c>
      <c r="D1154" s="1" cm="1">
        <f t="array" ref="D1154">_xlfn.XLOOKUP(_xlfn.FLOOR.MATH(C1154),'Mortality Tables'!$B$4:$B$124,_xlfn.XLOOKUP(mortality_table,'Mortality Tables'!$B$3:$G$3,'Mortality Tables'!$B$4:$G$124,0,0),0,0)</f>
        <v>0.251662</v>
      </c>
      <c r="E1154" s="1">
        <f t="shared" ref="E1154:E1217" si="128">$F$5*D1154</f>
        <v>2.0971833333333332E-2</v>
      </c>
      <c r="F1154" s="1">
        <f t="shared" ref="F1154:F1217" si="129">1-E1154</f>
        <v>0.9790281666666667</v>
      </c>
      <c r="G1154" s="1">
        <f t="shared" ref="G1154:G1217" si="130">G1153*F1153</f>
        <v>5.88023944685101E-2</v>
      </c>
      <c r="H1154" s="34">
        <f t="shared" ref="H1154:H1217" si="131">(1+interest_rate)^-(B1154)</f>
        <v>9.5101575939717086E-3</v>
      </c>
      <c r="I1154" s="36">
        <f t="shared" si="126"/>
        <v>5.5922003829842132E-4</v>
      </c>
    </row>
    <row r="1155" spans="2:9" x14ac:dyDescent="0.35">
      <c r="B1155" s="16">
        <f t="shared" si="127"/>
        <v>95.499999999998934</v>
      </c>
      <c r="C1155" s="17">
        <f t="shared" si="125"/>
        <v>95.499999999998934</v>
      </c>
      <c r="D1155" s="1" cm="1">
        <f t="array" ref="D1155">_xlfn.XLOOKUP(_xlfn.FLOOR.MATH(C1155),'Mortality Tables'!$B$4:$B$124,_xlfn.XLOOKUP(mortality_table,'Mortality Tables'!$B$3:$G$3,'Mortality Tables'!$B$4:$G$124,0,0),0,0)</f>
        <v>0.251662</v>
      </c>
      <c r="E1155" s="1">
        <f t="shared" si="128"/>
        <v>2.0971833333333332E-2</v>
      </c>
      <c r="F1155" s="1">
        <f t="shared" si="129"/>
        <v>0.9790281666666667</v>
      </c>
      <c r="G1155" s="1">
        <f t="shared" si="130"/>
        <v>5.7569200452115589E-2</v>
      </c>
      <c r="H1155" s="34">
        <f t="shared" si="131"/>
        <v>9.4715692484282112E-3</v>
      </c>
      <c r="I1155" s="36">
        <f t="shared" si="126"/>
        <v>5.4527066865885749E-4</v>
      </c>
    </row>
    <row r="1156" spans="2:9" x14ac:dyDescent="0.35">
      <c r="B1156" s="16">
        <f t="shared" si="127"/>
        <v>95.583333333332263</v>
      </c>
      <c r="C1156" s="17">
        <f t="shared" si="125"/>
        <v>95.583333333332263</v>
      </c>
      <c r="D1156" s="1" cm="1">
        <f t="array" ref="D1156">_xlfn.XLOOKUP(_xlfn.FLOOR.MATH(C1156),'Mortality Tables'!$B$4:$B$124,_xlfn.XLOOKUP(mortality_table,'Mortality Tables'!$B$3:$G$3,'Mortality Tables'!$B$4:$G$124,0,0),0,0)</f>
        <v>0.251662</v>
      </c>
      <c r="E1156" s="1">
        <f t="shared" si="128"/>
        <v>2.0971833333333332E-2</v>
      </c>
      <c r="F1156" s="1">
        <f t="shared" si="129"/>
        <v>0.9790281666666667</v>
      </c>
      <c r="G1156" s="1">
        <f t="shared" si="130"/>
        <v>5.6361868775100563E-2</v>
      </c>
      <c r="H1156" s="34">
        <f t="shared" si="131"/>
        <v>9.4331374786719314E-3</v>
      </c>
      <c r="I1156" s="36">
        <f t="shared" si="126"/>
        <v>5.3166925671039038E-4</v>
      </c>
    </row>
    <row r="1157" spans="2:9" x14ac:dyDescent="0.35">
      <c r="B1157" s="16">
        <f t="shared" si="127"/>
        <v>95.666666666665591</v>
      </c>
      <c r="C1157" s="17">
        <f t="shared" si="125"/>
        <v>95.666666666665591</v>
      </c>
      <c r="D1157" s="1" cm="1">
        <f t="array" ref="D1157">_xlfn.XLOOKUP(_xlfn.FLOOR.MATH(C1157),'Mortality Tables'!$B$4:$B$124,_xlfn.XLOOKUP(mortality_table,'Mortality Tables'!$B$3:$G$3,'Mortality Tables'!$B$4:$G$124,0,0),0,0)</f>
        <v>0.251662</v>
      </c>
      <c r="E1157" s="1">
        <f t="shared" si="128"/>
        <v>2.0971833333333332E-2</v>
      </c>
      <c r="F1157" s="1">
        <f t="shared" si="129"/>
        <v>0.9790281666666667</v>
      </c>
      <c r="G1157" s="1">
        <f t="shared" si="130"/>
        <v>5.517985705679395E-2</v>
      </c>
      <c r="H1157" s="34">
        <f t="shared" si="131"/>
        <v>9.3948616493821011E-3</v>
      </c>
      <c r="I1157" s="36">
        <f t="shared" si="126"/>
        <v>5.1840712288125977E-4</v>
      </c>
    </row>
    <row r="1158" spans="2:9" x14ac:dyDescent="0.35">
      <c r="B1158" s="16">
        <f t="shared" si="127"/>
        <v>95.74999999999892</v>
      </c>
      <c r="C1158" s="17">
        <f t="shared" si="125"/>
        <v>95.74999999999892</v>
      </c>
      <c r="D1158" s="1" cm="1">
        <f t="array" ref="D1158">_xlfn.XLOOKUP(_xlfn.FLOOR.MATH(C1158),'Mortality Tables'!$B$4:$B$124,_xlfn.XLOOKUP(mortality_table,'Mortality Tables'!$B$3:$G$3,'Mortality Tables'!$B$4:$G$124,0,0),0,0)</f>
        <v>0.251662</v>
      </c>
      <c r="E1158" s="1">
        <f t="shared" si="128"/>
        <v>2.0971833333333332E-2</v>
      </c>
      <c r="F1158" s="1">
        <f t="shared" si="129"/>
        <v>0.9790281666666667</v>
      </c>
      <c r="G1158" s="1">
        <f t="shared" si="130"/>
        <v>5.4022634291241711E-2</v>
      </c>
      <c r="H1158" s="34">
        <f t="shared" si="131"/>
        <v>9.3567411278158291E-3</v>
      </c>
      <c r="I1158" s="36">
        <f t="shared" si="126"/>
        <v>5.0547580410581505E-4</v>
      </c>
    </row>
    <row r="1159" spans="2:9" x14ac:dyDescent="0.35">
      <c r="B1159" s="16">
        <f t="shared" si="127"/>
        <v>95.833333333332249</v>
      </c>
      <c r="C1159" s="17">
        <f t="shared" si="125"/>
        <v>95.833333333332249</v>
      </c>
      <c r="D1159" s="1" cm="1">
        <f t="array" ref="D1159">_xlfn.XLOOKUP(_xlfn.FLOOR.MATH(C1159),'Mortality Tables'!$B$4:$B$124,_xlfn.XLOOKUP(mortality_table,'Mortality Tables'!$B$3:$G$3,'Mortality Tables'!$B$4:$G$124,0,0),0,0)</f>
        <v>0.251662</v>
      </c>
      <c r="E1159" s="1">
        <f t="shared" si="128"/>
        <v>2.0971833333333332E-2</v>
      </c>
      <c r="F1159" s="1">
        <f t="shared" si="129"/>
        <v>0.9790281666666667</v>
      </c>
      <c r="G1159" s="1">
        <f t="shared" si="130"/>
        <v>5.2889680608658174E-2</v>
      </c>
      <c r="H1159" s="34">
        <f t="shared" si="131"/>
        <v>9.3187752837976378E-3</v>
      </c>
      <c r="I1159" s="36">
        <f t="shared" si="126"/>
        <v>4.9286704842391497E-4</v>
      </c>
    </row>
    <row r="1160" spans="2:9" x14ac:dyDescent="0.35">
      <c r="B1160" s="16">
        <f t="shared" si="127"/>
        <v>95.916666666665577</v>
      </c>
      <c r="C1160" s="17">
        <f t="shared" si="125"/>
        <v>95.916666666665577</v>
      </c>
      <c r="D1160" s="1" cm="1">
        <f t="array" ref="D1160">_xlfn.XLOOKUP(_xlfn.FLOOR.MATH(C1160),'Mortality Tables'!$B$4:$B$124,_xlfn.XLOOKUP(mortality_table,'Mortality Tables'!$B$3:$G$3,'Mortality Tables'!$B$4:$G$124,0,0),0,0)</f>
        <v>0.251662</v>
      </c>
      <c r="E1160" s="1">
        <f t="shared" si="128"/>
        <v>2.0971833333333332E-2</v>
      </c>
      <c r="F1160" s="1">
        <f t="shared" si="129"/>
        <v>0.9790281666666667</v>
      </c>
      <c r="G1160" s="1">
        <f t="shared" si="130"/>
        <v>5.1780487041880166E-2</v>
      </c>
      <c r="H1160" s="34">
        <f t="shared" si="131"/>
        <v>9.2809634897090456E-3</v>
      </c>
      <c r="I1160" s="36">
        <f t="shared" si="126"/>
        <v>4.8057280971504216E-4</v>
      </c>
    </row>
    <row r="1161" spans="2:9" x14ac:dyDescent="0.35">
      <c r="B1161" s="16">
        <f t="shared" si="127"/>
        <v>95.999999999998906</v>
      </c>
      <c r="C1161" s="17">
        <f t="shared" ref="C1161:C1224" si="132">current_age+B1161</f>
        <v>95.999999999998906</v>
      </c>
      <c r="D1161" s="1" cm="1">
        <f t="array" ref="D1161">_xlfn.XLOOKUP(_xlfn.FLOOR.MATH(C1161),'Mortality Tables'!$B$4:$B$124,_xlfn.XLOOKUP(mortality_table,'Mortality Tables'!$B$3:$G$3,'Mortality Tables'!$B$4:$G$124,0,0),0,0)</f>
        <v>0.251662</v>
      </c>
      <c r="E1161" s="1">
        <f t="shared" si="128"/>
        <v>2.0971833333333332E-2</v>
      </c>
      <c r="F1161" s="1">
        <f t="shared" si="129"/>
        <v>0.9790281666666667</v>
      </c>
      <c r="G1161" s="1">
        <f t="shared" si="130"/>
        <v>5.0694555297719032E-2</v>
      </c>
      <c r="H1161" s="34">
        <f t="shared" si="131"/>
        <v>9.2433051204781885E-3</v>
      </c>
      <c r="I1161" s="36">
        <f t="shared" ref="I1161:I1224" si="133">IF(current_age+B1161&lt;=$C$5,G1161*H1161,0)</f>
        <v>4.6858524256377103E-4</v>
      </c>
    </row>
    <row r="1162" spans="2:9" x14ac:dyDescent="0.35">
      <c r="B1162" s="16">
        <f t="shared" ref="B1162:B1225" si="134">B1161+$F$5</f>
        <v>96.083333333332234</v>
      </c>
      <c r="C1162" s="17">
        <f t="shared" si="132"/>
        <v>96.083333333332234</v>
      </c>
      <c r="D1162" s="1" cm="1">
        <f t="array" ref="D1162">_xlfn.XLOOKUP(_xlfn.FLOOR.MATH(C1162),'Mortality Tables'!$B$4:$B$124,_xlfn.XLOOKUP(mortality_table,'Mortality Tables'!$B$3:$G$3,'Mortality Tables'!$B$4:$G$124,0,0),0,0)</f>
        <v>0.27068799999999998</v>
      </c>
      <c r="E1162" s="1">
        <f t="shared" si="128"/>
        <v>2.2557333333333332E-2</v>
      </c>
      <c r="F1162" s="1">
        <f t="shared" si="129"/>
        <v>0.97744266666666668</v>
      </c>
      <c r="G1162" s="1">
        <f t="shared" si="130"/>
        <v>4.9631397533107822E-2</v>
      </c>
      <c r="H1162" s="34">
        <f t="shared" si="131"/>
        <v>9.2057995535694964E-3</v>
      </c>
      <c r="I1162" s="36">
        <f t="shared" si="133"/>
        <v>4.5689669725331421E-4</v>
      </c>
    </row>
    <row r="1163" spans="2:9" x14ac:dyDescent="0.35">
      <c r="B1163" s="16">
        <f t="shared" si="134"/>
        <v>96.166666666665563</v>
      </c>
      <c r="C1163" s="17">
        <f t="shared" si="132"/>
        <v>96.166666666665563</v>
      </c>
      <c r="D1163" s="1" cm="1">
        <f t="array" ref="D1163">_xlfn.XLOOKUP(_xlfn.FLOOR.MATH(C1163),'Mortality Tables'!$B$4:$B$124,_xlfn.XLOOKUP(mortality_table,'Mortality Tables'!$B$3:$G$3,'Mortality Tables'!$B$4:$G$124,0,0),0,0)</f>
        <v>0.27068799999999998</v>
      </c>
      <c r="E1163" s="1">
        <f t="shared" si="128"/>
        <v>2.2557333333333332E-2</v>
      </c>
      <c r="F1163" s="1">
        <f t="shared" si="129"/>
        <v>0.97744266666666668</v>
      </c>
      <c r="G1163" s="1">
        <f t="shared" si="130"/>
        <v>4.851184555515433E-2</v>
      </c>
      <c r="H1163" s="34">
        <f t="shared" si="131"/>
        <v>9.1684461689733841E-3</v>
      </c>
      <c r="I1163" s="36">
        <f t="shared" si="133"/>
        <v>4.4477824452998323E-4</v>
      </c>
    </row>
    <row r="1164" spans="2:9" x14ac:dyDescent="0.35">
      <c r="B1164" s="16">
        <f t="shared" si="134"/>
        <v>96.249999999998892</v>
      </c>
      <c r="C1164" s="17">
        <f t="shared" si="132"/>
        <v>96.249999999998892</v>
      </c>
      <c r="D1164" s="1" cm="1">
        <f t="array" ref="D1164">_xlfn.XLOOKUP(_xlfn.FLOOR.MATH(C1164),'Mortality Tables'!$B$4:$B$124,_xlfn.XLOOKUP(mortality_table,'Mortality Tables'!$B$3:$G$3,'Mortality Tables'!$B$4:$G$124,0,0),0,0)</f>
        <v>0.27068799999999998</v>
      </c>
      <c r="E1164" s="1">
        <f t="shared" si="128"/>
        <v>2.2557333333333332E-2</v>
      </c>
      <c r="F1164" s="1">
        <f t="shared" si="129"/>
        <v>0.97744266666666668</v>
      </c>
      <c r="G1164" s="1">
        <f t="shared" si="130"/>
        <v>4.7417547684351531E-2</v>
      </c>
      <c r="H1164" s="34">
        <f t="shared" si="131"/>
        <v>9.131244349196023E-3</v>
      </c>
      <c r="I1164" s="36">
        <f t="shared" si="133"/>
        <v>4.329812143454679E-4</v>
      </c>
    </row>
    <row r="1165" spans="2:9" x14ac:dyDescent="0.35">
      <c r="B1165" s="16">
        <f t="shared" si="134"/>
        <v>96.33333333333222</v>
      </c>
      <c r="C1165" s="17">
        <f t="shared" si="132"/>
        <v>96.33333333333222</v>
      </c>
      <c r="D1165" s="1" cm="1">
        <f t="array" ref="D1165">_xlfn.XLOOKUP(_xlfn.FLOOR.MATH(C1165),'Mortality Tables'!$B$4:$B$124,_xlfn.XLOOKUP(mortality_table,'Mortality Tables'!$B$3:$G$3,'Mortality Tables'!$B$4:$G$124,0,0),0,0)</f>
        <v>0.27068799999999998</v>
      </c>
      <c r="E1165" s="1">
        <f t="shared" si="128"/>
        <v>2.2557333333333332E-2</v>
      </c>
      <c r="F1165" s="1">
        <f t="shared" si="129"/>
        <v>0.97744266666666668</v>
      </c>
      <c r="G1165" s="1">
        <f t="shared" si="130"/>
        <v>4.6347934255386386E-2</v>
      </c>
      <c r="H1165" s="34">
        <f t="shared" si="131"/>
        <v>9.0941934792491182E-3</v>
      </c>
      <c r="I1165" s="36">
        <f t="shared" si="133"/>
        <v>4.2149708148200171E-4</v>
      </c>
    </row>
    <row r="1166" spans="2:9" x14ac:dyDescent="0.35">
      <c r="B1166" s="16">
        <f t="shared" si="134"/>
        <v>96.416666666665549</v>
      </c>
      <c r="C1166" s="17">
        <f t="shared" si="132"/>
        <v>96.416666666665549</v>
      </c>
      <c r="D1166" s="1" cm="1">
        <f t="array" ref="D1166">_xlfn.XLOOKUP(_xlfn.FLOOR.MATH(C1166),'Mortality Tables'!$B$4:$B$124,_xlfn.XLOOKUP(mortality_table,'Mortality Tables'!$B$3:$G$3,'Mortality Tables'!$B$4:$G$124,0,0),0,0)</f>
        <v>0.27068799999999998</v>
      </c>
      <c r="E1166" s="1">
        <f t="shared" si="128"/>
        <v>2.2557333333333332E-2</v>
      </c>
      <c r="F1166" s="1">
        <f t="shared" si="129"/>
        <v>0.97744266666666668</v>
      </c>
      <c r="G1166" s="1">
        <f t="shared" si="130"/>
        <v>4.5302448453076218E-2</v>
      </c>
      <c r="H1166" s="34">
        <f t="shared" si="131"/>
        <v>9.0572929466397455E-3</v>
      </c>
      <c r="I1166" s="36">
        <f t="shared" si="133"/>
        <v>4.103175468395579E-4</v>
      </c>
    </row>
    <row r="1167" spans="2:9" x14ac:dyDescent="0.35">
      <c r="B1167" s="16">
        <f t="shared" si="134"/>
        <v>96.499999999998877</v>
      </c>
      <c r="C1167" s="17">
        <f t="shared" si="132"/>
        <v>96.499999999998877</v>
      </c>
      <c r="D1167" s="1" cm="1">
        <f t="array" ref="D1167">_xlfn.XLOOKUP(_xlfn.FLOOR.MATH(C1167),'Mortality Tables'!$B$4:$B$124,_xlfn.XLOOKUP(mortality_table,'Mortality Tables'!$B$3:$G$3,'Mortality Tables'!$B$4:$G$124,0,0),0,0)</f>
        <v>0.27068799999999998</v>
      </c>
      <c r="E1167" s="1">
        <f t="shared" si="128"/>
        <v>2.2557333333333332E-2</v>
      </c>
      <c r="F1167" s="1">
        <f t="shared" si="129"/>
        <v>0.97744266666666668</v>
      </c>
      <c r="G1167" s="1">
        <f t="shared" si="130"/>
        <v>4.428054602250403E-2</v>
      </c>
      <c r="H1167" s="34">
        <f t="shared" si="131"/>
        <v>9.0205421413602303E-3</v>
      </c>
      <c r="I1167" s="36">
        <f t="shared" si="133"/>
        <v>3.9943453143843872E-4</v>
      </c>
    </row>
    <row r="1168" spans="2:9" x14ac:dyDescent="0.35">
      <c r="B1168" s="16">
        <f t="shared" si="134"/>
        <v>96.583333333332206</v>
      </c>
      <c r="C1168" s="17">
        <f t="shared" si="132"/>
        <v>96.583333333332206</v>
      </c>
      <c r="D1168" s="1" cm="1">
        <f t="array" ref="D1168">_xlfn.XLOOKUP(_xlfn.FLOOR.MATH(C1168),'Mortality Tables'!$B$4:$B$124,_xlfn.XLOOKUP(mortality_table,'Mortality Tables'!$B$3:$G$3,'Mortality Tables'!$B$4:$G$124,0,0),0,0)</f>
        <v>0.27068799999999998</v>
      </c>
      <c r="E1168" s="1">
        <f t="shared" si="128"/>
        <v>2.2557333333333332E-2</v>
      </c>
      <c r="F1168" s="1">
        <f t="shared" si="129"/>
        <v>0.97744266666666668</v>
      </c>
      <c r="G1168" s="1">
        <f t="shared" si="130"/>
        <v>4.3281694985692398E-2</v>
      </c>
      <c r="H1168" s="34">
        <f t="shared" si="131"/>
        <v>8.9839404558780603E-3</v>
      </c>
      <c r="I1168" s="36">
        <f t="shared" si="133"/>
        <v>3.8884017058093653E-4</v>
      </c>
    </row>
    <row r="1169" spans="2:9" x14ac:dyDescent="0.35">
      <c r="B1169" s="16">
        <f t="shared" si="134"/>
        <v>96.666666666665535</v>
      </c>
      <c r="C1169" s="17">
        <f t="shared" si="132"/>
        <v>96.666666666665535</v>
      </c>
      <c r="D1169" s="1" cm="1">
        <f t="array" ref="D1169">_xlfn.XLOOKUP(_xlfn.FLOOR.MATH(C1169),'Mortality Tables'!$B$4:$B$124,_xlfn.XLOOKUP(mortality_table,'Mortality Tables'!$B$3:$G$3,'Mortality Tables'!$B$4:$G$124,0,0),0,0)</f>
        <v>0.27068799999999998</v>
      </c>
      <c r="E1169" s="1">
        <f t="shared" si="128"/>
        <v>2.2557333333333332E-2</v>
      </c>
      <c r="F1169" s="1">
        <f t="shared" si="129"/>
        <v>0.97744266666666668</v>
      </c>
      <c r="G1169" s="1">
        <f t="shared" si="130"/>
        <v>4.2305375364668475E-2</v>
      </c>
      <c r="H1169" s="34">
        <f t="shared" si="131"/>
        <v>8.9474872851258418E-3</v>
      </c>
      <c r="I1169" s="36">
        <f t="shared" si="133"/>
        <v>3.7852680816784722E-4</v>
      </c>
    </row>
    <row r="1170" spans="2:9" x14ac:dyDescent="0.35">
      <c r="B1170" s="16">
        <f t="shared" si="134"/>
        <v>96.749999999998863</v>
      </c>
      <c r="C1170" s="17">
        <f t="shared" si="132"/>
        <v>96.749999999998863</v>
      </c>
      <c r="D1170" s="1" cm="1">
        <f t="array" ref="D1170">_xlfn.XLOOKUP(_xlfn.FLOOR.MATH(C1170),'Mortality Tables'!$B$4:$B$124,_xlfn.XLOOKUP(mortality_table,'Mortality Tables'!$B$3:$G$3,'Mortality Tables'!$B$4:$G$124,0,0),0,0)</f>
        <v>0.27068799999999998</v>
      </c>
      <c r="E1170" s="1">
        <f t="shared" si="128"/>
        <v>2.2557333333333332E-2</v>
      </c>
      <c r="F1170" s="1">
        <f t="shared" si="129"/>
        <v>0.97744266666666668</v>
      </c>
      <c r="G1170" s="1">
        <f t="shared" si="130"/>
        <v>4.1351078910775864E-2</v>
      </c>
      <c r="H1170" s="34">
        <f t="shared" si="131"/>
        <v>8.9111820264912971E-3</v>
      </c>
      <c r="I1170" s="36">
        <f t="shared" si="133"/>
        <v>3.684869911657292E-4</v>
      </c>
    </row>
    <row r="1171" spans="2:9" x14ac:dyDescent="0.35">
      <c r="B1171" s="16">
        <f t="shared" si="134"/>
        <v>96.833333333332192</v>
      </c>
      <c r="C1171" s="17">
        <f t="shared" si="132"/>
        <v>96.833333333332192</v>
      </c>
      <c r="D1171" s="1" cm="1">
        <f t="array" ref="D1171">_xlfn.XLOOKUP(_xlfn.FLOOR.MATH(C1171),'Mortality Tables'!$B$4:$B$124,_xlfn.XLOOKUP(mortality_table,'Mortality Tables'!$B$3:$G$3,'Mortality Tables'!$B$4:$G$124,0,0),0,0)</f>
        <v>0.27068799999999998</v>
      </c>
      <c r="E1171" s="1">
        <f t="shared" si="128"/>
        <v>2.2557333333333332E-2</v>
      </c>
      <c r="F1171" s="1">
        <f t="shared" si="129"/>
        <v>0.97744266666666668</v>
      </c>
      <c r="G1171" s="1">
        <f t="shared" si="130"/>
        <v>4.0418308840092523E-2</v>
      </c>
      <c r="H1171" s="34">
        <f t="shared" si="131"/>
        <v>8.8750240798072966E-3</v>
      </c>
      <c r="I1171" s="36">
        <f t="shared" si="133"/>
        <v>3.5871346422090925E-4</v>
      </c>
    </row>
    <row r="1172" spans="2:9" x14ac:dyDescent="0.35">
      <c r="B1172" s="16">
        <f t="shared" si="134"/>
        <v>96.91666666666552</v>
      </c>
      <c r="C1172" s="17">
        <f t="shared" si="132"/>
        <v>96.91666666666552</v>
      </c>
      <c r="D1172" s="1" cm="1">
        <f t="array" ref="D1172">_xlfn.XLOOKUP(_xlfn.FLOOR.MATH(C1172),'Mortality Tables'!$B$4:$B$124,_xlfn.XLOOKUP(mortality_table,'Mortality Tables'!$B$3:$G$3,'Mortality Tables'!$B$4:$G$124,0,0),0,0)</f>
        <v>0.27068799999999998</v>
      </c>
      <c r="E1172" s="1">
        <f t="shared" si="128"/>
        <v>2.2557333333333332E-2</v>
      </c>
      <c r="F1172" s="1">
        <f t="shared" si="129"/>
        <v>0.97744266666666668</v>
      </c>
      <c r="G1172" s="1">
        <f t="shared" si="130"/>
        <v>3.9506579574816944E-2</v>
      </c>
      <c r="H1172" s="34">
        <f t="shared" si="131"/>
        <v>8.8390128473419694E-3</v>
      </c>
      <c r="I1172" s="36">
        <f t="shared" si="133"/>
        <v>3.4919916441634481E-4</v>
      </c>
    </row>
    <row r="1173" spans="2:9" x14ac:dyDescent="0.35">
      <c r="B1173" s="16">
        <f t="shared" si="134"/>
        <v>96.999999999998849</v>
      </c>
      <c r="C1173" s="17">
        <f t="shared" si="132"/>
        <v>96.999999999998849</v>
      </c>
      <c r="D1173" s="1" cm="1">
        <f t="array" ref="D1173">_xlfn.XLOOKUP(_xlfn.FLOOR.MATH(C1173),'Mortality Tables'!$B$4:$B$124,_xlfn.XLOOKUP(mortality_table,'Mortality Tables'!$B$3:$G$3,'Mortality Tables'!$B$4:$G$124,0,0),0,0)</f>
        <v>0.27068799999999998</v>
      </c>
      <c r="E1173" s="1">
        <f t="shared" si="128"/>
        <v>2.2557333333333332E-2</v>
      </c>
      <c r="F1173" s="1">
        <f t="shared" si="129"/>
        <v>0.97744266666666668</v>
      </c>
      <c r="G1173" s="1">
        <f t="shared" si="130"/>
        <v>3.8615416490487942E-2</v>
      </c>
      <c r="H1173" s="34">
        <f t="shared" si="131"/>
        <v>8.8031477337887753E-3</v>
      </c>
      <c r="I1173" s="36">
        <f t="shared" si="133"/>
        <v>3.399372161675486E-4</v>
      </c>
    </row>
    <row r="1174" spans="2:9" x14ac:dyDescent="0.35">
      <c r="B1174" s="16">
        <f t="shared" si="134"/>
        <v>97.083333333332178</v>
      </c>
      <c r="C1174" s="17">
        <f t="shared" si="132"/>
        <v>97.083333333332178</v>
      </c>
      <c r="D1174" s="1" cm="1">
        <f t="array" ref="D1174">_xlfn.XLOOKUP(_xlfn.FLOOR.MATH(C1174),'Mortality Tables'!$B$4:$B$124,_xlfn.XLOOKUP(mortality_table,'Mortality Tables'!$B$3:$G$3,'Mortality Tables'!$B$4:$G$124,0,0),0,0)</f>
        <v>0.29061300000000001</v>
      </c>
      <c r="E1174" s="1">
        <f t="shared" si="128"/>
        <v>2.421775E-2</v>
      </c>
      <c r="F1174" s="1">
        <f t="shared" si="129"/>
        <v>0.97578224999999996</v>
      </c>
      <c r="G1174" s="1">
        <f t="shared" si="130"/>
        <v>3.7744355668906507E-2</v>
      </c>
      <c r="H1174" s="34">
        <f t="shared" si="131"/>
        <v>8.7674281462566846E-3</v>
      </c>
      <c r="I1174" s="36">
        <f t="shared" si="133"/>
        <v>3.3092092625389396E-4</v>
      </c>
    </row>
    <row r="1175" spans="2:9" x14ac:dyDescent="0.35">
      <c r="B1175" s="16">
        <f t="shared" si="134"/>
        <v>97.166666666665506</v>
      </c>
      <c r="C1175" s="17">
        <f t="shared" si="132"/>
        <v>97.166666666665506</v>
      </c>
      <c r="D1175" s="1" cm="1">
        <f t="array" ref="D1175">_xlfn.XLOOKUP(_xlfn.FLOOR.MATH(C1175),'Mortality Tables'!$B$4:$B$124,_xlfn.XLOOKUP(mortality_table,'Mortality Tables'!$B$3:$G$3,'Mortality Tables'!$B$4:$G$124,0,0),0,0)</f>
        <v>0.29061300000000001</v>
      </c>
      <c r="E1175" s="1">
        <f t="shared" si="128"/>
        <v>2.421775E-2</v>
      </c>
      <c r="F1175" s="1">
        <f t="shared" si="129"/>
        <v>0.97578224999999996</v>
      </c>
      <c r="G1175" s="1">
        <f t="shared" si="130"/>
        <v>3.6830272299405845E-2</v>
      </c>
      <c r="H1175" s="34">
        <f t="shared" si="131"/>
        <v>8.7318534942603891E-3</v>
      </c>
      <c r="I1175" s="36">
        <f t="shared" si="133"/>
        <v>3.2159654187212855E-4</v>
      </c>
    </row>
    <row r="1176" spans="2:9" x14ac:dyDescent="0.35">
      <c r="B1176" s="16">
        <f t="shared" si="134"/>
        <v>97.249999999998835</v>
      </c>
      <c r="C1176" s="17">
        <f t="shared" si="132"/>
        <v>97.249999999998835</v>
      </c>
      <c r="D1176" s="1" cm="1">
        <f t="array" ref="D1176">_xlfn.XLOOKUP(_xlfn.FLOOR.MATH(C1176),'Mortality Tables'!$B$4:$B$124,_xlfn.XLOOKUP(mortality_table,'Mortality Tables'!$B$3:$G$3,'Mortality Tables'!$B$4:$G$124,0,0),0,0)</f>
        <v>0.29061300000000001</v>
      </c>
      <c r="E1176" s="1">
        <f t="shared" si="128"/>
        <v>2.421775E-2</v>
      </c>
      <c r="F1176" s="1">
        <f t="shared" si="129"/>
        <v>0.97578224999999996</v>
      </c>
      <c r="G1176" s="1">
        <f t="shared" si="130"/>
        <v>3.593832597242691E-2</v>
      </c>
      <c r="H1176" s="34">
        <f t="shared" si="131"/>
        <v>8.6964231897105199E-3</v>
      </c>
      <c r="I1176" s="36">
        <f t="shared" si="133"/>
        <v>3.1253489138598927E-4</v>
      </c>
    </row>
    <row r="1177" spans="2:9" x14ac:dyDescent="0.35">
      <c r="B1177" s="16">
        <f t="shared" si="134"/>
        <v>97.333333333332163</v>
      </c>
      <c r="C1177" s="17">
        <f t="shared" si="132"/>
        <v>97.333333333332163</v>
      </c>
      <c r="D1177" s="1" cm="1">
        <f t="array" ref="D1177">_xlfn.XLOOKUP(_xlfn.FLOOR.MATH(C1177),'Mortality Tables'!$B$4:$B$124,_xlfn.XLOOKUP(mortality_table,'Mortality Tables'!$B$3:$G$3,'Mortality Tables'!$B$4:$G$124,0,0),0,0)</f>
        <v>0.29061300000000001</v>
      </c>
      <c r="E1177" s="1">
        <f t="shared" si="128"/>
        <v>2.421775E-2</v>
      </c>
      <c r="F1177" s="1">
        <f t="shared" si="129"/>
        <v>0.97578224999999996</v>
      </c>
      <c r="G1177" s="1">
        <f t="shared" si="130"/>
        <v>3.5067980578608167E-2</v>
      </c>
      <c r="H1177" s="34">
        <f t="shared" si="131"/>
        <v>8.6611366469039434E-3</v>
      </c>
      <c r="I1177" s="36">
        <f t="shared" si="133"/>
        <v>3.0372857172229897E-4</v>
      </c>
    </row>
    <row r="1178" spans="2:9" x14ac:dyDescent="0.35">
      <c r="B1178" s="16">
        <f t="shared" si="134"/>
        <v>97.416666666665492</v>
      </c>
      <c r="C1178" s="17">
        <f t="shared" si="132"/>
        <v>97.416666666665492</v>
      </c>
      <c r="D1178" s="1" cm="1">
        <f t="array" ref="D1178">_xlfn.XLOOKUP(_xlfn.FLOOR.MATH(C1178),'Mortality Tables'!$B$4:$B$124,_xlfn.XLOOKUP(mortality_table,'Mortality Tables'!$B$3:$G$3,'Mortality Tables'!$B$4:$G$124,0,0),0,0)</f>
        <v>0.29061300000000001</v>
      </c>
      <c r="E1178" s="1">
        <f t="shared" si="128"/>
        <v>2.421775E-2</v>
      </c>
      <c r="F1178" s="1">
        <f t="shared" si="129"/>
        <v>0.97578224999999996</v>
      </c>
      <c r="G1178" s="1">
        <f t="shared" si="130"/>
        <v>3.4218712991950576E-2</v>
      </c>
      <c r="H1178" s="34">
        <f t="shared" si="131"/>
        <v>8.6259932825140644E-3</v>
      </c>
      <c r="I1178" s="36">
        <f t="shared" si="133"/>
        <v>2.9517038840484239E-4</v>
      </c>
    </row>
    <row r="1179" spans="2:9" x14ac:dyDescent="0.35">
      <c r="B1179" s="16">
        <f t="shared" si="134"/>
        <v>97.49999999999882</v>
      </c>
      <c r="C1179" s="17">
        <f t="shared" si="132"/>
        <v>97.49999999999882</v>
      </c>
      <c r="D1179" s="1" cm="1">
        <f t="array" ref="D1179">_xlfn.XLOOKUP(_xlfn.FLOOR.MATH(C1179),'Mortality Tables'!$B$4:$B$124,_xlfn.XLOOKUP(mortality_table,'Mortality Tables'!$B$3:$G$3,'Mortality Tables'!$B$4:$G$124,0,0),0,0)</f>
        <v>0.29061300000000001</v>
      </c>
      <c r="E1179" s="1">
        <f t="shared" si="128"/>
        <v>2.421775E-2</v>
      </c>
      <c r="F1179" s="1">
        <f t="shared" si="129"/>
        <v>0.97578224999999996</v>
      </c>
      <c r="G1179" s="1">
        <f t="shared" si="130"/>
        <v>3.3390012755389761E-2</v>
      </c>
      <c r="H1179" s="34">
        <f t="shared" si="131"/>
        <v>8.5909925155811945E-3</v>
      </c>
      <c r="I1179" s="36">
        <f t="shared" si="133"/>
        <v>2.8685334967671407E-4</v>
      </c>
    </row>
    <row r="1180" spans="2:9" x14ac:dyDescent="0.35">
      <c r="B1180" s="16">
        <f t="shared" si="134"/>
        <v>97.583333333332149</v>
      </c>
      <c r="C1180" s="17">
        <f t="shared" si="132"/>
        <v>97.583333333332149</v>
      </c>
      <c r="D1180" s="1" cm="1">
        <f t="array" ref="D1180">_xlfn.XLOOKUP(_xlfn.FLOOR.MATH(C1180),'Mortality Tables'!$B$4:$B$124,_xlfn.XLOOKUP(mortality_table,'Mortality Tables'!$B$3:$G$3,'Mortality Tables'!$B$4:$G$124,0,0),0,0)</f>
        <v>0.29061300000000001</v>
      </c>
      <c r="E1180" s="1">
        <f t="shared" si="128"/>
        <v>2.421775E-2</v>
      </c>
      <c r="F1180" s="1">
        <f t="shared" si="129"/>
        <v>0.97578224999999996</v>
      </c>
      <c r="G1180" s="1">
        <f t="shared" si="130"/>
        <v>3.2581381773982919E-2</v>
      </c>
      <c r="H1180" s="34">
        <f t="shared" si="131"/>
        <v>8.5561337675029367E-3</v>
      </c>
      <c r="I1180" s="36">
        <f t="shared" si="133"/>
        <v>2.7877066078828001E-4</v>
      </c>
    </row>
    <row r="1181" spans="2:9" x14ac:dyDescent="0.35">
      <c r="B1181" s="16">
        <f t="shared" si="134"/>
        <v>97.666666666665478</v>
      </c>
      <c r="C1181" s="17">
        <f t="shared" si="132"/>
        <v>97.666666666665478</v>
      </c>
      <c r="D1181" s="1" cm="1">
        <f t="array" ref="D1181">_xlfn.XLOOKUP(_xlfn.FLOOR.MATH(C1181),'Mortality Tables'!$B$4:$B$124,_xlfn.XLOOKUP(mortality_table,'Mortality Tables'!$B$3:$G$3,'Mortality Tables'!$B$4:$G$124,0,0),0,0)</f>
        <v>0.29061300000000001</v>
      </c>
      <c r="E1181" s="1">
        <f t="shared" si="128"/>
        <v>2.421775E-2</v>
      </c>
      <c r="F1181" s="1">
        <f t="shared" si="129"/>
        <v>0.97578224999999996</v>
      </c>
      <c r="G1181" s="1">
        <f t="shared" si="130"/>
        <v>3.1792334015526044E-2</v>
      </c>
      <c r="H1181" s="34">
        <f t="shared" si="131"/>
        <v>8.5214164620246325E-3</v>
      </c>
      <c r="I1181" s="36">
        <f t="shared" si="133"/>
        <v>2.7091571844608934E-4</v>
      </c>
    </row>
    <row r="1182" spans="2:9" x14ac:dyDescent="0.35">
      <c r="B1182" s="16">
        <f t="shared" si="134"/>
        <v>97.749999999998806</v>
      </c>
      <c r="C1182" s="17">
        <f t="shared" si="132"/>
        <v>97.749999999998806</v>
      </c>
      <c r="D1182" s="1" cm="1">
        <f t="array" ref="D1182">_xlfn.XLOOKUP(_xlfn.FLOOR.MATH(C1182),'Mortality Tables'!$B$4:$B$124,_xlfn.XLOOKUP(mortality_table,'Mortality Tables'!$B$3:$G$3,'Mortality Tables'!$B$4:$G$124,0,0),0,0)</f>
        <v>0.29061300000000001</v>
      </c>
      <c r="E1182" s="1">
        <f t="shared" si="128"/>
        <v>2.421775E-2</v>
      </c>
      <c r="F1182" s="1">
        <f t="shared" si="129"/>
        <v>0.97578224999999996</v>
      </c>
      <c r="G1182" s="1">
        <f t="shared" si="130"/>
        <v>3.1022395218421536E-2</v>
      </c>
      <c r="H1182" s="34">
        <f t="shared" si="131"/>
        <v>8.4868400252298276E-3</v>
      </c>
      <c r="I1182" s="36">
        <f t="shared" si="133"/>
        <v>2.632821054181983E-4</v>
      </c>
    </row>
    <row r="1183" spans="2:9" x14ac:dyDescent="0.35">
      <c r="B1183" s="16">
        <f t="shared" si="134"/>
        <v>97.833333333332135</v>
      </c>
      <c r="C1183" s="17">
        <f t="shared" si="132"/>
        <v>97.833333333332135</v>
      </c>
      <c r="D1183" s="1" cm="1">
        <f t="array" ref="D1183">_xlfn.XLOOKUP(_xlfn.FLOOR.MATH(C1183),'Mortality Tables'!$B$4:$B$124,_xlfn.XLOOKUP(mortality_table,'Mortality Tables'!$B$3:$G$3,'Mortality Tables'!$B$4:$G$124,0,0),0,0)</f>
        <v>0.29061300000000001</v>
      </c>
      <c r="E1183" s="1">
        <f t="shared" si="128"/>
        <v>2.421775E-2</v>
      </c>
      <c r="F1183" s="1">
        <f t="shared" si="129"/>
        <v>0.97578224999999996</v>
      </c>
      <c r="G1183" s="1">
        <f t="shared" si="130"/>
        <v>3.0271102606620606E-2</v>
      </c>
      <c r="H1183" s="34">
        <f t="shared" si="131"/>
        <v>8.4524038855307883E-3</v>
      </c>
      <c r="I1183" s="36">
        <f t="shared" si="133"/>
        <v>2.5586358529150119E-4</v>
      </c>
    </row>
    <row r="1184" spans="2:9" x14ac:dyDescent="0.35">
      <c r="B1184" s="16">
        <f t="shared" si="134"/>
        <v>97.916666666665463</v>
      </c>
      <c r="C1184" s="17">
        <f t="shared" si="132"/>
        <v>97.916666666665463</v>
      </c>
      <c r="D1184" s="1" cm="1">
        <f t="array" ref="D1184">_xlfn.XLOOKUP(_xlfn.FLOOR.MATH(C1184),'Mortality Tables'!$B$4:$B$124,_xlfn.XLOOKUP(mortality_table,'Mortality Tables'!$B$3:$G$3,'Mortality Tables'!$B$4:$G$124,0,0),0,0)</f>
        <v>0.29061300000000001</v>
      </c>
      <c r="E1184" s="1">
        <f t="shared" si="128"/>
        <v>2.421775E-2</v>
      </c>
      <c r="F1184" s="1">
        <f t="shared" si="129"/>
        <v>0.97578224999999996</v>
      </c>
      <c r="G1184" s="1">
        <f t="shared" si="130"/>
        <v>2.9538004611469118E-2</v>
      </c>
      <c r="H1184" s="34">
        <f t="shared" si="131"/>
        <v>8.4181074736590471E-3</v>
      </c>
      <c r="I1184" s="36">
        <f t="shared" si="133"/>
        <v>2.4865409737678357E-4</v>
      </c>
    </row>
    <row r="1185" spans="2:9" x14ac:dyDescent="0.35">
      <c r="B1185" s="16">
        <f t="shared" si="134"/>
        <v>97.999999999998792</v>
      </c>
      <c r="C1185" s="17">
        <f t="shared" si="132"/>
        <v>97.999999999998792</v>
      </c>
      <c r="D1185" s="1" cm="1">
        <f t="array" ref="D1185">_xlfn.XLOOKUP(_xlfn.FLOOR.MATH(C1185),'Mortality Tables'!$B$4:$B$124,_xlfn.XLOOKUP(mortality_table,'Mortality Tables'!$B$3:$G$3,'Mortality Tables'!$B$4:$G$124,0,0),0,0)</f>
        <v>0.29061300000000001</v>
      </c>
      <c r="E1185" s="1">
        <f t="shared" si="128"/>
        <v>2.421775E-2</v>
      </c>
      <c r="F1185" s="1">
        <f t="shared" si="129"/>
        <v>0.97578224999999996</v>
      </c>
      <c r="G1185" s="1">
        <f t="shared" si="130"/>
        <v>2.882266060028971E-2</v>
      </c>
      <c r="H1185" s="34">
        <f t="shared" si="131"/>
        <v>8.3839502226560041E-3</v>
      </c>
      <c r="I1185" s="36">
        <f t="shared" si="133"/>
        <v>2.4164775175733734E-4</v>
      </c>
    </row>
    <row r="1186" spans="2:9" x14ac:dyDescent="0.35">
      <c r="B1186" s="16">
        <f t="shared" si="134"/>
        <v>98.083333333332121</v>
      </c>
      <c r="C1186" s="17">
        <f t="shared" si="132"/>
        <v>98.083333333332121</v>
      </c>
      <c r="D1186" s="1" cm="1">
        <f t="array" ref="D1186">_xlfn.XLOOKUP(_xlfn.FLOOR.MATH(C1186),'Mortality Tables'!$B$4:$B$124,_xlfn.XLOOKUP(mortality_table,'Mortality Tables'!$B$3:$G$3,'Mortality Tables'!$B$4:$G$124,0,0),0,0)</f>
        <v>0.31141400000000002</v>
      </c>
      <c r="E1186" s="1">
        <f t="shared" si="128"/>
        <v>2.5951166666666668E-2</v>
      </c>
      <c r="F1186" s="1">
        <f t="shared" si="129"/>
        <v>0.97404883333333336</v>
      </c>
      <c r="G1186" s="1">
        <f t="shared" si="130"/>
        <v>2.8124640611537043E-2</v>
      </c>
      <c r="H1186" s="34">
        <f t="shared" si="131"/>
        <v>8.3499315678635389E-3</v>
      </c>
      <c r="I1186" s="36">
        <f t="shared" si="133"/>
        <v>2.3483882447709005E-4</v>
      </c>
    </row>
    <row r="1187" spans="2:9" x14ac:dyDescent="0.35">
      <c r="B1187" s="16">
        <f t="shared" si="134"/>
        <v>98.166666666665449</v>
      </c>
      <c r="C1187" s="17">
        <f t="shared" si="132"/>
        <v>98.166666666665449</v>
      </c>
      <c r="D1187" s="1" cm="1">
        <f t="array" ref="D1187">_xlfn.XLOOKUP(_xlfn.FLOOR.MATH(C1187),'Mortality Tables'!$B$4:$B$124,_xlfn.XLOOKUP(mortality_table,'Mortality Tables'!$B$3:$G$3,'Mortality Tables'!$B$4:$G$124,0,0),0,0)</f>
        <v>0.31141400000000002</v>
      </c>
      <c r="E1187" s="1">
        <f t="shared" si="128"/>
        <v>2.5951166666666668E-2</v>
      </c>
      <c r="F1187" s="1">
        <f t="shared" si="129"/>
        <v>0.97404883333333336</v>
      </c>
      <c r="G1187" s="1">
        <f t="shared" si="130"/>
        <v>2.7394773375586944E-2</v>
      </c>
      <c r="H1187" s="34">
        <f t="shared" si="131"/>
        <v>8.3160509469146771E-3</v>
      </c>
      <c r="I1187" s="36">
        <f t="shared" si="133"/>
        <v>2.278163310705628E-4</v>
      </c>
    </row>
    <row r="1188" spans="2:9" x14ac:dyDescent="0.35">
      <c r="B1188" s="16">
        <f t="shared" si="134"/>
        <v>98.249999999998778</v>
      </c>
      <c r="C1188" s="17">
        <f t="shared" si="132"/>
        <v>98.249999999998778</v>
      </c>
      <c r="D1188" s="1" cm="1">
        <f t="array" ref="D1188">_xlfn.XLOOKUP(_xlfn.FLOOR.MATH(C1188),'Mortality Tables'!$B$4:$B$124,_xlfn.XLOOKUP(mortality_table,'Mortality Tables'!$B$3:$G$3,'Mortality Tables'!$B$4:$G$124,0,0),0,0)</f>
        <v>0.31141400000000002</v>
      </c>
      <c r="E1188" s="1">
        <f t="shared" si="128"/>
        <v>2.5951166666666668E-2</v>
      </c>
      <c r="F1188" s="1">
        <f t="shared" si="129"/>
        <v>0.97404883333333336</v>
      </c>
      <c r="G1188" s="1">
        <f t="shared" si="130"/>
        <v>2.6683847045921527E-2</v>
      </c>
      <c r="H1188" s="34">
        <f t="shared" si="131"/>
        <v>8.2823077997243259E-3</v>
      </c>
      <c r="I1188" s="36">
        <f t="shared" si="133"/>
        <v>2.2100383451508678E-4</v>
      </c>
    </row>
    <row r="1189" spans="2:9" x14ac:dyDescent="0.35">
      <c r="B1189" s="16">
        <f t="shared" si="134"/>
        <v>98.333333333332106</v>
      </c>
      <c r="C1189" s="17">
        <f t="shared" si="132"/>
        <v>98.333333333332106</v>
      </c>
      <c r="D1189" s="1" cm="1">
        <f t="array" ref="D1189">_xlfn.XLOOKUP(_xlfn.FLOOR.MATH(C1189),'Mortality Tables'!$B$4:$B$124,_xlfn.XLOOKUP(mortality_table,'Mortality Tables'!$B$3:$G$3,'Mortality Tables'!$B$4:$G$124,0,0),0,0)</f>
        <v>0.31141400000000002</v>
      </c>
      <c r="E1189" s="1">
        <f t="shared" si="128"/>
        <v>2.5951166666666668E-2</v>
      </c>
      <c r="F1189" s="1">
        <f t="shared" si="129"/>
        <v>0.97404883333333336</v>
      </c>
      <c r="G1189" s="1">
        <f t="shared" si="130"/>
        <v>2.5991370083924978E-2</v>
      </c>
      <c r="H1189" s="34">
        <f t="shared" si="131"/>
        <v>8.2487015684799669E-3</v>
      </c>
      <c r="I1189" s="36">
        <f t="shared" si="133"/>
        <v>2.1439505517821525E-4</v>
      </c>
    </row>
    <row r="1190" spans="2:9" x14ac:dyDescent="0.35">
      <c r="B1190" s="16">
        <f t="shared" si="134"/>
        <v>98.416666666665435</v>
      </c>
      <c r="C1190" s="17">
        <f t="shared" si="132"/>
        <v>98.416666666665435</v>
      </c>
      <c r="D1190" s="1" cm="1">
        <f t="array" ref="D1190">_xlfn.XLOOKUP(_xlfn.FLOOR.MATH(C1190),'Mortality Tables'!$B$4:$B$124,_xlfn.XLOOKUP(mortality_table,'Mortality Tables'!$B$3:$G$3,'Mortality Tables'!$B$4:$G$124,0,0),0,0)</f>
        <v>0.31141400000000002</v>
      </c>
      <c r="E1190" s="1">
        <f t="shared" si="128"/>
        <v>2.5951166666666668E-2</v>
      </c>
      <c r="F1190" s="1">
        <f t="shared" si="129"/>
        <v>0.97404883333333336</v>
      </c>
      <c r="G1190" s="1">
        <f t="shared" si="130"/>
        <v>2.5316863706982027E-2</v>
      </c>
      <c r="H1190" s="34">
        <f t="shared" si="131"/>
        <v>8.2152316976324639E-3</v>
      </c>
      <c r="I1190" s="36">
        <f t="shared" si="133"/>
        <v>2.0798390121023967E-4</v>
      </c>
    </row>
    <row r="1191" spans="2:9" x14ac:dyDescent="0.35">
      <c r="B1191" s="16">
        <f t="shared" si="134"/>
        <v>98.499999999998764</v>
      </c>
      <c r="C1191" s="17">
        <f t="shared" si="132"/>
        <v>98.499999999998764</v>
      </c>
      <c r="D1191" s="1" cm="1">
        <f t="array" ref="D1191">_xlfn.XLOOKUP(_xlfn.FLOOR.MATH(C1191),'Mortality Tables'!$B$4:$B$124,_xlfn.XLOOKUP(mortality_table,'Mortality Tables'!$B$3:$G$3,'Mortality Tables'!$B$4:$G$124,0,0),0,0)</f>
        <v>0.31141400000000002</v>
      </c>
      <c r="E1191" s="1">
        <f t="shared" si="128"/>
        <v>2.5951166666666668E-2</v>
      </c>
      <c r="F1191" s="1">
        <f t="shared" si="129"/>
        <v>0.97404883333333336</v>
      </c>
      <c r="G1191" s="1">
        <f t="shared" si="130"/>
        <v>2.4659861557444852E-2</v>
      </c>
      <c r="H1191" s="34">
        <f t="shared" si="131"/>
        <v>8.1818976338868723E-3</v>
      </c>
      <c r="I1191" s="36">
        <f t="shared" si="133"/>
        <v>2.0176446292883589E-4</v>
      </c>
    </row>
    <row r="1192" spans="2:9" x14ac:dyDescent="0.35">
      <c r="B1192" s="16">
        <f t="shared" si="134"/>
        <v>98.583333333332092</v>
      </c>
      <c r="C1192" s="17">
        <f t="shared" si="132"/>
        <v>98.583333333332092</v>
      </c>
      <c r="D1192" s="1" cm="1">
        <f t="array" ref="D1192">_xlfn.XLOOKUP(_xlfn.FLOOR.MATH(C1192),'Mortality Tables'!$B$4:$B$124,_xlfn.XLOOKUP(mortality_table,'Mortality Tables'!$B$3:$G$3,'Mortality Tables'!$B$4:$G$124,0,0),0,0)</f>
        <v>0.31141400000000002</v>
      </c>
      <c r="E1192" s="1">
        <f t="shared" si="128"/>
        <v>2.5951166666666668E-2</v>
      </c>
      <c r="F1192" s="1">
        <f t="shared" si="129"/>
        <v>0.97404883333333336</v>
      </c>
      <c r="G1192" s="1">
        <f t="shared" si="130"/>
        <v>2.4019909380190677E-2</v>
      </c>
      <c r="H1192" s="34">
        <f t="shared" si="131"/>
        <v>8.1486988261932937E-3</v>
      </c>
      <c r="I1192" s="36">
        <f t="shared" si="133"/>
        <v>1.9573100737162906E-4</v>
      </c>
    </row>
    <row r="1193" spans="2:9" x14ac:dyDescent="0.35">
      <c r="B1193" s="16">
        <f t="shared" si="134"/>
        <v>98.666666666665421</v>
      </c>
      <c r="C1193" s="17">
        <f t="shared" si="132"/>
        <v>98.666666666665421</v>
      </c>
      <c r="D1193" s="1" cm="1">
        <f t="array" ref="D1193">_xlfn.XLOOKUP(_xlfn.FLOOR.MATH(C1193),'Mortality Tables'!$B$4:$B$124,_xlfn.XLOOKUP(mortality_table,'Mortality Tables'!$B$3:$G$3,'Mortality Tables'!$B$4:$G$124,0,0),0,0)</f>
        <v>0.31141400000000002</v>
      </c>
      <c r="E1193" s="1">
        <f t="shared" si="128"/>
        <v>2.5951166666666668E-2</v>
      </c>
      <c r="F1193" s="1">
        <f t="shared" si="129"/>
        <v>0.97404883333333336</v>
      </c>
      <c r="G1193" s="1">
        <f t="shared" si="130"/>
        <v>2.3396564708547118E-2</v>
      </c>
      <c r="H1193" s="34">
        <f t="shared" si="131"/>
        <v>8.1156347257377651E-3</v>
      </c>
      <c r="I1193" s="36">
        <f t="shared" si="133"/>
        <v>1.8987797301165567E-4</v>
      </c>
    </row>
    <row r="1194" spans="2:9" x14ac:dyDescent="0.35">
      <c r="B1194" s="16">
        <f t="shared" si="134"/>
        <v>98.749999999998749</v>
      </c>
      <c r="C1194" s="17">
        <f t="shared" si="132"/>
        <v>98.749999999998749</v>
      </c>
      <c r="D1194" s="1" cm="1">
        <f t="array" ref="D1194">_xlfn.XLOOKUP(_xlfn.FLOOR.MATH(C1194),'Mortality Tables'!$B$4:$B$124,_xlfn.XLOOKUP(mortality_table,'Mortality Tables'!$B$3:$G$3,'Mortality Tables'!$B$4:$G$124,0,0),0,0)</f>
        <v>0.31141400000000002</v>
      </c>
      <c r="E1194" s="1">
        <f t="shared" si="128"/>
        <v>2.5951166666666668E-2</v>
      </c>
      <c r="F1194" s="1">
        <f t="shared" si="129"/>
        <v>0.97404883333333336</v>
      </c>
      <c r="G1194" s="1">
        <f t="shared" si="130"/>
        <v>2.2789396558368161E-2</v>
      </c>
      <c r="H1194" s="34">
        <f t="shared" si="131"/>
        <v>8.0827047859331879E-3</v>
      </c>
      <c r="I1194" s="36">
        <f t="shared" si="133"/>
        <v>1.8419996463085167E-4</v>
      </c>
    </row>
    <row r="1195" spans="2:9" x14ac:dyDescent="0.35">
      <c r="B1195" s="16">
        <f t="shared" si="134"/>
        <v>98.833333333332078</v>
      </c>
      <c r="C1195" s="17">
        <f t="shared" si="132"/>
        <v>98.833333333332078</v>
      </c>
      <c r="D1195" s="1" cm="1">
        <f t="array" ref="D1195">_xlfn.XLOOKUP(_xlfn.FLOOR.MATH(C1195),'Mortality Tables'!$B$4:$B$124,_xlfn.XLOOKUP(mortality_table,'Mortality Tables'!$B$3:$G$3,'Mortality Tables'!$B$4:$G$124,0,0),0,0)</f>
        <v>0.31141400000000002</v>
      </c>
      <c r="E1195" s="1">
        <f t="shared" si="128"/>
        <v>2.5951166666666668E-2</v>
      </c>
      <c r="F1195" s="1">
        <f t="shared" si="129"/>
        <v>0.97404883333333336</v>
      </c>
      <c r="G1195" s="1">
        <f t="shared" si="130"/>
        <v>2.219798513004919E-2</v>
      </c>
      <c r="H1195" s="34">
        <f t="shared" si="131"/>
        <v>8.0499084624102938E-3</v>
      </c>
      <c r="I1195" s="36">
        <f t="shared" si="133"/>
        <v>1.7869174834684085E-4</v>
      </c>
    </row>
    <row r="1196" spans="2:9" x14ac:dyDescent="0.35">
      <c r="B1196" s="16">
        <f t="shared" si="134"/>
        <v>98.916666666665407</v>
      </c>
      <c r="C1196" s="17">
        <f t="shared" si="132"/>
        <v>98.916666666665407</v>
      </c>
      <c r="D1196" s="1" cm="1">
        <f t="array" ref="D1196">_xlfn.XLOOKUP(_xlfn.FLOOR.MATH(C1196),'Mortality Tables'!$B$4:$B$124,_xlfn.XLOOKUP(mortality_table,'Mortality Tables'!$B$3:$G$3,'Mortality Tables'!$B$4:$G$124,0,0),0,0)</f>
        <v>0.31141400000000002</v>
      </c>
      <c r="E1196" s="1">
        <f t="shared" si="128"/>
        <v>2.5951166666666668E-2</v>
      </c>
      <c r="F1196" s="1">
        <f t="shared" si="129"/>
        <v>0.97404883333333336</v>
      </c>
      <c r="G1196" s="1">
        <f t="shared" si="130"/>
        <v>2.1621921518275095E-2</v>
      </c>
      <c r="H1196" s="34">
        <f t="shared" si="131"/>
        <v>8.0172452130086377E-3</v>
      </c>
      <c r="I1196" s="36">
        <f t="shared" si="133"/>
        <v>1.7334824678843946E-4</v>
      </c>
    </row>
    <row r="1197" spans="2:9" x14ac:dyDescent="0.35">
      <c r="B1197" s="16">
        <f t="shared" si="134"/>
        <v>98.999999999998735</v>
      </c>
      <c r="C1197" s="17">
        <f t="shared" si="132"/>
        <v>98.999999999998735</v>
      </c>
      <c r="D1197" s="1" cm="1">
        <f t="array" ref="D1197">_xlfn.XLOOKUP(_xlfn.FLOOR.MATH(C1197),'Mortality Tables'!$B$4:$B$124,_xlfn.XLOOKUP(mortality_table,'Mortality Tables'!$B$3:$G$3,'Mortality Tables'!$B$4:$G$124,0,0),0,0)</f>
        <v>0.31141400000000002</v>
      </c>
      <c r="E1197" s="1">
        <f t="shared" si="128"/>
        <v>2.5951166666666668E-2</v>
      </c>
      <c r="F1197" s="1">
        <f t="shared" si="129"/>
        <v>0.97404883333333336</v>
      </c>
      <c r="G1197" s="1">
        <f t="shared" si="130"/>
        <v>2.1060807429300752E-2</v>
      </c>
      <c r="H1197" s="34">
        <f t="shared" si="131"/>
        <v>7.9847144977676435E-3</v>
      </c>
      <c r="I1197" s="36">
        <f t="shared" si="133"/>
        <v>1.681645344154302E-4</v>
      </c>
    </row>
    <row r="1198" spans="2:9" x14ac:dyDescent="0.35">
      <c r="B1198" s="16">
        <f t="shared" si="134"/>
        <v>99.083333333332064</v>
      </c>
      <c r="C1198" s="17">
        <f t="shared" si="132"/>
        <v>99.083333333332064</v>
      </c>
      <c r="D1198" s="1" cm="1">
        <f t="array" ref="D1198">_xlfn.XLOOKUP(_xlfn.FLOOR.MATH(C1198),'Mortality Tables'!$B$4:$B$124,_xlfn.XLOOKUP(mortality_table,'Mortality Tables'!$B$3:$G$3,'Mortality Tables'!$B$4:$G$124,0,0),0,0)</f>
        <v>0.33305800000000002</v>
      </c>
      <c r="E1198" s="1">
        <f t="shared" si="128"/>
        <v>2.7754833333333333E-2</v>
      </c>
      <c r="F1198" s="1">
        <f t="shared" si="129"/>
        <v>0.97224516666666672</v>
      </c>
      <c r="G1198" s="1">
        <f t="shared" si="130"/>
        <v>2.0514254905568397E-2</v>
      </c>
      <c r="H1198" s="34">
        <f t="shared" si="131"/>
        <v>7.9523157789176749E-3</v>
      </c>
      <c r="I1198" s="36">
        <f t="shared" si="133"/>
        <v>1.6313583297829088E-4</v>
      </c>
    </row>
    <row r="1199" spans="2:9" x14ac:dyDescent="0.35">
      <c r="B1199" s="16">
        <f t="shared" si="134"/>
        <v>99.166666666665392</v>
      </c>
      <c r="C1199" s="17">
        <f t="shared" si="132"/>
        <v>99.166666666665392</v>
      </c>
      <c r="D1199" s="1" cm="1">
        <f t="array" ref="D1199">_xlfn.XLOOKUP(_xlfn.FLOOR.MATH(C1199),'Mortality Tables'!$B$4:$B$124,_xlfn.XLOOKUP(mortality_table,'Mortality Tables'!$B$3:$G$3,'Mortality Tables'!$B$4:$G$124,0,0),0,0)</f>
        <v>0.33305800000000002</v>
      </c>
      <c r="E1199" s="1">
        <f t="shared" si="128"/>
        <v>2.7754833333333333E-2</v>
      </c>
      <c r="F1199" s="1">
        <f t="shared" si="129"/>
        <v>0.97224516666666672</v>
      </c>
      <c r="G1199" s="1">
        <f t="shared" si="130"/>
        <v>1.9944885179706832E-2</v>
      </c>
      <c r="H1199" s="34">
        <f t="shared" si="131"/>
        <v>7.9200485208711473E-3</v>
      </c>
      <c r="I1199" s="36">
        <f t="shared" si="133"/>
        <v>1.5796445836648197E-4</v>
      </c>
    </row>
    <row r="1200" spans="2:9" x14ac:dyDescent="0.35">
      <c r="B1200" s="16">
        <f t="shared" si="134"/>
        <v>99.249999999998721</v>
      </c>
      <c r="C1200" s="17">
        <f t="shared" si="132"/>
        <v>99.249999999998721</v>
      </c>
      <c r="D1200" s="1" cm="1">
        <f t="array" ref="D1200">_xlfn.XLOOKUP(_xlfn.FLOOR.MATH(C1200),'Mortality Tables'!$B$4:$B$124,_xlfn.XLOOKUP(mortality_table,'Mortality Tables'!$B$3:$G$3,'Mortality Tables'!$B$4:$G$124,0,0),0,0)</f>
        <v>0.33305800000000002</v>
      </c>
      <c r="E1200" s="1">
        <f t="shared" si="128"/>
        <v>2.7754833333333333E-2</v>
      </c>
      <c r="F1200" s="1">
        <f t="shared" si="129"/>
        <v>0.97224516666666672</v>
      </c>
      <c r="G1200" s="1">
        <f t="shared" si="130"/>
        <v>1.9391318215691601E-2</v>
      </c>
      <c r="H1200" s="34">
        <f t="shared" si="131"/>
        <v>7.8879121902136699E-3</v>
      </c>
      <c r="I1200" s="36">
        <f t="shared" si="133"/>
        <v>1.5295701533786618E-4</v>
      </c>
    </row>
    <row r="1201" spans="2:9" x14ac:dyDescent="0.35">
      <c r="B1201" s="16">
        <f t="shared" si="134"/>
        <v>99.33333333333205</v>
      </c>
      <c r="C1201" s="17">
        <f t="shared" si="132"/>
        <v>99.33333333333205</v>
      </c>
      <c r="D1201" s="1" cm="1">
        <f t="array" ref="D1201">_xlfn.XLOOKUP(_xlfn.FLOOR.MATH(C1201),'Mortality Tables'!$B$4:$B$124,_xlfn.XLOOKUP(mortality_table,'Mortality Tables'!$B$3:$G$3,'Mortality Tables'!$B$4:$G$124,0,0),0,0)</f>
        <v>0.33305800000000002</v>
      </c>
      <c r="E1201" s="1">
        <f t="shared" si="128"/>
        <v>2.7754833333333333E-2</v>
      </c>
      <c r="F1201" s="1">
        <f t="shared" si="129"/>
        <v>0.97224516666666672</v>
      </c>
      <c r="G1201" s="1">
        <f t="shared" si="130"/>
        <v>1.8853115410501452E-2</v>
      </c>
      <c r="H1201" s="34">
        <f t="shared" si="131"/>
        <v>7.8559062556952334E-3</v>
      </c>
      <c r="I1201" s="36">
        <f t="shared" si="133"/>
        <v>1.4810830729270258E-4</v>
      </c>
    </row>
    <row r="1202" spans="2:9" x14ac:dyDescent="0.35">
      <c r="B1202" s="16">
        <f t="shared" si="134"/>
        <v>99.416666666665378</v>
      </c>
      <c r="C1202" s="17">
        <f t="shared" si="132"/>
        <v>99.416666666665378</v>
      </c>
      <c r="D1202" s="1" cm="1">
        <f t="array" ref="D1202">_xlfn.XLOOKUP(_xlfn.FLOOR.MATH(C1202),'Mortality Tables'!$B$4:$B$124,_xlfn.XLOOKUP(mortality_table,'Mortality Tables'!$B$3:$G$3,'Mortality Tables'!$B$4:$G$124,0,0),0,0)</f>
        <v>0.33305800000000002</v>
      </c>
      <c r="E1202" s="1">
        <f t="shared" si="128"/>
        <v>2.7754833333333333E-2</v>
      </c>
      <c r="F1202" s="1">
        <f t="shared" si="129"/>
        <v>0.97224516666666672</v>
      </c>
      <c r="G1202" s="1">
        <f t="shared" si="130"/>
        <v>1.8329850334468888E-2</v>
      </c>
      <c r="H1202" s="34">
        <f t="shared" si="131"/>
        <v>7.8240301882214203E-3</v>
      </c>
      <c r="I1202" s="36">
        <f t="shared" si="133"/>
        <v>1.4341330236246507E-4</v>
      </c>
    </row>
    <row r="1203" spans="2:9" x14ac:dyDescent="0.35">
      <c r="B1203" s="16">
        <f t="shared" si="134"/>
        <v>99.499999999998707</v>
      </c>
      <c r="C1203" s="17">
        <f t="shared" si="132"/>
        <v>99.499999999998707</v>
      </c>
      <c r="D1203" s="1" cm="1">
        <f t="array" ref="D1203">_xlfn.XLOOKUP(_xlfn.FLOOR.MATH(C1203),'Mortality Tables'!$B$4:$B$124,_xlfn.XLOOKUP(mortality_table,'Mortality Tables'!$B$3:$G$3,'Mortality Tables'!$B$4:$G$124,0,0),0,0)</f>
        <v>0.33305800000000002</v>
      </c>
      <c r="E1203" s="1">
        <f t="shared" si="128"/>
        <v>2.7754833333333333E-2</v>
      </c>
      <c r="F1203" s="1">
        <f t="shared" si="129"/>
        <v>0.97224516666666672</v>
      </c>
      <c r="G1203" s="1">
        <f t="shared" si="130"/>
        <v>1.7821108393410761E-2</v>
      </c>
      <c r="H1203" s="34">
        <f t="shared" si="131"/>
        <v>7.7922834608446599E-3</v>
      </c>
      <c r="I1203" s="36">
        <f t="shared" si="133"/>
        <v>1.3886712818789461E-4</v>
      </c>
    </row>
    <row r="1204" spans="2:9" x14ac:dyDescent="0.35">
      <c r="B1204" s="16">
        <f t="shared" si="134"/>
        <v>99.583333333332035</v>
      </c>
      <c r="C1204" s="17">
        <f t="shared" si="132"/>
        <v>99.583333333332035</v>
      </c>
      <c r="D1204" s="1" cm="1">
        <f t="array" ref="D1204">_xlfn.XLOOKUP(_xlfn.FLOOR.MATH(C1204),'Mortality Tables'!$B$4:$B$124,_xlfn.XLOOKUP(mortality_table,'Mortality Tables'!$B$3:$G$3,'Mortality Tables'!$B$4:$G$124,0,0),0,0)</f>
        <v>0.33305800000000002</v>
      </c>
      <c r="E1204" s="1">
        <f t="shared" si="128"/>
        <v>2.7754833333333333E-2</v>
      </c>
      <c r="F1204" s="1">
        <f t="shared" si="129"/>
        <v>0.97224516666666672</v>
      </c>
      <c r="G1204" s="1">
        <f t="shared" si="130"/>
        <v>1.7326486500136379E-2</v>
      </c>
      <c r="H1204" s="34">
        <f t="shared" si="131"/>
        <v>7.7606655487555366E-3</v>
      </c>
      <c r="I1204" s="36">
        <f t="shared" si="133"/>
        <v>1.3446506686258628E-4</v>
      </c>
    </row>
    <row r="1205" spans="2:9" x14ac:dyDescent="0.35">
      <c r="B1205" s="16">
        <f t="shared" si="134"/>
        <v>99.666666666665364</v>
      </c>
      <c r="C1205" s="17">
        <f t="shared" si="132"/>
        <v>99.666666666665364</v>
      </c>
      <c r="D1205" s="1" cm="1">
        <f t="array" ref="D1205">_xlfn.XLOOKUP(_xlfn.FLOOR.MATH(C1205),'Mortality Tables'!$B$4:$B$124,_xlfn.XLOOKUP(mortality_table,'Mortality Tables'!$B$3:$G$3,'Mortality Tables'!$B$4:$G$124,0,0),0,0)</f>
        <v>0.33305800000000002</v>
      </c>
      <c r="E1205" s="1">
        <f t="shared" si="128"/>
        <v>2.7754833333333333E-2</v>
      </c>
      <c r="F1205" s="1">
        <f t="shared" si="129"/>
        <v>0.97224516666666672</v>
      </c>
      <c r="G1205" s="1">
        <f t="shared" si="130"/>
        <v>1.6845592755072844E-2</v>
      </c>
      <c r="H1205" s="34">
        <f t="shared" si="131"/>
        <v>7.7291759292740818E-3</v>
      </c>
      <c r="I1205" s="36">
        <f t="shared" si="133"/>
        <v>1.302025500368629E-4</v>
      </c>
    </row>
    <row r="1206" spans="2:9" x14ac:dyDescent="0.35">
      <c r="B1206" s="16">
        <f t="shared" si="134"/>
        <v>99.749999999998693</v>
      </c>
      <c r="C1206" s="17">
        <f t="shared" si="132"/>
        <v>99.749999999998693</v>
      </c>
      <c r="D1206" s="1" cm="1">
        <f t="array" ref="D1206">_xlfn.XLOOKUP(_xlfn.FLOOR.MATH(C1206),'Mortality Tables'!$B$4:$B$124,_xlfn.XLOOKUP(mortality_table,'Mortality Tables'!$B$3:$G$3,'Mortality Tables'!$B$4:$G$124,0,0),0,0)</f>
        <v>0.33305800000000002</v>
      </c>
      <c r="E1206" s="1">
        <f t="shared" si="128"/>
        <v>2.7754833333333333E-2</v>
      </c>
      <c r="F1206" s="1">
        <f t="shared" si="129"/>
        <v>0.97224516666666672</v>
      </c>
      <c r="G1206" s="1">
        <f t="shared" si="130"/>
        <v>1.6378046135754592E-2</v>
      </c>
      <c r="H1206" s="34">
        <f t="shared" si="131"/>
        <v>7.6978140818411527E-3</v>
      </c>
      <c r="I1206" s="36">
        <f t="shared" si="133"/>
        <v>1.2607515417685576E-4</v>
      </c>
    </row>
    <row r="1207" spans="2:9" x14ac:dyDescent="0.35">
      <c r="B1207" s="16">
        <f t="shared" si="134"/>
        <v>99.833333333332021</v>
      </c>
      <c r="C1207" s="17">
        <f t="shared" si="132"/>
        <v>99.833333333332021</v>
      </c>
      <c r="D1207" s="1" cm="1">
        <f t="array" ref="D1207">_xlfn.XLOOKUP(_xlfn.FLOOR.MATH(C1207),'Mortality Tables'!$B$4:$B$124,_xlfn.XLOOKUP(mortality_table,'Mortality Tables'!$B$3:$G$3,'Mortality Tables'!$B$4:$G$124,0,0),0,0)</f>
        <v>0.33305800000000002</v>
      </c>
      <c r="E1207" s="1">
        <f t="shared" si="128"/>
        <v>2.7754833333333333E-2</v>
      </c>
      <c r="F1207" s="1">
        <f t="shared" si="129"/>
        <v>0.97224516666666672</v>
      </c>
      <c r="G1207" s="1">
        <f t="shared" si="130"/>
        <v>1.5923476194931081E-2</v>
      </c>
      <c r="H1207" s="34">
        <f t="shared" si="131"/>
        <v>7.6665794880098233E-3</v>
      </c>
      <c r="I1207" s="36">
        <f t="shared" si="133"/>
        <v>1.2207859597387132E-4</v>
      </c>
    </row>
    <row r="1208" spans="2:9" x14ac:dyDescent="0.35">
      <c r="B1208" s="16">
        <f t="shared" si="134"/>
        <v>99.91666666666535</v>
      </c>
      <c r="C1208" s="17">
        <f t="shared" si="132"/>
        <v>99.91666666666535</v>
      </c>
      <c r="D1208" s="1" cm="1">
        <f t="array" ref="D1208">_xlfn.XLOOKUP(_xlfn.FLOOR.MATH(C1208),'Mortality Tables'!$B$4:$B$124,_xlfn.XLOOKUP(mortality_table,'Mortality Tables'!$B$3:$G$3,'Mortality Tables'!$B$4:$G$124,0,0),0,0)</f>
        <v>0.33305800000000002</v>
      </c>
      <c r="E1208" s="1">
        <f t="shared" si="128"/>
        <v>2.7754833333333333E-2</v>
      </c>
      <c r="F1208" s="1">
        <f t="shared" si="129"/>
        <v>0.97224516666666672</v>
      </c>
      <c r="G1208" s="1">
        <f t="shared" si="130"/>
        <v>1.5481522767053469E-2</v>
      </c>
      <c r="H1208" s="34">
        <f t="shared" si="131"/>
        <v>7.6354716314368156E-3</v>
      </c>
      <c r="I1208" s="36">
        <f t="shared" si="133"/>
        <v>1.1820872789927996E-4</v>
      </c>
    </row>
    <row r="1209" spans="2:9" x14ac:dyDescent="0.35">
      <c r="B1209" s="16">
        <f t="shared" si="134"/>
        <v>99.999999999998678</v>
      </c>
      <c r="C1209" s="17">
        <f t="shared" si="132"/>
        <v>99.999999999998678</v>
      </c>
      <c r="D1209" s="1" cm="1">
        <f t="array" ref="D1209">_xlfn.XLOOKUP(_xlfn.FLOOR.MATH(C1209),'Mortality Tables'!$B$4:$B$124,_xlfn.XLOOKUP(mortality_table,'Mortality Tables'!$B$3:$G$3,'Mortality Tables'!$B$4:$G$124,0,0),0,0)</f>
        <v>0.33305800000000002</v>
      </c>
      <c r="E1209" s="1">
        <f t="shared" si="128"/>
        <v>2.7754833333333333E-2</v>
      </c>
      <c r="F1209" s="1">
        <f t="shared" si="129"/>
        <v>0.97224516666666672</v>
      </c>
      <c r="G1209" s="1">
        <f t="shared" si="130"/>
        <v>1.5051835682907695E-2</v>
      </c>
      <c r="H1209" s="34">
        <f t="shared" si="131"/>
        <v>7.6044899978739639E-3</v>
      </c>
      <c r="I1209" s="36">
        <f t="shared" si="133"/>
        <v>1.1446153390031399E-4</v>
      </c>
    </row>
    <row r="1210" spans="2:9" x14ac:dyDescent="0.35">
      <c r="B1210" s="16">
        <f t="shared" si="134"/>
        <v>100.08333333333201</v>
      </c>
      <c r="C1210" s="17">
        <f t="shared" si="132"/>
        <v>100.08333333333201</v>
      </c>
      <c r="D1210" s="1" cm="1">
        <f t="array" ref="D1210">_xlfn.XLOOKUP(_xlfn.FLOOR.MATH(C1210),'Mortality Tables'!$B$4:$B$124,_xlfn.XLOOKUP(mortality_table,'Mortality Tables'!$B$3:$G$3,'Mortality Tables'!$B$4:$G$124,0,0),0,0)</f>
        <v>0.35550500000000002</v>
      </c>
      <c r="E1210" s="1">
        <f t="shared" si="128"/>
        <v>2.9625416666666668E-2</v>
      </c>
      <c r="F1210" s="1">
        <f t="shared" si="129"/>
        <v>0.97037458333333337</v>
      </c>
      <c r="G1210" s="1">
        <f t="shared" si="130"/>
        <v>1.4634074492167873E-2</v>
      </c>
      <c r="H1210" s="34">
        <f t="shared" si="131"/>
        <v>7.5736340751597101E-3</v>
      </c>
      <c r="I1210" s="36">
        <f t="shared" si="133"/>
        <v>1.1083312523230813E-4</v>
      </c>
    </row>
    <row r="1211" spans="2:9" x14ac:dyDescent="0.35">
      <c r="B1211" s="16">
        <f t="shared" si="134"/>
        <v>100.16666666666534</v>
      </c>
      <c r="C1211" s="17">
        <f t="shared" si="132"/>
        <v>100.16666666666534</v>
      </c>
      <c r="D1211" s="1" cm="1">
        <f t="array" ref="D1211">_xlfn.XLOOKUP(_xlfn.FLOOR.MATH(C1211),'Mortality Tables'!$B$4:$B$124,_xlfn.XLOOKUP(mortality_table,'Mortality Tables'!$B$3:$G$3,'Mortality Tables'!$B$4:$G$124,0,0),0,0)</f>
        <v>0.35550500000000002</v>
      </c>
      <c r="E1211" s="1">
        <f t="shared" si="128"/>
        <v>2.9625416666666668E-2</v>
      </c>
      <c r="F1211" s="1">
        <f t="shared" si="129"/>
        <v>0.97037458333333337</v>
      </c>
      <c r="G1211" s="1">
        <f t="shared" si="130"/>
        <v>1.4200533937806362E-2</v>
      </c>
      <c r="H1211" s="34">
        <f t="shared" si="131"/>
        <v>7.5429033532106353E-3</v>
      </c>
      <c r="I1211" s="36">
        <f t="shared" si="133"/>
        <v>1.0711325505686104E-4</v>
      </c>
    </row>
    <row r="1212" spans="2:9" x14ac:dyDescent="0.35">
      <c r="B1212" s="16">
        <f t="shared" si="134"/>
        <v>100.24999999999866</v>
      </c>
      <c r="C1212" s="17">
        <f t="shared" si="132"/>
        <v>100.24999999999866</v>
      </c>
      <c r="D1212" s="1" cm="1">
        <f t="array" ref="D1212">_xlfn.XLOOKUP(_xlfn.FLOOR.MATH(C1212),'Mortality Tables'!$B$4:$B$124,_xlfn.XLOOKUP(mortality_table,'Mortality Tables'!$B$3:$G$3,'Mortality Tables'!$B$4:$G$124,0,0),0,0)</f>
        <v>0.35550500000000002</v>
      </c>
      <c r="E1212" s="1">
        <f t="shared" si="128"/>
        <v>2.9625416666666668E-2</v>
      </c>
      <c r="F1212" s="1">
        <f t="shared" si="129"/>
        <v>0.97037458333333337</v>
      </c>
      <c r="G1212" s="1">
        <f t="shared" si="130"/>
        <v>1.3779837203009708E-2</v>
      </c>
      <c r="H1212" s="34">
        <f t="shared" si="131"/>
        <v>7.5122973240130397E-3</v>
      </c>
      <c r="I1212" s="36">
        <f t="shared" si="133"/>
        <v>1.0351823414550516E-4</v>
      </c>
    </row>
    <row r="1213" spans="2:9" x14ac:dyDescent="0.35">
      <c r="B1213" s="16">
        <f t="shared" si="134"/>
        <v>100.33333333333199</v>
      </c>
      <c r="C1213" s="17">
        <f t="shared" si="132"/>
        <v>100.33333333333199</v>
      </c>
      <c r="D1213" s="1" cm="1">
        <f t="array" ref="D1213">_xlfn.XLOOKUP(_xlfn.FLOOR.MATH(C1213),'Mortality Tables'!$B$4:$B$124,_xlfn.XLOOKUP(mortality_table,'Mortality Tables'!$B$3:$G$3,'Mortality Tables'!$B$4:$G$124,0,0),0,0)</f>
        <v>0.35550500000000002</v>
      </c>
      <c r="E1213" s="1">
        <f t="shared" si="128"/>
        <v>2.9625416666666668E-2</v>
      </c>
      <c r="F1213" s="1">
        <f t="shared" si="129"/>
        <v>0.97037458333333337</v>
      </c>
      <c r="G1213" s="1">
        <f t="shared" si="130"/>
        <v>1.3371603784271711E-2</v>
      </c>
      <c r="H1213" s="34">
        <f t="shared" si="131"/>
        <v>7.4818154816145271E-3</v>
      </c>
      <c r="I1213" s="36">
        <f t="shared" si="133"/>
        <v>1.0004387220717949E-4</v>
      </c>
    </row>
    <row r="1214" spans="2:9" x14ac:dyDescent="0.35">
      <c r="B1214" s="16">
        <f t="shared" si="134"/>
        <v>100.41666666666532</v>
      </c>
      <c r="C1214" s="17">
        <f t="shared" si="132"/>
        <v>100.41666666666532</v>
      </c>
      <c r="D1214" s="1" cm="1">
        <f t="array" ref="D1214">_xlfn.XLOOKUP(_xlfn.FLOOR.MATH(C1214),'Mortality Tables'!$B$4:$B$124,_xlfn.XLOOKUP(mortality_table,'Mortality Tables'!$B$3:$G$3,'Mortality Tables'!$B$4:$G$124,0,0),0,0)</f>
        <v>0.35550500000000002</v>
      </c>
      <c r="E1214" s="1">
        <f t="shared" si="128"/>
        <v>2.9625416666666668E-2</v>
      </c>
      <c r="F1214" s="1">
        <f t="shared" si="129"/>
        <v>0.97037458333333337</v>
      </c>
      <c r="G1214" s="1">
        <f t="shared" si="130"/>
        <v>1.2975464450661086E-2</v>
      </c>
      <c r="H1214" s="34">
        <f t="shared" si="131"/>
        <v>7.4514573221156578E-3</v>
      </c>
      <c r="I1214" s="36">
        <f t="shared" si="133"/>
        <v>9.6686119588729967E-5</v>
      </c>
    </row>
    <row r="1215" spans="2:9" x14ac:dyDescent="0.35">
      <c r="B1215" s="16">
        <f t="shared" si="134"/>
        <v>100.49999999999865</v>
      </c>
      <c r="C1215" s="17">
        <f t="shared" si="132"/>
        <v>100.49999999999865</v>
      </c>
      <c r="D1215" s="1" cm="1">
        <f t="array" ref="D1215">_xlfn.XLOOKUP(_xlfn.FLOOR.MATH(C1215),'Mortality Tables'!$B$4:$B$124,_xlfn.XLOOKUP(mortality_table,'Mortality Tables'!$B$3:$G$3,'Mortality Tables'!$B$4:$G$124,0,0),0,0)</f>
        <v>0.35550500000000002</v>
      </c>
      <c r="E1215" s="1">
        <f t="shared" si="128"/>
        <v>2.9625416666666668E-2</v>
      </c>
      <c r="F1215" s="1">
        <f t="shared" si="129"/>
        <v>0.97037458333333337</v>
      </c>
      <c r="G1215" s="1">
        <f t="shared" si="130"/>
        <v>1.259106090986673E-2</v>
      </c>
      <c r="H1215" s="34">
        <f t="shared" si="131"/>
        <v>7.4212223436616051E-3</v>
      </c>
      <c r="I1215" s="36">
        <f t="shared" si="133"/>
        <v>9.3441062554707198E-5</v>
      </c>
    </row>
    <row r="1216" spans="2:9" x14ac:dyDescent="0.35">
      <c r="B1216" s="16">
        <f t="shared" si="134"/>
        <v>100.58333333333198</v>
      </c>
      <c r="C1216" s="17">
        <f t="shared" si="132"/>
        <v>100.58333333333198</v>
      </c>
      <c r="D1216" s="1" cm="1">
        <f t="array" ref="D1216">_xlfn.XLOOKUP(_xlfn.FLOOR.MATH(C1216),'Mortality Tables'!$B$4:$B$124,_xlfn.XLOOKUP(mortality_table,'Mortality Tables'!$B$3:$G$3,'Mortality Tables'!$B$4:$G$124,0,0),0,0)</f>
        <v>0.35550500000000002</v>
      </c>
      <c r="E1216" s="1">
        <f t="shared" si="128"/>
        <v>2.9625416666666668E-2</v>
      </c>
      <c r="F1216" s="1">
        <f t="shared" si="129"/>
        <v>0.97037458333333337</v>
      </c>
      <c r="G1216" s="1">
        <f t="shared" si="130"/>
        <v>1.2218045484136549E-2</v>
      </c>
      <c r="H1216" s="34">
        <f t="shared" si="131"/>
        <v>7.3911100464338691E-3</v>
      </c>
      <c r="I1216" s="36">
        <f t="shared" si="133"/>
        <v>9.0304918725587612E-5</v>
      </c>
    </row>
    <row r="1217" spans="2:9" x14ac:dyDescent="0.35">
      <c r="B1217" s="16">
        <f t="shared" si="134"/>
        <v>100.66666666666531</v>
      </c>
      <c r="C1217" s="17">
        <f t="shared" si="132"/>
        <v>100.66666666666531</v>
      </c>
      <c r="D1217" s="1" cm="1">
        <f t="array" ref="D1217">_xlfn.XLOOKUP(_xlfn.FLOOR.MATH(C1217),'Mortality Tables'!$B$4:$B$124,_xlfn.XLOOKUP(mortality_table,'Mortality Tables'!$B$3:$G$3,'Mortality Tables'!$B$4:$G$124,0,0),0,0)</f>
        <v>0.35550500000000002</v>
      </c>
      <c r="E1217" s="1">
        <f t="shared" si="128"/>
        <v>2.9625416666666668E-2</v>
      </c>
      <c r="F1217" s="1">
        <f t="shared" si="129"/>
        <v>0.97037458333333337</v>
      </c>
      <c r="G1217" s="1">
        <f t="shared" si="130"/>
        <v>1.185608079581672E-2</v>
      </c>
      <c r="H1217" s="34">
        <f t="shared" si="131"/>
        <v>7.3611199326420072E-3</v>
      </c>
      <c r="I1217" s="36">
        <f t="shared" si="133"/>
        <v>8.727403266910057E-5</v>
      </c>
    </row>
    <row r="1218" spans="2:9" x14ac:dyDescent="0.35">
      <c r="B1218" s="16">
        <f t="shared" si="134"/>
        <v>100.74999999999864</v>
      </c>
      <c r="C1218" s="17">
        <f t="shared" si="132"/>
        <v>100.74999999999864</v>
      </c>
      <c r="D1218" s="1" cm="1">
        <f t="array" ref="D1218">_xlfn.XLOOKUP(_xlfn.FLOOR.MATH(C1218),'Mortality Tables'!$B$4:$B$124,_xlfn.XLOOKUP(mortality_table,'Mortality Tables'!$B$3:$G$3,'Mortality Tables'!$B$4:$G$124,0,0),0,0)</f>
        <v>0.35550500000000002</v>
      </c>
      <c r="E1218" s="1">
        <f t="shared" ref="E1218:E1281" si="135">$F$5*D1218</f>
        <v>2.9625416666666668E-2</v>
      </c>
      <c r="F1218" s="1">
        <f t="shared" ref="F1218:F1281" si="136">1-E1218</f>
        <v>0.97037458333333337</v>
      </c>
      <c r="G1218" s="1">
        <f t="shared" ref="G1218:G1281" si="137">G1217*F1217</f>
        <v>1.1504839462206986E-2</v>
      </c>
      <c r="H1218" s="34">
        <f t="shared" ref="H1218:H1281" si="138">(1+interest_rate)^-(B1218)</f>
        <v>7.3312515065154073E-3</v>
      </c>
      <c r="I1218" s="36">
        <f t="shared" si="133"/>
        <v>8.4344871639522865E-5</v>
      </c>
    </row>
    <row r="1219" spans="2:9" x14ac:dyDescent="0.35">
      <c r="B1219" s="16">
        <f t="shared" si="134"/>
        <v>100.83333333333196</v>
      </c>
      <c r="C1219" s="17">
        <f t="shared" si="132"/>
        <v>100.83333333333196</v>
      </c>
      <c r="D1219" s="1" cm="1">
        <f t="array" ref="D1219">_xlfn.XLOOKUP(_xlfn.FLOOR.MATH(C1219),'Mortality Tables'!$B$4:$B$124,_xlfn.XLOOKUP(mortality_table,'Mortality Tables'!$B$3:$G$3,'Mortality Tables'!$B$4:$G$124,0,0),0,0)</f>
        <v>0.35550500000000002</v>
      </c>
      <c r="E1219" s="1">
        <f t="shared" si="135"/>
        <v>2.9625416666666668E-2</v>
      </c>
      <c r="F1219" s="1">
        <f t="shared" si="136"/>
        <v>0.97037458333333337</v>
      </c>
      <c r="G1219" s="1">
        <f t="shared" si="137"/>
        <v>1.1164003799455995E-2</v>
      </c>
      <c r="H1219" s="34">
        <f t="shared" si="138"/>
        <v>7.3015042742950887E-3</v>
      </c>
      <c r="I1219" s="36">
        <f t="shared" si="133"/>
        <v>8.1514021459974564E-5</v>
      </c>
    </row>
    <row r="1220" spans="2:9" x14ac:dyDescent="0.35">
      <c r="B1220" s="16">
        <f t="shared" si="134"/>
        <v>100.91666666666529</v>
      </c>
      <c r="C1220" s="17">
        <f t="shared" si="132"/>
        <v>100.91666666666529</v>
      </c>
      <c r="D1220" s="1" cm="1">
        <f t="array" ref="D1220">_xlfn.XLOOKUP(_xlfn.FLOOR.MATH(C1220),'Mortality Tables'!$B$4:$B$124,_xlfn.XLOOKUP(mortality_table,'Mortality Tables'!$B$3:$G$3,'Mortality Tables'!$B$4:$G$124,0,0),0,0)</f>
        <v>0.35550500000000002</v>
      </c>
      <c r="E1220" s="1">
        <f t="shared" si="135"/>
        <v>2.9625416666666668E-2</v>
      </c>
      <c r="F1220" s="1">
        <f t="shared" si="136"/>
        <v>0.97037458333333337</v>
      </c>
      <c r="G1220" s="1">
        <f t="shared" si="137"/>
        <v>1.0833265535228861E-2</v>
      </c>
      <c r="H1220" s="34">
        <f t="shared" si="138"/>
        <v>7.2718777442255583E-3</v>
      </c>
      <c r="I1220" s="36">
        <f t="shared" si="133"/>
        <v>7.877818254291653E-5</v>
      </c>
    </row>
    <row r="1221" spans="2:9" x14ac:dyDescent="0.35">
      <c r="B1221" s="16">
        <f t="shared" si="134"/>
        <v>100.99999999999862</v>
      </c>
      <c r="C1221" s="17">
        <f t="shared" si="132"/>
        <v>100.99999999999862</v>
      </c>
      <c r="D1221" s="1" cm="1">
        <f t="array" ref="D1221">_xlfn.XLOOKUP(_xlfn.FLOOR.MATH(C1221),'Mortality Tables'!$B$4:$B$124,_xlfn.XLOOKUP(mortality_table,'Mortality Tables'!$B$3:$G$3,'Mortality Tables'!$B$4:$G$124,0,0),0,0)</f>
        <v>0.35550500000000002</v>
      </c>
      <c r="E1221" s="1">
        <f t="shared" si="135"/>
        <v>2.9625416666666668E-2</v>
      </c>
      <c r="F1221" s="1">
        <f t="shared" si="136"/>
        <v>0.97037458333333337</v>
      </c>
      <c r="G1221" s="1">
        <f t="shared" si="137"/>
        <v>1.0512325529887068E-2</v>
      </c>
      <c r="H1221" s="34">
        <f t="shared" si="138"/>
        <v>7.2423714265466514E-3</v>
      </c>
      <c r="I1221" s="36">
        <f t="shared" si="133"/>
        <v>7.6134166044210987E-5</v>
      </c>
    </row>
    <row r="1222" spans="2:9" x14ac:dyDescent="0.35">
      <c r="B1222" s="16">
        <f t="shared" si="134"/>
        <v>101.08333333333195</v>
      </c>
      <c r="C1222" s="17">
        <f t="shared" si="132"/>
        <v>101.08333333333195</v>
      </c>
      <c r="D1222" s="1" cm="1">
        <f t="array" ref="D1222">_xlfn.XLOOKUP(_xlfn.FLOOR.MATH(C1222),'Mortality Tables'!$B$4:$B$124,_xlfn.XLOOKUP(mortality_table,'Mortality Tables'!$B$3:$G$3,'Mortality Tables'!$B$4:$G$124,0,0),0,0)</f>
        <v>0.37870199999999998</v>
      </c>
      <c r="E1222" s="1">
        <f t="shared" si="135"/>
        <v>3.1558499999999996E-2</v>
      </c>
      <c r="F1222" s="1">
        <f t="shared" si="136"/>
        <v>0.96844149999999996</v>
      </c>
      <c r="G1222" s="1">
        <f t="shared" si="137"/>
        <v>1.0200893505928526E-2</v>
      </c>
      <c r="H1222" s="34">
        <f t="shared" si="138"/>
        <v>7.2129848334854555E-3</v>
      </c>
      <c r="I1222" s="36">
        <f t="shared" si="133"/>
        <v>7.3578890146262736E-5</v>
      </c>
    </row>
    <row r="1223" spans="2:9" x14ac:dyDescent="0.35">
      <c r="B1223" s="16">
        <f t="shared" si="134"/>
        <v>101.16666666666528</v>
      </c>
      <c r="C1223" s="17">
        <f t="shared" si="132"/>
        <v>101.16666666666528</v>
      </c>
      <c r="D1223" s="1" cm="1">
        <f t="array" ref="D1223">_xlfn.XLOOKUP(_xlfn.FLOOR.MATH(C1223),'Mortality Tables'!$B$4:$B$124,_xlfn.XLOOKUP(mortality_table,'Mortality Tables'!$B$3:$G$3,'Mortality Tables'!$B$4:$G$124,0,0),0,0)</f>
        <v>0.37870199999999998</v>
      </c>
      <c r="E1223" s="1">
        <f t="shared" si="135"/>
        <v>3.1558499999999996E-2</v>
      </c>
      <c r="F1223" s="1">
        <f t="shared" si="136"/>
        <v>0.96844149999999996</v>
      </c>
      <c r="G1223" s="1">
        <f t="shared" si="137"/>
        <v>9.8789686082216797E-3</v>
      </c>
      <c r="H1223" s="34">
        <f t="shared" si="138"/>
        <v>7.1837174792482427E-3</v>
      </c>
      <c r="I1223" s="36">
        <f t="shared" si="133"/>
        <v>7.0967719467826759E-5</v>
      </c>
    </row>
    <row r="1224" spans="2:9" x14ac:dyDescent="0.35">
      <c r="B1224" s="16">
        <f t="shared" si="134"/>
        <v>101.24999999999861</v>
      </c>
      <c r="C1224" s="17">
        <f t="shared" si="132"/>
        <v>101.24999999999861</v>
      </c>
      <c r="D1224" s="1" cm="1">
        <f t="array" ref="D1224">_xlfn.XLOOKUP(_xlfn.FLOOR.MATH(C1224),'Mortality Tables'!$B$4:$B$124,_xlfn.XLOOKUP(mortality_table,'Mortality Tables'!$B$3:$G$3,'Mortality Tables'!$B$4:$G$124,0,0),0,0)</f>
        <v>0.37870199999999998</v>
      </c>
      <c r="E1224" s="1">
        <f t="shared" si="135"/>
        <v>3.1558499999999996E-2</v>
      </c>
      <c r="F1224" s="1">
        <f t="shared" si="136"/>
        <v>0.96844149999999996</v>
      </c>
      <c r="G1224" s="1">
        <f t="shared" si="137"/>
        <v>9.567203177399116E-3</v>
      </c>
      <c r="H1224" s="34">
        <f t="shared" si="138"/>
        <v>7.1545688800124354E-3</v>
      </c>
      <c r="I1224" s="36">
        <f t="shared" si="133"/>
        <v>6.8449214121775806E-5</v>
      </c>
    </row>
    <row r="1225" spans="2:9" x14ac:dyDescent="0.35">
      <c r="B1225" s="16">
        <f t="shared" si="134"/>
        <v>101.33333333333194</v>
      </c>
      <c r="C1225" s="17">
        <f t="shared" ref="C1225:C1288" si="139">current_age+B1225</f>
        <v>101.33333333333194</v>
      </c>
      <c r="D1225" s="1" cm="1">
        <f t="array" ref="D1225">_xlfn.XLOOKUP(_xlfn.FLOOR.MATH(C1225),'Mortality Tables'!$B$4:$B$124,_xlfn.XLOOKUP(mortality_table,'Mortality Tables'!$B$3:$G$3,'Mortality Tables'!$B$4:$G$124,0,0),0,0)</f>
        <v>0.37870199999999998</v>
      </c>
      <c r="E1225" s="1">
        <f t="shared" si="135"/>
        <v>3.1558499999999996E-2</v>
      </c>
      <c r="F1225" s="1">
        <f t="shared" si="136"/>
        <v>0.96844149999999996</v>
      </c>
      <c r="G1225" s="1">
        <f t="shared" si="137"/>
        <v>9.2652765959251662E-3</v>
      </c>
      <c r="H1225" s="34">
        <f t="shared" si="138"/>
        <v>7.1255385539186148E-3</v>
      </c>
      <c r="I1225" s="36">
        <f t="shared" ref="I1225:I1288" si="140">IF(current_age+B1225&lt;=$C$5,G1225*H1225,0)</f>
        <v>6.60200855969846E-5</v>
      </c>
    </row>
    <row r="1226" spans="2:9" x14ac:dyDescent="0.35">
      <c r="B1226" s="16">
        <f t="shared" ref="B1226:B1289" si="141">B1225+$F$5</f>
        <v>101.41666666666526</v>
      </c>
      <c r="C1226" s="17">
        <f t="shared" si="139"/>
        <v>101.41666666666526</v>
      </c>
      <c r="D1226" s="1" cm="1">
        <f t="array" ref="D1226">_xlfn.XLOOKUP(_xlfn.FLOOR.MATH(C1226),'Mortality Tables'!$B$4:$B$124,_xlfn.XLOOKUP(mortality_table,'Mortality Tables'!$B$3:$G$3,'Mortality Tables'!$B$4:$G$124,0,0),0,0)</f>
        <v>0.37870199999999998</v>
      </c>
      <c r="E1226" s="1">
        <f t="shared" si="135"/>
        <v>3.1558499999999996E-2</v>
      </c>
      <c r="F1226" s="1">
        <f t="shared" si="136"/>
        <v>0.96844149999999996</v>
      </c>
      <c r="G1226" s="1">
        <f t="shared" si="137"/>
        <v>8.9728783644726622E-3</v>
      </c>
      <c r="H1226" s="34">
        <f t="shared" si="138"/>
        <v>7.0966260210625484E-3</v>
      </c>
      <c r="I1226" s="36">
        <f t="shared" si="140"/>
        <v>6.3677162085145849E-5</v>
      </c>
    </row>
    <row r="1227" spans="2:9" x14ac:dyDescent="0.35">
      <c r="B1227" s="16">
        <f t="shared" si="141"/>
        <v>101.49999999999859</v>
      </c>
      <c r="C1227" s="17">
        <f t="shared" si="139"/>
        <v>101.49999999999859</v>
      </c>
      <c r="D1227" s="1" cm="1">
        <f t="array" ref="D1227">_xlfn.XLOOKUP(_xlfn.FLOOR.MATH(C1227),'Mortality Tables'!$B$4:$B$124,_xlfn.XLOOKUP(mortality_table,'Mortality Tables'!$B$3:$G$3,'Mortality Tables'!$B$4:$G$124,0,0),0,0)</f>
        <v>0.37870199999999998</v>
      </c>
      <c r="E1227" s="1">
        <f t="shared" si="135"/>
        <v>3.1558499999999996E-2</v>
      </c>
      <c r="F1227" s="1">
        <f t="shared" si="136"/>
        <v>0.96844149999999996</v>
      </c>
      <c r="G1227" s="1">
        <f t="shared" si="137"/>
        <v>8.6897077826074507E-3</v>
      </c>
      <c r="H1227" s="34">
        <f t="shared" si="138"/>
        <v>7.0678308034872609E-3</v>
      </c>
      <c r="I1227" s="36">
        <f t="shared" si="140"/>
        <v>6.1417384339215928E-5</v>
      </c>
    </row>
    <row r="1228" spans="2:9" x14ac:dyDescent="0.35">
      <c r="B1228" s="16">
        <f t="shared" si="141"/>
        <v>101.58333333333192</v>
      </c>
      <c r="C1228" s="17">
        <f t="shared" si="139"/>
        <v>101.58333333333192</v>
      </c>
      <c r="D1228" s="1" cm="1">
        <f t="array" ref="D1228">_xlfn.XLOOKUP(_xlfn.FLOOR.MATH(C1228),'Mortality Tables'!$B$4:$B$124,_xlfn.XLOOKUP(mortality_table,'Mortality Tables'!$B$3:$G$3,'Mortality Tables'!$B$4:$G$124,0,0),0,0)</f>
        <v>0.37870199999999998</v>
      </c>
      <c r="E1228" s="1">
        <f t="shared" si="135"/>
        <v>3.1558499999999996E-2</v>
      </c>
      <c r="F1228" s="1">
        <f t="shared" si="136"/>
        <v>0.96844149999999996</v>
      </c>
      <c r="G1228" s="1">
        <f t="shared" si="137"/>
        <v>8.4154736395500324E-3</v>
      </c>
      <c r="H1228" s="34">
        <f t="shared" si="138"/>
        <v>7.0391524251751311E-3</v>
      </c>
      <c r="I1228" s="36">
        <f t="shared" si="140"/>
        <v>5.9237801678835995E-5</v>
      </c>
    </row>
    <row r="1229" spans="2:9" x14ac:dyDescent="0.35">
      <c r="B1229" s="16">
        <f t="shared" si="141"/>
        <v>101.66666666666525</v>
      </c>
      <c r="C1229" s="17">
        <f t="shared" si="139"/>
        <v>101.66666666666525</v>
      </c>
      <c r="D1229" s="1" cm="1">
        <f t="array" ref="D1229">_xlfn.XLOOKUP(_xlfn.FLOOR.MATH(C1229),'Mortality Tables'!$B$4:$B$124,_xlfn.XLOOKUP(mortality_table,'Mortality Tables'!$B$3:$G$3,'Mortality Tables'!$B$4:$G$124,0,0),0,0)</f>
        <v>0.37870199999999998</v>
      </c>
      <c r="E1229" s="1">
        <f t="shared" si="135"/>
        <v>3.1558499999999996E-2</v>
      </c>
      <c r="F1229" s="1">
        <f t="shared" si="136"/>
        <v>0.96844149999999996</v>
      </c>
      <c r="G1229" s="1">
        <f t="shared" si="137"/>
        <v>8.1498939146962927E-3</v>
      </c>
      <c r="H1229" s="34">
        <f t="shared" si="138"/>
        <v>7.0105904120400251E-3</v>
      </c>
      <c r="I1229" s="36">
        <f t="shared" si="140"/>
        <v>5.7135568137513178E-5</v>
      </c>
    </row>
    <row r="1230" spans="2:9" x14ac:dyDescent="0.35">
      <c r="B1230" s="16">
        <f t="shared" si="141"/>
        <v>101.74999999999858</v>
      </c>
      <c r="C1230" s="17">
        <f t="shared" si="139"/>
        <v>101.74999999999858</v>
      </c>
      <c r="D1230" s="1" cm="1">
        <f t="array" ref="D1230">_xlfn.XLOOKUP(_xlfn.FLOOR.MATH(C1230),'Mortality Tables'!$B$4:$B$124,_xlfn.XLOOKUP(mortality_table,'Mortality Tables'!$B$3:$G$3,'Mortality Tables'!$B$4:$G$124,0,0),0,0)</f>
        <v>0.37870199999999998</v>
      </c>
      <c r="E1230" s="1">
        <f t="shared" si="135"/>
        <v>3.1558499999999996E-2</v>
      </c>
      <c r="F1230" s="1">
        <f t="shared" si="136"/>
        <v>0.96844149999999996</v>
      </c>
      <c r="G1230" s="1">
        <f t="shared" si="137"/>
        <v>7.892695487589349E-3</v>
      </c>
      <c r="H1230" s="34">
        <f t="shared" si="138"/>
        <v>6.9821442919194522E-3</v>
      </c>
      <c r="I1230" s="36">
        <f t="shared" si="140"/>
        <v>5.5107938746530393E-5</v>
      </c>
    </row>
    <row r="1231" spans="2:9" x14ac:dyDescent="0.35">
      <c r="B1231" s="16">
        <f t="shared" si="141"/>
        <v>101.83333333333191</v>
      </c>
      <c r="C1231" s="17">
        <f t="shared" si="139"/>
        <v>101.83333333333191</v>
      </c>
      <c r="D1231" s="1" cm="1">
        <f t="array" ref="D1231">_xlfn.XLOOKUP(_xlfn.FLOOR.MATH(C1231),'Mortality Tables'!$B$4:$B$124,_xlfn.XLOOKUP(mortality_table,'Mortality Tables'!$B$3:$G$3,'Mortality Tables'!$B$4:$G$124,0,0),0,0)</f>
        <v>0.37870199999999998</v>
      </c>
      <c r="E1231" s="1">
        <f t="shared" si="135"/>
        <v>3.1558499999999996E-2</v>
      </c>
      <c r="F1231" s="1">
        <f t="shared" si="136"/>
        <v>0.96844149999999996</v>
      </c>
      <c r="G1231" s="1">
        <f t="shared" si="137"/>
        <v>7.6436138570442598E-3</v>
      </c>
      <c r="H1231" s="34">
        <f t="shared" si="138"/>
        <v>6.9538135945667731E-3</v>
      </c>
      <c r="I1231" s="36">
        <f t="shared" si="140"/>
        <v>5.3152265950733341E-5</v>
      </c>
    </row>
    <row r="1232" spans="2:9" x14ac:dyDescent="0.35">
      <c r="B1232" s="16">
        <f t="shared" si="141"/>
        <v>101.91666666666524</v>
      </c>
      <c r="C1232" s="17">
        <f t="shared" si="139"/>
        <v>101.91666666666524</v>
      </c>
      <c r="D1232" s="1" cm="1">
        <f t="array" ref="D1232">_xlfn.XLOOKUP(_xlfn.FLOOR.MATH(C1232),'Mortality Tables'!$B$4:$B$124,_xlfn.XLOOKUP(mortality_table,'Mortality Tables'!$B$3:$G$3,'Mortality Tables'!$B$4:$G$124,0,0),0,0)</f>
        <v>0.37870199999999998</v>
      </c>
      <c r="E1232" s="1">
        <f t="shared" si="135"/>
        <v>3.1558499999999996E-2</v>
      </c>
      <c r="F1232" s="1">
        <f t="shared" si="136"/>
        <v>0.96844149999999996</v>
      </c>
      <c r="G1232" s="1">
        <f t="shared" si="137"/>
        <v>7.4023928691367286E-3</v>
      </c>
      <c r="H1232" s="34">
        <f t="shared" si="138"/>
        <v>6.9255978516434115E-3</v>
      </c>
      <c r="I1232" s="36">
        <f t="shared" si="140"/>
        <v>5.1265996151513834E-5</v>
      </c>
    </row>
    <row r="1233" spans="2:9" x14ac:dyDescent="0.35">
      <c r="B1233" s="16">
        <f t="shared" si="141"/>
        <v>101.99999999999856</v>
      </c>
      <c r="C1233" s="17">
        <f t="shared" si="139"/>
        <v>101.99999999999856</v>
      </c>
      <c r="D1233" s="1" cm="1">
        <f t="array" ref="D1233">_xlfn.XLOOKUP(_xlfn.FLOOR.MATH(C1233),'Mortality Tables'!$B$4:$B$124,_xlfn.XLOOKUP(mortality_table,'Mortality Tables'!$B$3:$G$3,'Mortality Tables'!$B$4:$G$124,0,0),0,0)</f>
        <v>0.37870199999999998</v>
      </c>
      <c r="E1233" s="1">
        <f t="shared" si="135"/>
        <v>3.1558499999999996E-2</v>
      </c>
      <c r="F1233" s="1">
        <f t="shared" si="136"/>
        <v>0.96844149999999996</v>
      </c>
      <c r="G1233" s="1">
        <f t="shared" si="137"/>
        <v>7.1687844537760767E-3</v>
      </c>
      <c r="H1233" s="34">
        <f t="shared" si="138"/>
        <v>6.8974965967111201E-3</v>
      </c>
      <c r="I1233" s="36">
        <f t="shared" si="140"/>
        <v>4.9446666372476073E-5</v>
      </c>
    </row>
    <row r="1234" spans="2:9" x14ac:dyDescent="0.35">
      <c r="B1234" s="16">
        <f t="shared" si="141"/>
        <v>102.08333333333189</v>
      </c>
      <c r="C1234" s="17">
        <f t="shared" si="139"/>
        <v>102.08333333333189</v>
      </c>
      <c r="D1234" s="1" cm="1">
        <f t="array" ref="D1234">_xlfn.XLOOKUP(_xlfn.FLOOR.MATH(C1234),'Mortality Tables'!$B$4:$B$124,_xlfn.XLOOKUP(mortality_table,'Mortality Tables'!$B$3:$G$3,'Mortality Tables'!$B$4:$G$124,0,0),0,0)</f>
        <v>0.402588</v>
      </c>
      <c r="E1234" s="1">
        <f t="shared" si="135"/>
        <v>3.3548999999999995E-2</v>
      </c>
      <c r="F1234" s="1">
        <f t="shared" si="136"/>
        <v>0.96645099999999995</v>
      </c>
      <c r="G1234" s="1">
        <f t="shared" si="137"/>
        <v>6.9425483695915837E-3</v>
      </c>
      <c r="H1234" s="34">
        <f t="shared" si="138"/>
        <v>6.869509365224266E-3</v>
      </c>
      <c r="I1234" s="36">
        <f t="shared" si="140"/>
        <v>4.7691901043431844E-5</v>
      </c>
    </row>
    <row r="1235" spans="2:9" x14ac:dyDescent="0.35">
      <c r="B1235" s="16">
        <f t="shared" si="141"/>
        <v>102.16666666666522</v>
      </c>
      <c r="C1235" s="17">
        <f t="shared" si="139"/>
        <v>102.16666666666522</v>
      </c>
      <c r="D1235" s="1" cm="1">
        <f t="array" ref="D1235">_xlfn.XLOOKUP(_xlfn.FLOOR.MATH(C1235),'Mortality Tables'!$B$4:$B$124,_xlfn.XLOOKUP(mortality_table,'Mortality Tables'!$B$3:$G$3,'Mortality Tables'!$B$4:$G$124,0,0),0,0)</f>
        <v>0.402588</v>
      </c>
      <c r="E1235" s="1">
        <f t="shared" si="135"/>
        <v>3.3548999999999995E-2</v>
      </c>
      <c r="F1235" s="1">
        <f t="shared" si="136"/>
        <v>0.96645099999999995</v>
      </c>
      <c r="G1235" s="1">
        <f t="shared" si="137"/>
        <v>6.7096328143401553E-3</v>
      </c>
      <c r="H1235" s="34">
        <f t="shared" si="138"/>
        <v>6.8416356945221529E-3</v>
      </c>
      <c r="I1235" s="36">
        <f t="shared" si="140"/>
        <v>4.5904863359726734E-5</v>
      </c>
    </row>
    <row r="1236" spans="2:9" x14ac:dyDescent="0.35">
      <c r="B1236" s="16">
        <f t="shared" si="141"/>
        <v>102.24999999999855</v>
      </c>
      <c r="C1236" s="17">
        <f t="shared" si="139"/>
        <v>102.24999999999855</v>
      </c>
      <c r="D1236" s="1" cm="1">
        <f t="array" ref="D1236">_xlfn.XLOOKUP(_xlfn.FLOOR.MATH(C1236),'Mortality Tables'!$B$4:$B$124,_xlfn.XLOOKUP(mortality_table,'Mortality Tables'!$B$3:$G$3,'Mortality Tables'!$B$4:$G$124,0,0),0,0)</f>
        <v>0.402588</v>
      </c>
      <c r="E1236" s="1">
        <f t="shared" si="135"/>
        <v>3.3548999999999995E-2</v>
      </c>
      <c r="F1236" s="1">
        <f t="shared" si="136"/>
        <v>0.96645099999999995</v>
      </c>
      <c r="G1236" s="1">
        <f t="shared" si="137"/>
        <v>6.4845313430518569E-3</v>
      </c>
      <c r="H1236" s="34">
        <f t="shared" si="138"/>
        <v>6.8138751238213842E-3</v>
      </c>
      <c r="I1236" s="36">
        <f t="shared" si="140"/>
        <v>4.4184786808061116E-5</v>
      </c>
    </row>
    <row r="1237" spans="2:9" x14ac:dyDescent="0.35">
      <c r="B1237" s="16">
        <f t="shared" si="141"/>
        <v>102.33333333333188</v>
      </c>
      <c r="C1237" s="17">
        <f t="shared" si="139"/>
        <v>102.33333333333188</v>
      </c>
      <c r="D1237" s="1" cm="1">
        <f t="array" ref="D1237">_xlfn.XLOOKUP(_xlfn.FLOOR.MATH(C1237),'Mortality Tables'!$B$4:$B$124,_xlfn.XLOOKUP(mortality_table,'Mortality Tables'!$B$3:$G$3,'Mortality Tables'!$B$4:$G$124,0,0),0,0)</f>
        <v>0.402588</v>
      </c>
      <c r="E1237" s="1">
        <f t="shared" si="135"/>
        <v>3.3548999999999995E-2</v>
      </c>
      <c r="F1237" s="1">
        <f t="shared" si="136"/>
        <v>0.96645099999999995</v>
      </c>
      <c r="G1237" s="1">
        <f t="shared" si="137"/>
        <v>6.2669818010238094E-3</v>
      </c>
      <c r="H1237" s="34">
        <f t="shared" si="138"/>
        <v>6.7862271942082221E-3</v>
      </c>
      <c r="I1237" s="36">
        <f t="shared" si="140"/>
        <v>4.2529162323715794E-5</v>
      </c>
    </row>
    <row r="1238" spans="2:9" x14ac:dyDescent="0.35">
      <c r="B1238" s="16">
        <f t="shared" si="141"/>
        <v>102.41666666666521</v>
      </c>
      <c r="C1238" s="17">
        <f t="shared" si="139"/>
        <v>102.41666666666521</v>
      </c>
      <c r="D1238" s="1" cm="1">
        <f t="array" ref="D1238">_xlfn.XLOOKUP(_xlfn.FLOOR.MATH(C1238),'Mortality Tables'!$B$4:$B$124,_xlfn.XLOOKUP(mortality_table,'Mortality Tables'!$B$3:$G$3,'Mortality Tables'!$B$4:$G$124,0,0),0,0)</f>
        <v>0.402588</v>
      </c>
      <c r="E1238" s="1">
        <f t="shared" si="135"/>
        <v>3.3548999999999995E-2</v>
      </c>
      <c r="F1238" s="1">
        <f t="shared" si="136"/>
        <v>0.96645099999999995</v>
      </c>
      <c r="G1238" s="1">
        <f t="shared" si="137"/>
        <v>6.0567308285812615E-3</v>
      </c>
      <c r="H1238" s="34">
        <f t="shared" si="138"/>
        <v>6.7586914486310158E-3</v>
      </c>
      <c r="I1238" s="36">
        <f t="shared" si="140"/>
        <v>4.0935574857792018E-5</v>
      </c>
    </row>
    <row r="1239" spans="2:9" x14ac:dyDescent="0.35">
      <c r="B1239" s="16">
        <f t="shared" si="141"/>
        <v>102.49999999999854</v>
      </c>
      <c r="C1239" s="17">
        <f t="shared" si="139"/>
        <v>102.49999999999854</v>
      </c>
      <c r="D1239" s="1" cm="1">
        <f t="array" ref="D1239">_xlfn.XLOOKUP(_xlfn.FLOOR.MATH(C1239),'Mortality Tables'!$B$4:$B$124,_xlfn.XLOOKUP(mortality_table,'Mortality Tables'!$B$3:$G$3,'Mortality Tables'!$B$4:$G$124,0,0),0,0)</f>
        <v>0.402588</v>
      </c>
      <c r="E1239" s="1">
        <f t="shared" si="135"/>
        <v>3.3548999999999995E-2</v>
      </c>
      <c r="F1239" s="1">
        <f t="shared" si="136"/>
        <v>0.96645099999999995</v>
      </c>
      <c r="G1239" s="1">
        <f t="shared" si="137"/>
        <v>5.8535335660131887E-3</v>
      </c>
      <c r="H1239" s="34">
        <f t="shared" si="138"/>
        <v>6.7312674318926466E-3</v>
      </c>
      <c r="I1239" s="36">
        <f t="shared" si="140"/>
        <v>3.9401699854395002E-5</v>
      </c>
    </row>
    <row r="1240" spans="2:9" x14ac:dyDescent="0.35">
      <c r="B1240" s="16">
        <f t="shared" si="141"/>
        <v>102.58333333333186</v>
      </c>
      <c r="C1240" s="17">
        <f t="shared" si="139"/>
        <v>102.58333333333186</v>
      </c>
      <c r="D1240" s="1" cm="1">
        <f t="array" ref="D1240">_xlfn.XLOOKUP(_xlfn.FLOOR.MATH(C1240),'Mortality Tables'!$B$4:$B$124,_xlfn.XLOOKUP(mortality_table,'Mortality Tables'!$B$3:$G$3,'Mortality Tables'!$B$4:$G$124,0,0),0,0)</f>
        <v>0.402588</v>
      </c>
      <c r="E1240" s="1">
        <f t="shared" si="135"/>
        <v>3.3548999999999995E-2</v>
      </c>
      <c r="F1240" s="1">
        <f t="shared" si="136"/>
        <v>0.96645099999999995</v>
      </c>
      <c r="G1240" s="1">
        <f t="shared" si="137"/>
        <v>5.6571533684070122E-3</v>
      </c>
      <c r="H1240" s="34">
        <f t="shared" si="138"/>
        <v>6.7039546906430001E-3</v>
      </c>
      <c r="I1240" s="36">
        <f t="shared" si="140"/>
        <v>3.7925299859819036E-5</v>
      </c>
    </row>
    <row r="1241" spans="2:9" x14ac:dyDescent="0.35">
      <c r="B1241" s="16">
        <f t="shared" si="141"/>
        <v>102.66666666666519</v>
      </c>
      <c r="C1241" s="17">
        <f t="shared" si="139"/>
        <v>102.66666666666519</v>
      </c>
      <c r="D1241" s="1" cm="1">
        <f t="array" ref="D1241">_xlfn.XLOOKUP(_xlfn.FLOOR.MATH(C1241),'Mortality Tables'!$B$4:$B$124,_xlfn.XLOOKUP(mortality_table,'Mortality Tables'!$B$3:$G$3,'Mortality Tables'!$B$4:$G$124,0,0),0,0)</f>
        <v>0.402588</v>
      </c>
      <c r="E1241" s="1">
        <f t="shared" si="135"/>
        <v>3.3548999999999995E-2</v>
      </c>
      <c r="F1241" s="1">
        <f t="shared" si="136"/>
        <v>0.96645099999999995</v>
      </c>
      <c r="G1241" s="1">
        <f t="shared" si="137"/>
        <v>5.4673615300503253E-3</v>
      </c>
      <c r="H1241" s="34">
        <f t="shared" si="138"/>
        <v>6.6767527733714695E-3</v>
      </c>
      <c r="I1241" s="36">
        <f t="shared" si="140"/>
        <v>3.6504221258787992E-5</v>
      </c>
    </row>
    <row r="1242" spans="2:9" x14ac:dyDescent="0.35">
      <c r="B1242" s="16">
        <f t="shared" si="141"/>
        <v>102.74999999999852</v>
      </c>
      <c r="C1242" s="17">
        <f t="shared" si="139"/>
        <v>102.74999999999852</v>
      </c>
      <c r="D1242" s="1" cm="1">
        <f t="array" ref="D1242">_xlfn.XLOOKUP(_xlfn.FLOOR.MATH(C1242),'Mortality Tables'!$B$4:$B$124,_xlfn.XLOOKUP(mortality_table,'Mortality Tables'!$B$3:$G$3,'Mortality Tables'!$B$4:$G$124,0,0),0,0)</f>
        <v>0.402588</v>
      </c>
      <c r="E1242" s="1">
        <f t="shared" si="135"/>
        <v>3.3548999999999995E-2</v>
      </c>
      <c r="F1242" s="1">
        <f t="shared" si="136"/>
        <v>0.96645099999999995</v>
      </c>
      <c r="G1242" s="1">
        <f t="shared" si="137"/>
        <v>5.2839370180786669E-3</v>
      </c>
      <c r="H1242" s="34">
        <f t="shared" si="138"/>
        <v>6.6496612303994958E-3</v>
      </c>
      <c r="I1242" s="36">
        <f t="shared" si="140"/>
        <v>3.5136391132990434E-5</v>
      </c>
    </row>
    <row r="1243" spans="2:9" x14ac:dyDescent="0.35">
      <c r="B1243" s="16">
        <f t="shared" si="141"/>
        <v>102.83333333333185</v>
      </c>
      <c r="C1243" s="17">
        <f t="shared" si="139"/>
        <v>102.83333333333185</v>
      </c>
      <c r="D1243" s="1" cm="1">
        <f t="array" ref="D1243">_xlfn.XLOOKUP(_xlfn.FLOOR.MATH(C1243),'Mortality Tables'!$B$4:$B$124,_xlfn.XLOOKUP(mortality_table,'Mortality Tables'!$B$3:$G$3,'Mortality Tables'!$B$4:$G$124,0,0),0,0)</f>
        <v>0.402588</v>
      </c>
      <c r="E1243" s="1">
        <f t="shared" si="135"/>
        <v>3.3548999999999995E-2</v>
      </c>
      <c r="F1243" s="1">
        <f t="shared" si="136"/>
        <v>0.96645099999999995</v>
      </c>
      <c r="G1243" s="1">
        <f t="shared" si="137"/>
        <v>5.1066662150591451E-3</v>
      </c>
      <c r="H1243" s="34">
        <f t="shared" si="138"/>
        <v>6.622679613873134E-3</v>
      </c>
      <c r="I1243" s="36">
        <f t="shared" si="140"/>
        <v>3.3819814237326878E-5</v>
      </c>
    </row>
    <row r="1244" spans="2:9" x14ac:dyDescent="0.35">
      <c r="B1244" s="16">
        <f t="shared" si="141"/>
        <v>102.91666666666518</v>
      </c>
      <c r="C1244" s="17">
        <f t="shared" si="139"/>
        <v>102.91666666666518</v>
      </c>
      <c r="D1244" s="1" cm="1">
        <f t="array" ref="D1244">_xlfn.XLOOKUP(_xlfn.FLOOR.MATH(C1244),'Mortality Tables'!$B$4:$B$124,_xlfn.XLOOKUP(mortality_table,'Mortality Tables'!$B$3:$G$3,'Mortality Tables'!$B$4:$G$124,0,0),0,0)</f>
        <v>0.402588</v>
      </c>
      <c r="E1244" s="1">
        <f t="shared" si="135"/>
        <v>3.3548999999999995E-2</v>
      </c>
      <c r="F1244" s="1">
        <f t="shared" si="136"/>
        <v>0.96645099999999995</v>
      </c>
      <c r="G1244" s="1">
        <f t="shared" si="137"/>
        <v>4.9353426702101258E-3</v>
      </c>
      <c r="H1244" s="34">
        <f t="shared" si="138"/>
        <v>6.5958074777556471E-3</v>
      </c>
      <c r="I1244" s="36">
        <f t="shared" si="140"/>
        <v>3.2552570089458472E-5</v>
      </c>
    </row>
    <row r="1245" spans="2:9" x14ac:dyDescent="0.35">
      <c r="B1245" s="16">
        <f t="shared" si="141"/>
        <v>102.99999999999851</v>
      </c>
      <c r="C1245" s="17">
        <f t="shared" si="139"/>
        <v>102.99999999999851</v>
      </c>
      <c r="D1245" s="1" cm="1">
        <f t="array" ref="D1245">_xlfn.XLOOKUP(_xlfn.FLOOR.MATH(C1245),'Mortality Tables'!$B$4:$B$124,_xlfn.XLOOKUP(mortality_table,'Mortality Tables'!$B$3:$G$3,'Mortality Tables'!$B$4:$G$124,0,0),0,0)</f>
        <v>0.402588</v>
      </c>
      <c r="E1245" s="1">
        <f t="shared" si="135"/>
        <v>3.3548999999999995E-2</v>
      </c>
      <c r="F1245" s="1">
        <f t="shared" si="136"/>
        <v>0.96645099999999995</v>
      </c>
      <c r="G1245" s="1">
        <f t="shared" si="137"/>
        <v>4.7697668589672462E-3</v>
      </c>
      <c r="H1245" s="34">
        <f t="shared" si="138"/>
        <v>6.5690443778201298E-3</v>
      </c>
      <c r="I1245" s="36">
        <f t="shared" si="140"/>
        <v>3.133281016841157E-5</v>
      </c>
    </row>
    <row r="1246" spans="2:9" x14ac:dyDescent="0.35">
      <c r="B1246" s="16">
        <f t="shared" si="141"/>
        <v>103.08333333333184</v>
      </c>
      <c r="C1246" s="17">
        <f t="shared" si="139"/>
        <v>103.08333333333184</v>
      </c>
      <c r="D1246" s="1" cm="1">
        <f t="array" ref="D1246">_xlfn.XLOOKUP(_xlfn.FLOOR.MATH(C1246),'Mortality Tables'!$B$4:$B$124,_xlfn.XLOOKUP(mortality_table,'Mortality Tables'!$B$3:$G$3,'Mortality Tables'!$B$4:$G$124,0,0),0,0)</f>
        <v>0.42709000000000003</v>
      </c>
      <c r="E1246" s="1">
        <f t="shared" si="135"/>
        <v>3.5590833333333335E-2</v>
      </c>
      <c r="F1246" s="1">
        <f t="shared" si="136"/>
        <v>0.96440916666666665</v>
      </c>
      <c r="G1246" s="1">
        <f t="shared" si="137"/>
        <v>4.6097459506157538E-3</v>
      </c>
      <c r="H1246" s="34">
        <f t="shared" si="138"/>
        <v>6.542389871642176E-3</v>
      </c>
      <c r="I1246" s="36">
        <f t="shared" si="140"/>
        <v>3.0158755218152042E-5</v>
      </c>
    </row>
    <row r="1247" spans="2:9" x14ac:dyDescent="0.35">
      <c r="B1247" s="16">
        <f t="shared" si="141"/>
        <v>103.16666666666517</v>
      </c>
      <c r="C1247" s="17">
        <f t="shared" si="139"/>
        <v>103.16666666666517</v>
      </c>
      <c r="D1247" s="1" cm="1">
        <f t="array" ref="D1247">_xlfn.XLOOKUP(_xlfn.FLOOR.MATH(C1247),'Mortality Tables'!$B$4:$B$124,_xlfn.XLOOKUP(mortality_table,'Mortality Tables'!$B$3:$G$3,'Mortality Tables'!$B$4:$G$124,0,0),0,0)</f>
        <v>0.42709000000000003</v>
      </c>
      <c r="E1247" s="1">
        <f t="shared" si="135"/>
        <v>3.5590833333333335E-2</v>
      </c>
      <c r="F1247" s="1">
        <f t="shared" si="136"/>
        <v>0.96440916666666665</v>
      </c>
      <c r="G1247" s="1">
        <f t="shared" si="137"/>
        <v>4.4456812507783806E-3</v>
      </c>
      <c r="H1247" s="34">
        <f t="shared" si="138"/>
        <v>6.5158435185925486E-3</v>
      </c>
      <c r="I1247" s="36">
        <f t="shared" si="140"/>
        <v>2.8967363363612727E-5</v>
      </c>
    </row>
    <row r="1248" spans="2:9" x14ac:dyDescent="0.35">
      <c r="B1248" s="16">
        <f t="shared" si="141"/>
        <v>103.24999999999849</v>
      </c>
      <c r="C1248" s="17">
        <f t="shared" si="139"/>
        <v>103.24999999999849</v>
      </c>
      <c r="D1248" s="1" cm="1">
        <f t="array" ref="D1248">_xlfn.XLOOKUP(_xlfn.FLOOR.MATH(C1248),'Mortality Tables'!$B$4:$B$124,_xlfn.XLOOKUP(mortality_table,'Mortality Tables'!$B$3:$G$3,'Mortality Tables'!$B$4:$G$124,0,0),0,0)</f>
        <v>0.42709000000000003</v>
      </c>
      <c r="E1248" s="1">
        <f t="shared" si="135"/>
        <v>3.5590833333333335E-2</v>
      </c>
      <c r="F1248" s="1">
        <f t="shared" si="136"/>
        <v>0.96440916666666665</v>
      </c>
      <c r="G1248" s="1">
        <f t="shared" si="137"/>
        <v>4.2874557503288025E-3</v>
      </c>
      <c r="H1248" s="34">
        <f t="shared" si="138"/>
        <v>6.4894048798299128E-3</v>
      </c>
      <c r="I1248" s="36">
        <f t="shared" si="140"/>
        <v>2.7823036268238549E-5</v>
      </c>
    </row>
    <row r="1249" spans="2:9" x14ac:dyDescent="0.35">
      <c r="B1249" s="16">
        <f t="shared" si="141"/>
        <v>103.33333333333182</v>
      </c>
      <c r="C1249" s="17">
        <f t="shared" si="139"/>
        <v>103.33333333333182</v>
      </c>
      <c r="D1249" s="1" cm="1">
        <f t="array" ref="D1249">_xlfn.XLOOKUP(_xlfn.FLOOR.MATH(C1249),'Mortality Tables'!$B$4:$B$124,_xlfn.XLOOKUP(mortality_table,'Mortality Tables'!$B$3:$G$3,'Mortality Tables'!$B$4:$G$124,0,0),0,0)</f>
        <v>0.42709000000000003</v>
      </c>
      <c r="E1249" s="1">
        <f t="shared" si="135"/>
        <v>3.5590833333333335E-2</v>
      </c>
      <c r="F1249" s="1">
        <f t="shared" si="136"/>
        <v>0.96440916666666665</v>
      </c>
      <c r="G1249" s="1">
        <f t="shared" si="137"/>
        <v>4.1348616272948082E-3</v>
      </c>
      <c r="H1249" s="34">
        <f t="shared" si="138"/>
        <v>6.4630735182935658E-3</v>
      </c>
      <c r="I1249" s="36">
        <f t="shared" si="140"/>
        <v>2.6723914685177316E-5</v>
      </c>
    </row>
    <row r="1250" spans="2:9" x14ac:dyDescent="0.35">
      <c r="B1250" s="16">
        <f t="shared" si="141"/>
        <v>103.41666666666515</v>
      </c>
      <c r="C1250" s="17">
        <f t="shared" si="139"/>
        <v>103.41666666666515</v>
      </c>
      <c r="D1250" s="1" cm="1">
        <f t="array" ref="D1250">_xlfn.XLOOKUP(_xlfn.FLOOR.MATH(C1250),'Mortality Tables'!$B$4:$B$124,_xlfn.XLOOKUP(mortality_table,'Mortality Tables'!$B$3:$G$3,'Mortality Tables'!$B$4:$G$124,0,0),0,0)</f>
        <v>0.42709000000000003</v>
      </c>
      <c r="E1250" s="1">
        <f t="shared" si="135"/>
        <v>3.5590833333333335E-2</v>
      </c>
      <c r="F1250" s="1">
        <f t="shared" si="136"/>
        <v>0.96440916666666665</v>
      </c>
      <c r="G1250" s="1">
        <f t="shared" si="137"/>
        <v>3.9876984562613634E-3</v>
      </c>
      <c r="H1250" s="34">
        <f t="shared" si="138"/>
        <v>6.4368489986962266E-3</v>
      </c>
      <c r="I1250" s="36">
        <f t="shared" si="140"/>
        <v>2.5668212815288445E-5</v>
      </c>
    </row>
    <row r="1251" spans="2:9" x14ac:dyDescent="0.35">
      <c r="B1251" s="16">
        <f t="shared" si="141"/>
        <v>103.49999999999848</v>
      </c>
      <c r="C1251" s="17">
        <f t="shared" si="139"/>
        <v>103.49999999999848</v>
      </c>
      <c r="D1251" s="1" cm="1">
        <f t="array" ref="D1251">_xlfn.XLOOKUP(_xlfn.FLOOR.MATH(C1251),'Mortality Tables'!$B$4:$B$124,_xlfn.XLOOKUP(mortality_table,'Mortality Tables'!$B$3:$G$3,'Mortality Tables'!$B$4:$G$124,0,0),0,0)</f>
        <v>0.42709000000000003</v>
      </c>
      <c r="E1251" s="1">
        <f t="shared" si="135"/>
        <v>3.5590833333333335E-2</v>
      </c>
      <c r="F1251" s="1">
        <f t="shared" si="136"/>
        <v>0.96440916666666665</v>
      </c>
      <c r="G1251" s="1">
        <f t="shared" si="137"/>
        <v>3.8457729451209744E-3</v>
      </c>
      <c r="H1251" s="34">
        <f t="shared" si="138"/>
        <v>6.4107308875168221E-3</v>
      </c>
      <c r="I1251" s="36">
        <f t="shared" si="140"/>
        <v>2.4654215405663567E-5</v>
      </c>
    </row>
    <row r="1252" spans="2:9" x14ac:dyDescent="0.35">
      <c r="B1252" s="16">
        <f t="shared" si="141"/>
        <v>103.58333333333181</v>
      </c>
      <c r="C1252" s="17">
        <f t="shared" si="139"/>
        <v>103.58333333333181</v>
      </c>
      <c r="D1252" s="1" cm="1">
        <f t="array" ref="D1252">_xlfn.XLOOKUP(_xlfn.FLOOR.MATH(C1252),'Mortality Tables'!$B$4:$B$124,_xlfn.XLOOKUP(mortality_table,'Mortality Tables'!$B$3:$G$3,'Mortality Tables'!$B$4:$G$124,0,0),0,0)</f>
        <v>0.42709000000000003</v>
      </c>
      <c r="E1252" s="1">
        <f t="shared" si="135"/>
        <v>3.5590833333333335E-2</v>
      </c>
      <c r="F1252" s="1">
        <f t="shared" si="136"/>
        <v>0.96440916666666665</v>
      </c>
      <c r="G1252" s="1">
        <f t="shared" si="137"/>
        <v>3.7088986811933313E-3</v>
      </c>
      <c r="H1252" s="34">
        <f t="shared" si="138"/>
        <v>6.3847187529933484E-3</v>
      </c>
      <c r="I1252" s="36">
        <f t="shared" si="140"/>
        <v>2.3680274962767362E-5</v>
      </c>
    </row>
    <row r="1253" spans="2:9" x14ac:dyDescent="0.35">
      <c r="B1253" s="16">
        <f t="shared" si="141"/>
        <v>103.66666666666514</v>
      </c>
      <c r="C1253" s="17">
        <f t="shared" si="139"/>
        <v>103.66666666666514</v>
      </c>
      <c r="D1253" s="1" cm="1">
        <f t="array" ref="D1253">_xlfn.XLOOKUP(_xlfn.FLOOR.MATH(C1253),'Mortality Tables'!$B$4:$B$124,_xlfn.XLOOKUP(mortality_table,'Mortality Tables'!$B$3:$G$3,'Mortality Tables'!$B$4:$G$124,0,0),0,0)</f>
        <v>0.42709000000000003</v>
      </c>
      <c r="E1253" s="1">
        <f t="shared" si="135"/>
        <v>3.5590833333333335E-2</v>
      </c>
      <c r="F1253" s="1">
        <f t="shared" si="136"/>
        <v>0.96440916666666665</v>
      </c>
      <c r="G1253" s="1">
        <f t="shared" si="137"/>
        <v>3.5768958863807597E-3</v>
      </c>
      <c r="H1253" s="34">
        <f t="shared" si="138"/>
        <v>6.3588121651157008E-3</v>
      </c>
      <c r="I1253" s="36">
        <f t="shared" si="140"/>
        <v>2.2744809075670282E-5</v>
      </c>
    </row>
    <row r="1254" spans="2:9" x14ac:dyDescent="0.35">
      <c r="B1254" s="16">
        <f t="shared" si="141"/>
        <v>103.74999999999847</v>
      </c>
      <c r="C1254" s="17">
        <f t="shared" si="139"/>
        <v>103.74999999999847</v>
      </c>
      <c r="D1254" s="1" cm="1">
        <f t="array" ref="D1254">_xlfn.XLOOKUP(_xlfn.FLOOR.MATH(C1254),'Mortality Tables'!$B$4:$B$124,_xlfn.XLOOKUP(mortality_table,'Mortality Tables'!$B$3:$G$3,'Mortality Tables'!$B$4:$G$124,0,0),0,0)</f>
        <v>0.42709000000000003</v>
      </c>
      <c r="E1254" s="1">
        <f t="shared" si="135"/>
        <v>3.5590833333333335E-2</v>
      </c>
      <c r="F1254" s="1">
        <f t="shared" si="136"/>
        <v>0.96440916666666665</v>
      </c>
      <c r="G1254" s="1">
        <f t="shared" si="137"/>
        <v>3.4495911810378966E-3</v>
      </c>
      <c r="H1254" s="34">
        <f t="shared" si="138"/>
        <v>6.3330106956185836E-3</v>
      </c>
      <c r="I1254" s="36">
        <f t="shared" si="140"/>
        <v>2.184629784502454E-5</v>
      </c>
    </row>
    <row r="1255" spans="2:9" x14ac:dyDescent="0.35">
      <c r="B1255" s="16">
        <f t="shared" si="141"/>
        <v>103.83333333333179</v>
      </c>
      <c r="C1255" s="17">
        <f t="shared" si="139"/>
        <v>103.83333333333179</v>
      </c>
      <c r="D1255" s="1" cm="1">
        <f t="array" ref="D1255">_xlfn.XLOOKUP(_xlfn.FLOOR.MATH(C1255),'Mortality Tables'!$B$4:$B$124,_xlfn.XLOOKUP(mortality_table,'Mortality Tables'!$B$3:$G$3,'Mortality Tables'!$B$4:$G$124,0,0),0,0)</f>
        <v>0.42709000000000003</v>
      </c>
      <c r="E1255" s="1">
        <f t="shared" si="135"/>
        <v>3.5590833333333335E-2</v>
      </c>
      <c r="F1255" s="1">
        <f t="shared" si="136"/>
        <v>0.96440916666666665</v>
      </c>
      <c r="G1255" s="1">
        <f t="shared" si="137"/>
        <v>3.3268173562454404E-3</v>
      </c>
      <c r="H1255" s="34">
        <f t="shared" si="138"/>
        <v>6.3073139179744301E-3</v>
      </c>
      <c r="I1255" s="36">
        <f t="shared" si="140"/>
        <v>2.0983281413605765E-5</v>
      </c>
    </row>
    <row r="1256" spans="2:9" x14ac:dyDescent="0.35">
      <c r="B1256" s="16">
        <f t="shared" si="141"/>
        <v>103.91666666666512</v>
      </c>
      <c r="C1256" s="17">
        <f t="shared" si="139"/>
        <v>103.91666666666512</v>
      </c>
      <c r="D1256" s="1" cm="1">
        <f t="array" ref="D1256">_xlfn.XLOOKUP(_xlfn.FLOOR.MATH(C1256),'Mortality Tables'!$B$4:$B$124,_xlfn.XLOOKUP(mortality_table,'Mortality Tables'!$B$3:$G$3,'Mortality Tables'!$B$4:$G$124,0,0),0,0)</f>
        <v>0.42709000000000003</v>
      </c>
      <c r="E1256" s="1">
        <f t="shared" si="135"/>
        <v>3.5590833333333335E-2</v>
      </c>
      <c r="F1256" s="1">
        <f t="shared" si="136"/>
        <v>0.96440916666666665</v>
      </c>
      <c r="G1256" s="1">
        <f t="shared" si="137"/>
        <v>3.2084131541888681E-3</v>
      </c>
      <c r="H1256" s="34">
        <f t="shared" si="138"/>
        <v>6.2817214073863465E-3</v>
      </c>
      <c r="I1256" s="36">
        <f t="shared" si="140"/>
        <v>2.0154357594408163E-5</v>
      </c>
    </row>
    <row r="1257" spans="2:9" x14ac:dyDescent="0.35">
      <c r="B1257" s="16">
        <f t="shared" si="141"/>
        <v>103.99999999999845</v>
      </c>
      <c r="C1257" s="17">
        <f t="shared" si="139"/>
        <v>103.99999999999845</v>
      </c>
      <c r="D1257" s="1" cm="1">
        <f t="array" ref="D1257">_xlfn.XLOOKUP(_xlfn.FLOOR.MATH(C1257),'Mortality Tables'!$B$4:$B$124,_xlfn.XLOOKUP(mortality_table,'Mortality Tables'!$B$3:$G$3,'Mortality Tables'!$B$4:$G$124,0,0),0,0)</f>
        <v>0.42709000000000003</v>
      </c>
      <c r="E1257" s="1">
        <f t="shared" si="135"/>
        <v>3.5590833333333335E-2</v>
      </c>
      <c r="F1257" s="1">
        <f t="shared" si="136"/>
        <v>0.96440916666666665</v>
      </c>
      <c r="G1257" s="1">
        <f t="shared" si="137"/>
        <v>3.0942230563536575E-3</v>
      </c>
      <c r="H1257" s="34">
        <f t="shared" si="138"/>
        <v>6.2562327407810923E-3</v>
      </c>
      <c r="I1257" s="36">
        <f t="shared" si="140"/>
        <v>1.9358179592439492E-5</v>
      </c>
    </row>
    <row r="1258" spans="2:9" x14ac:dyDescent="0.35">
      <c r="B1258" s="16">
        <f t="shared" si="141"/>
        <v>104.08333333333178</v>
      </c>
      <c r="C1258" s="17">
        <f t="shared" si="139"/>
        <v>104.08333333333178</v>
      </c>
      <c r="D1258" s="1" cm="1">
        <f t="array" ref="D1258">_xlfn.XLOOKUP(_xlfn.FLOOR.MATH(C1258),'Mortality Tables'!$B$4:$B$124,_xlfn.XLOOKUP(mortality_table,'Mortality Tables'!$B$3:$G$3,'Mortality Tables'!$B$4:$G$124,0,0),0,0)</f>
        <v>0.452127</v>
      </c>
      <c r="E1258" s="1">
        <f t="shared" si="135"/>
        <v>3.7677249999999995E-2</v>
      </c>
      <c r="F1258" s="1">
        <f t="shared" si="136"/>
        <v>0.96232275</v>
      </c>
      <c r="G1258" s="1">
        <f t="shared" si="137"/>
        <v>2.9840970792588172E-3</v>
      </c>
      <c r="H1258" s="34">
        <f t="shared" si="138"/>
        <v>6.2308474968020876E-3</v>
      </c>
      <c r="I1258" s="36">
        <f t="shared" si="140"/>
        <v>1.859345381651422E-5</v>
      </c>
    </row>
    <row r="1259" spans="2:9" x14ac:dyDescent="0.35">
      <c r="B1259" s="16">
        <f t="shared" si="141"/>
        <v>104.16666666666511</v>
      </c>
      <c r="C1259" s="17">
        <f t="shared" si="139"/>
        <v>104.16666666666511</v>
      </c>
      <c r="D1259" s="1" cm="1">
        <f t="array" ref="D1259">_xlfn.XLOOKUP(_xlfn.FLOOR.MATH(C1259),'Mortality Tables'!$B$4:$B$124,_xlfn.XLOOKUP(mortality_table,'Mortality Tables'!$B$3:$G$3,'Mortality Tables'!$B$4:$G$124,0,0),0,0)</f>
        <v>0.452127</v>
      </c>
      <c r="E1259" s="1">
        <f t="shared" si="135"/>
        <v>3.7677249999999995E-2</v>
      </c>
      <c r="F1259" s="1">
        <f t="shared" si="136"/>
        <v>0.96232275</v>
      </c>
      <c r="G1259" s="1">
        <f t="shared" si="137"/>
        <v>2.8716645075793131E-3</v>
      </c>
      <c r="H1259" s="34">
        <f t="shared" si="138"/>
        <v>6.2055652558024432E-3</v>
      </c>
      <c r="I1259" s="36">
        <f t="shared" si="140"/>
        <v>1.7820301494555218E-5</v>
      </c>
    </row>
    <row r="1260" spans="2:9" x14ac:dyDescent="0.35">
      <c r="B1260" s="16">
        <f t="shared" si="141"/>
        <v>104.24999999999844</v>
      </c>
      <c r="C1260" s="17">
        <f t="shared" si="139"/>
        <v>104.24999999999844</v>
      </c>
      <c r="D1260" s="1" cm="1">
        <f t="array" ref="D1260">_xlfn.XLOOKUP(_xlfn.FLOOR.MATH(C1260),'Mortality Tables'!$B$4:$B$124,_xlfn.XLOOKUP(mortality_table,'Mortality Tables'!$B$3:$G$3,'Mortality Tables'!$B$4:$G$124,0,0),0,0)</f>
        <v>0.452127</v>
      </c>
      <c r="E1260" s="1">
        <f t="shared" si="135"/>
        <v>3.7677249999999995E-2</v>
      </c>
      <c r="F1260" s="1">
        <f t="shared" si="136"/>
        <v>0.96232275</v>
      </c>
      <c r="G1260" s="1">
        <f t="shared" si="137"/>
        <v>2.7634680860111204E-3</v>
      </c>
      <c r="H1260" s="34">
        <f t="shared" si="138"/>
        <v>6.1803855998380265E-3</v>
      </c>
      <c r="I1260" s="36">
        <f t="shared" si="140"/>
        <v>1.707929836439508E-5</v>
      </c>
    </row>
    <row r="1261" spans="2:9" x14ac:dyDescent="0.35">
      <c r="B1261" s="16">
        <f t="shared" si="141"/>
        <v>104.33333333333177</v>
      </c>
      <c r="C1261" s="17">
        <f t="shared" si="139"/>
        <v>104.33333333333177</v>
      </c>
      <c r="D1261" s="1" cm="1">
        <f t="array" ref="D1261">_xlfn.XLOOKUP(_xlfn.FLOOR.MATH(C1261),'Mortality Tables'!$B$4:$B$124,_xlfn.XLOOKUP(mortality_table,'Mortality Tables'!$B$3:$G$3,'Mortality Tables'!$B$4:$G$124,0,0),0,0)</f>
        <v>0.452127</v>
      </c>
      <c r="E1261" s="1">
        <f t="shared" si="135"/>
        <v>3.7677249999999995E-2</v>
      </c>
      <c r="F1261" s="1">
        <f t="shared" si="136"/>
        <v>0.96232275</v>
      </c>
      <c r="G1261" s="1">
        <f t="shared" si="137"/>
        <v>2.659348208067458E-3</v>
      </c>
      <c r="H1261" s="34">
        <f t="shared" si="138"/>
        <v>6.1553081126605545E-3</v>
      </c>
      <c r="I1261" s="36">
        <f t="shared" si="140"/>
        <v>1.6369107599506933E-5</v>
      </c>
    </row>
    <row r="1262" spans="2:9" x14ac:dyDescent="0.35">
      <c r="B1262" s="16">
        <f t="shared" si="141"/>
        <v>104.41666666666509</v>
      </c>
      <c r="C1262" s="17">
        <f t="shared" si="139"/>
        <v>104.41666666666509</v>
      </c>
      <c r="D1262" s="1" cm="1">
        <f t="array" ref="D1262">_xlfn.XLOOKUP(_xlfn.FLOOR.MATH(C1262),'Mortality Tables'!$B$4:$B$124,_xlfn.XLOOKUP(mortality_table,'Mortality Tables'!$B$3:$G$3,'Mortality Tables'!$B$4:$G$124,0,0),0,0)</f>
        <v>0.452127</v>
      </c>
      <c r="E1262" s="1">
        <f t="shared" si="135"/>
        <v>3.7677249999999995E-2</v>
      </c>
      <c r="F1262" s="1">
        <f t="shared" si="136"/>
        <v>0.96232275</v>
      </c>
      <c r="G1262" s="1">
        <f t="shared" si="137"/>
        <v>2.5591512807950482E-3</v>
      </c>
      <c r="H1262" s="34">
        <f t="shared" si="138"/>
        <v>6.1303323797107078E-3</v>
      </c>
      <c r="I1262" s="36">
        <f t="shared" si="140"/>
        <v>1.5688447961236013E-5</v>
      </c>
    </row>
    <row r="1263" spans="2:9" x14ac:dyDescent="0.35">
      <c r="B1263" s="16">
        <f t="shared" si="141"/>
        <v>104.49999999999842</v>
      </c>
      <c r="C1263" s="17">
        <f t="shared" si="139"/>
        <v>104.49999999999842</v>
      </c>
      <c r="D1263" s="1" cm="1">
        <f t="array" ref="D1263">_xlfn.XLOOKUP(_xlfn.FLOOR.MATH(C1263),'Mortality Tables'!$B$4:$B$124,_xlfn.XLOOKUP(mortality_table,'Mortality Tables'!$B$3:$G$3,'Mortality Tables'!$B$4:$G$124,0,0),0,0)</f>
        <v>0.452127</v>
      </c>
      <c r="E1263" s="1">
        <f t="shared" si="135"/>
        <v>3.7677249999999995E-2</v>
      </c>
      <c r="F1263" s="1">
        <f t="shared" si="136"/>
        <v>0.96232275</v>
      </c>
      <c r="G1263" s="1">
        <f t="shared" si="137"/>
        <v>2.4627294982007132E-3</v>
      </c>
      <c r="H1263" s="34">
        <f t="shared" si="138"/>
        <v>6.1054579881112802E-3</v>
      </c>
      <c r="I1263" s="36">
        <f t="shared" si="140"/>
        <v>1.5036091487346829E-5</v>
      </c>
    </row>
    <row r="1264" spans="2:9" x14ac:dyDescent="0.35">
      <c r="B1264" s="16">
        <f t="shared" si="141"/>
        <v>104.58333333333175</v>
      </c>
      <c r="C1264" s="17">
        <f t="shared" si="139"/>
        <v>104.58333333333175</v>
      </c>
      <c r="D1264" s="1" cm="1">
        <f t="array" ref="D1264">_xlfn.XLOOKUP(_xlfn.FLOOR.MATH(C1264),'Mortality Tables'!$B$4:$B$124,_xlfn.XLOOKUP(mortality_table,'Mortality Tables'!$B$3:$G$3,'Mortality Tables'!$B$4:$G$124,0,0),0,0)</f>
        <v>0.452127</v>
      </c>
      <c r="E1264" s="1">
        <f t="shared" si="135"/>
        <v>3.7677249999999995E-2</v>
      </c>
      <c r="F1264" s="1">
        <f t="shared" si="136"/>
        <v>0.96232275</v>
      </c>
      <c r="G1264" s="1">
        <f t="shared" si="137"/>
        <v>2.3699406232146306E-3</v>
      </c>
      <c r="H1264" s="34">
        <f t="shared" si="138"/>
        <v>6.0806845266603527E-3</v>
      </c>
      <c r="I1264" s="36">
        <f t="shared" si="140"/>
        <v>1.4410861276684997E-5</v>
      </c>
    </row>
    <row r="1265" spans="2:9" x14ac:dyDescent="0.35">
      <c r="B1265" s="16">
        <f t="shared" si="141"/>
        <v>104.66666666666508</v>
      </c>
      <c r="C1265" s="17">
        <f t="shared" si="139"/>
        <v>104.66666666666508</v>
      </c>
      <c r="D1265" s="1" cm="1">
        <f t="array" ref="D1265">_xlfn.XLOOKUP(_xlfn.FLOOR.MATH(C1265),'Mortality Tables'!$B$4:$B$124,_xlfn.XLOOKUP(mortality_table,'Mortality Tables'!$B$3:$G$3,'Mortality Tables'!$B$4:$G$124,0,0),0,0)</f>
        <v>0.452127</v>
      </c>
      <c r="E1265" s="1">
        <f t="shared" si="135"/>
        <v>3.7677249999999995E-2</v>
      </c>
      <c r="F1265" s="1">
        <f t="shared" si="136"/>
        <v>0.96232275</v>
      </c>
      <c r="G1265" s="1">
        <f t="shared" si="137"/>
        <v>2.280647777868617E-3</v>
      </c>
      <c r="H1265" s="34">
        <f t="shared" si="138"/>
        <v>6.0560115858244975E-3</v>
      </c>
      <c r="I1265" s="36">
        <f t="shared" si="140"/>
        <v>1.3811629365957238E-5</v>
      </c>
    </row>
    <row r="1266" spans="2:9" x14ac:dyDescent="0.35">
      <c r="B1266" s="16">
        <f t="shared" si="141"/>
        <v>104.74999999999841</v>
      </c>
      <c r="C1266" s="17">
        <f t="shared" si="139"/>
        <v>104.74999999999841</v>
      </c>
      <c r="D1266" s="1" cm="1">
        <f t="array" ref="D1266">_xlfn.XLOOKUP(_xlfn.FLOOR.MATH(C1266),'Mortality Tables'!$B$4:$B$124,_xlfn.XLOOKUP(mortality_table,'Mortality Tables'!$B$3:$G$3,'Mortality Tables'!$B$4:$G$124,0,0),0,0)</f>
        <v>0.452127</v>
      </c>
      <c r="E1266" s="1">
        <f t="shared" si="135"/>
        <v>3.7677249999999995E-2</v>
      </c>
      <c r="F1266" s="1">
        <f t="shared" si="136"/>
        <v>0.96232275</v>
      </c>
      <c r="G1266" s="1">
        <f t="shared" si="137"/>
        <v>2.1947192413799168E-3</v>
      </c>
      <c r="H1266" s="34">
        <f t="shared" si="138"/>
        <v>6.031438757732004E-3</v>
      </c>
      <c r="I1266" s="36">
        <f t="shared" si="140"/>
        <v>1.3237314694799012E-5</v>
      </c>
    </row>
    <row r="1267" spans="2:9" x14ac:dyDescent="0.35">
      <c r="B1267" s="16">
        <f t="shared" si="141"/>
        <v>104.83333333333174</v>
      </c>
      <c r="C1267" s="17">
        <f t="shared" si="139"/>
        <v>104.83333333333174</v>
      </c>
      <c r="D1267" s="1" cm="1">
        <f t="array" ref="D1267">_xlfn.XLOOKUP(_xlfn.FLOOR.MATH(C1267),'Mortality Tables'!$B$4:$B$124,_xlfn.XLOOKUP(mortality_table,'Mortality Tables'!$B$3:$G$3,'Mortality Tables'!$B$4:$G$124,0,0),0,0)</f>
        <v>0.452127</v>
      </c>
      <c r="E1267" s="1">
        <f t="shared" si="135"/>
        <v>3.7677249999999995E-2</v>
      </c>
      <c r="F1267" s="1">
        <f t="shared" si="136"/>
        <v>0.96232275</v>
      </c>
      <c r="G1267" s="1">
        <f t="shared" si="137"/>
        <v>2.1120282558426354E-3</v>
      </c>
      <c r="H1267" s="34">
        <f t="shared" si="138"/>
        <v>6.0069656361661384E-3</v>
      </c>
      <c r="I1267" s="36">
        <f t="shared" si="140"/>
        <v>1.2686881155458617E-5</v>
      </c>
    </row>
    <row r="1268" spans="2:9" x14ac:dyDescent="0.35">
      <c r="B1268" s="16">
        <f t="shared" si="141"/>
        <v>104.91666666666507</v>
      </c>
      <c r="C1268" s="17">
        <f t="shared" si="139"/>
        <v>104.91666666666507</v>
      </c>
      <c r="D1268" s="1" cm="1">
        <f t="array" ref="D1268">_xlfn.XLOOKUP(_xlfn.FLOOR.MATH(C1268),'Mortality Tables'!$B$4:$B$124,_xlfn.XLOOKUP(mortality_table,'Mortality Tables'!$B$3:$G$3,'Mortality Tables'!$B$4:$G$124,0,0),0,0)</f>
        <v>0.452127</v>
      </c>
      <c r="E1268" s="1">
        <f t="shared" si="135"/>
        <v>3.7677249999999995E-2</v>
      </c>
      <c r="F1268" s="1">
        <f t="shared" si="136"/>
        <v>0.96232275</v>
      </c>
      <c r="G1268" s="1">
        <f t="shared" si="137"/>
        <v>2.0324528392401883E-3</v>
      </c>
      <c r="H1268" s="34">
        <f t="shared" si="138"/>
        <v>5.9825918165584396E-3</v>
      </c>
      <c r="I1268" s="36">
        <f t="shared" si="140"/>
        <v>1.2159335723579316E-5</v>
      </c>
    </row>
    <row r="1269" spans="2:9" x14ac:dyDescent="0.35">
      <c r="B1269" s="16">
        <f t="shared" si="141"/>
        <v>104.99999999999839</v>
      </c>
      <c r="C1269" s="17">
        <f t="shared" si="139"/>
        <v>104.99999999999839</v>
      </c>
      <c r="D1269" s="1" cm="1">
        <f t="array" ref="D1269">_xlfn.XLOOKUP(_xlfn.FLOOR.MATH(C1269),'Mortality Tables'!$B$4:$B$124,_xlfn.XLOOKUP(mortality_table,'Mortality Tables'!$B$3:$G$3,'Mortality Tables'!$B$4:$G$124,0,0),0,0)</f>
        <v>0.452127</v>
      </c>
      <c r="E1269" s="1">
        <f t="shared" si="135"/>
        <v>3.7677249999999995E-2</v>
      </c>
      <c r="F1269" s="1">
        <f t="shared" si="136"/>
        <v>0.96232275</v>
      </c>
      <c r="G1269" s="1">
        <f t="shared" si="137"/>
        <v>1.9558756055029262E-3</v>
      </c>
      <c r="H1269" s="34">
        <f t="shared" si="138"/>
        <v>5.9583168959820082E-3</v>
      </c>
      <c r="I1269" s="36">
        <f t="shared" si="140"/>
        <v>1.1653726666707125E-5</v>
      </c>
    </row>
    <row r="1270" spans="2:9" x14ac:dyDescent="0.35">
      <c r="B1270" s="16">
        <f t="shared" si="141"/>
        <v>105.08333333333172</v>
      </c>
      <c r="C1270" s="17">
        <f t="shared" si="139"/>
        <v>105.08333333333172</v>
      </c>
      <c r="D1270" s="1" cm="1">
        <f t="array" ref="D1270">_xlfn.XLOOKUP(_xlfn.FLOOR.MATH(C1270),'Mortality Tables'!$B$4:$B$124,_xlfn.XLOOKUP(mortality_table,'Mortality Tables'!$B$3:$G$3,'Mortality Tables'!$B$4:$G$124,0,0),0,0)</f>
        <v>0.47760799999999998</v>
      </c>
      <c r="E1270" s="1">
        <f t="shared" si="135"/>
        <v>3.9800666666666665E-2</v>
      </c>
      <c r="F1270" s="1">
        <f t="shared" si="136"/>
        <v>0.96019933333333329</v>
      </c>
      <c r="G1270" s="1">
        <f t="shared" si="137"/>
        <v>1.882183591345491E-3</v>
      </c>
      <c r="H1270" s="34">
        <f t="shared" si="138"/>
        <v>5.9341404731448593E-3</v>
      </c>
      <c r="I1270" s="36">
        <f t="shared" si="140"/>
        <v>1.1169141827292423E-5</v>
      </c>
    </row>
    <row r="1271" spans="2:9" x14ac:dyDescent="0.35">
      <c r="B1271" s="16">
        <f t="shared" si="141"/>
        <v>105.16666666666505</v>
      </c>
      <c r="C1271" s="17">
        <f t="shared" si="139"/>
        <v>105.16666666666505</v>
      </c>
      <c r="D1271" s="1" cm="1">
        <f t="array" ref="D1271">_xlfn.XLOOKUP(_xlfn.FLOOR.MATH(C1271),'Mortality Tables'!$B$4:$B$124,_xlfn.XLOOKUP(mortality_table,'Mortality Tables'!$B$3:$G$3,'Mortality Tables'!$B$4:$G$124,0,0),0,0)</f>
        <v>0.47760799999999998</v>
      </c>
      <c r="E1271" s="1">
        <f t="shared" si="135"/>
        <v>3.9800666666666665E-2</v>
      </c>
      <c r="F1271" s="1">
        <f t="shared" si="136"/>
        <v>0.96019933333333329</v>
      </c>
      <c r="G1271" s="1">
        <f t="shared" si="137"/>
        <v>1.8072714296208795E-3</v>
      </c>
      <c r="H1271" s="34">
        <f t="shared" si="138"/>
        <v>5.9100621483832933E-3</v>
      </c>
      <c r="I1271" s="36">
        <f t="shared" si="140"/>
        <v>1.068108646805692E-5</v>
      </c>
    </row>
    <row r="1272" spans="2:9" x14ac:dyDescent="0.35">
      <c r="B1272" s="16">
        <f t="shared" si="141"/>
        <v>105.24999999999838</v>
      </c>
      <c r="C1272" s="17">
        <f t="shared" si="139"/>
        <v>105.24999999999838</v>
      </c>
      <c r="D1272" s="1" cm="1">
        <f t="array" ref="D1272">_xlfn.XLOOKUP(_xlfn.FLOOR.MATH(C1272),'Mortality Tables'!$B$4:$B$124,_xlfn.XLOOKUP(mortality_table,'Mortality Tables'!$B$3:$G$3,'Mortality Tables'!$B$4:$G$124,0,0),0,0)</f>
        <v>0.47760799999999998</v>
      </c>
      <c r="E1272" s="1">
        <f t="shared" si="135"/>
        <v>3.9800666666666665E-2</v>
      </c>
      <c r="F1272" s="1">
        <f t="shared" si="136"/>
        <v>0.96019933333333329</v>
      </c>
      <c r="G1272" s="1">
        <f t="shared" si="137"/>
        <v>1.7353408218743487E-3</v>
      </c>
      <c r="H1272" s="34">
        <f t="shared" si="138"/>
        <v>5.8860815236552785E-3</v>
      </c>
      <c r="I1272" s="36">
        <f t="shared" si="140"/>
        <v>1.021435754887937E-5</v>
      </c>
    </row>
    <row r="1273" spans="2:9" x14ac:dyDescent="0.35">
      <c r="B1273" s="16">
        <f t="shared" si="141"/>
        <v>105.33333333333171</v>
      </c>
      <c r="C1273" s="17">
        <f t="shared" si="139"/>
        <v>105.33333333333171</v>
      </c>
      <c r="D1273" s="1" cm="1">
        <f t="array" ref="D1273">_xlfn.XLOOKUP(_xlfn.FLOOR.MATH(C1273),'Mortality Tables'!$B$4:$B$124,_xlfn.XLOOKUP(mortality_table,'Mortality Tables'!$B$3:$G$3,'Mortality Tables'!$B$4:$G$124,0,0),0,0)</f>
        <v>0.47760799999999998</v>
      </c>
      <c r="E1273" s="1">
        <f t="shared" si="135"/>
        <v>3.9800666666666665E-2</v>
      </c>
      <c r="F1273" s="1">
        <f t="shared" si="136"/>
        <v>0.96019933333333329</v>
      </c>
      <c r="G1273" s="1">
        <f t="shared" si="137"/>
        <v>1.6662731002698684E-3</v>
      </c>
      <c r="H1273" s="34">
        <f t="shared" si="138"/>
        <v>5.8621982025338767E-3</v>
      </c>
      <c r="I1273" s="36">
        <f t="shared" si="140"/>
        <v>9.7680231733325718E-6</v>
      </c>
    </row>
    <row r="1274" spans="2:9" x14ac:dyDescent="0.35">
      <c r="B1274" s="16">
        <f t="shared" si="141"/>
        <v>105.41666666666504</v>
      </c>
      <c r="C1274" s="17">
        <f t="shared" si="139"/>
        <v>105.41666666666504</v>
      </c>
      <c r="D1274" s="1" cm="1">
        <f t="array" ref="D1274">_xlfn.XLOOKUP(_xlfn.FLOOR.MATH(C1274),'Mortality Tables'!$B$4:$B$124,_xlfn.XLOOKUP(mortality_table,'Mortality Tables'!$B$3:$G$3,'Mortality Tables'!$B$4:$G$124,0,0),0,0)</f>
        <v>0.47760799999999998</v>
      </c>
      <c r="E1274" s="1">
        <f t="shared" si="135"/>
        <v>3.9800666666666665E-2</v>
      </c>
      <c r="F1274" s="1">
        <f t="shared" si="136"/>
        <v>0.96019933333333329</v>
      </c>
      <c r="G1274" s="1">
        <f t="shared" si="137"/>
        <v>1.5999543200303941E-3</v>
      </c>
      <c r="H1274" s="34">
        <f t="shared" si="138"/>
        <v>5.8384117902006896E-3</v>
      </c>
      <c r="I1274" s="36">
        <f t="shared" si="140"/>
        <v>9.3411921658479798E-6</v>
      </c>
    </row>
    <row r="1275" spans="2:9" x14ac:dyDescent="0.35">
      <c r="B1275" s="16">
        <f t="shared" si="141"/>
        <v>105.49999999999837</v>
      </c>
      <c r="C1275" s="17">
        <f t="shared" si="139"/>
        <v>105.49999999999837</v>
      </c>
      <c r="D1275" s="1" cm="1">
        <f t="array" ref="D1275">_xlfn.XLOOKUP(_xlfn.FLOOR.MATH(C1275),'Mortality Tables'!$B$4:$B$124,_xlfn.XLOOKUP(mortality_table,'Mortality Tables'!$B$3:$G$3,'Mortality Tables'!$B$4:$G$124,0,0),0,0)</f>
        <v>0.47760799999999998</v>
      </c>
      <c r="E1275" s="1">
        <f t="shared" si="135"/>
        <v>3.9800666666666665E-2</v>
      </c>
      <c r="F1275" s="1">
        <f t="shared" si="136"/>
        <v>0.96019933333333329</v>
      </c>
      <c r="G1275" s="1">
        <f t="shared" si="137"/>
        <v>1.5362750714569709E-3</v>
      </c>
      <c r="H1275" s="34">
        <f t="shared" si="138"/>
        <v>5.8147218934393287E-3</v>
      </c>
      <c r="I1275" s="36">
        <f t="shared" si="140"/>
        <v>8.9330122923459172E-6</v>
      </c>
    </row>
    <row r="1276" spans="2:9" x14ac:dyDescent="0.35">
      <c r="B1276" s="16">
        <f t="shared" si="141"/>
        <v>105.58333333333169</v>
      </c>
      <c r="C1276" s="17">
        <f t="shared" si="139"/>
        <v>105.58333333333169</v>
      </c>
      <c r="D1276" s="1" cm="1">
        <f t="array" ref="D1276">_xlfn.XLOOKUP(_xlfn.FLOOR.MATH(C1276),'Mortality Tables'!$B$4:$B$124,_xlfn.XLOOKUP(mortality_table,'Mortality Tables'!$B$3:$G$3,'Mortality Tables'!$B$4:$G$124,0,0),0,0)</f>
        <v>0.47760799999999998</v>
      </c>
      <c r="E1276" s="1">
        <f t="shared" si="135"/>
        <v>3.9800666666666665E-2</v>
      </c>
      <c r="F1276" s="1">
        <f t="shared" si="136"/>
        <v>0.96019933333333329</v>
      </c>
      <c r="G1276" s="1">
        <f t="shared" si="137"/>
        <v>1.4751302994296025E-3</v>
      </c>
      <c r="H1276" s="34">
        <f t="shared" si="138"/>
        <v>5.7911281206289213E-3</v>
      </c>
      <c r="I1276" s="36">
        <f t="shared" si="140"/>
        <v>8.5426685586185315E-6</v>
      </c>
    </row>
    <row r="1277" spans="2:9" x14ac:dyDescent="0.35">
      <c r="B1277" s="16">
        <f t="shared" si="141"/>
        <v>105.66666666666502</v>
      </c>
      <c r="C1277" s="17">
        <f t="shared" si="139"/>
        <v>105.66666666666502</v>
      </c>
      <c r="D1277" s="1" cm="1">
        <f t="array" ref="D1277">_xlfn.XLOOKUP(_xlfn.FLOOR.MATH(C1277),'Mortality Tables'!$B$4:$B$124,_xlfn.XLOOKUP(mortality_table,'Mortality Tables'!$B$3:$G$3,'Mortality Tables'!$B$4:$G$124,0,0),0,0)</f>
        <v>0.47760799999999998</v>
      </c>
      <c r="E1277" s="1">
        <f t="shared" si="135"/>
        <v>3.9800666666666665E-2</v>
      </c>
      <c r="F1277" s="1">
        <f t="shared" si="136"/>
        <v>0.96019933333333329</v>
      </c>
      <c r="G1277" s="1">
        <f t="shared" si="137"/>
        <v>1.4164191300921045E-3</v>
      </c>
      <c r="H1277" s="34">
        <f t="shared" si="138"/>
        <v>5.7676300817376307E-3</v>
      </c>
      <c r="I1277" s="36">
        <f t="shared" si="140"/>
        <v>8.1693815830678684E-6</v>
      </c>
    </row>
    <row r="1278" spans="2:9" x14ac:dyDescent="0.35">
      <c r="B1278" s="16">
        <f t="shared" si="141"/>
        <v>105.74999999999835</v>
      </c>
      <c r="C1278" s="17">
        <f t="shared" si="139"/>
        <v>105.74999999999835</v>
      </c>
      <c r="D1278" s="1" cm="1">
        <f t="array" ref="D1278">_xlfn.XLOOKUP(_xlfn.FLOOR.MATH(C1278),'Mortality Tables'!$B$4:$B$124,_xlfn.XLOOKUP(mortality_table,'Mortality Tables'!$B$3:$G$3,'Mortality Tables'!$B$4:$G$124,0,0),0,0)</f>
        <v>0.47760799999999998</v>
      </c>
      <c r="E1278" s="1">
        <f t="shared" si="135"/>
        <v>3.9800666666666665E-2</v>
      </c>
      <c r="F1278" s="1">
        <f t="shared" si="136"/>
        <v>0.96019933333333329</v>
      </c>
      <c r="G1278" s="1">
        <f t="shared" si="137"/>
        <v>1.3600447044350187E-3</v>
      </c>
      <c r="H1278" s="34">
        <f t="shared" si="138"/>
        <v>5.7442273883162092E-3</v>
      </c>
      <c r="I1278" s="36">
        <f t="shared" si="140"/>
        <v>7.8124060405500588E-6</v>
      </c>
    </row>
    <row r="1279" spans="2:9" x14ac:dyDescent="0.35">
      <c r="B1279" s="16">
        <f t="shared" si="141"/>
        <v>105.83333333333168</v>
      </c>
      <c r="C1279" s="17">
        <f t="shared" si="139"/>
        <v>105.83333333333168</v>
      </c>
      <c r="D1279" s="1" cm="1">
        <f t="array" ref="D1279">_xlfn.XLOOKUP(_xlfn.FLOOR.MATH(C1279),'Mortality Tables'!$B$4:$B$124,_xlfn.XLOOKUP(mortality_table,'Mortality Tables'!$B$3:$G$3,'Mortality Tables'!$B$4:$G$124,0,0),0,0)</f>
        <v>0.47760799999999998</v>
      </c>
      <c r="E1279" s="1">
        <f t="shared" si="135"/>
        <v>3.9800666666666665E-2</v>
      </c>
      <c r="F1279" s="1">
        <f t="shared" si="136"/>
        <v>0.96019933333333329</v>
      </c>
      <c r="G1279" s="1">
        <f t="shared" si="137"/>
        <v>1.3059140185020352E-3</v>
      </c>
      <c r="H1279" s="34">
        <f t="shared" si="138"/>
        <v>5.7209196534915791E-3</v>
      </c>
      <c r="I1279" s="36">
        <f t="shared" si="140"/>
        <v>7.4710291742184586E-6</v>
      </c>
    </row>
    <row r="1280" spans="2:9" x14ac:dyDescent="0.35">
      <c r="B1280" s="16">
        <f t="shared" si="141"/>
        <v>105.91666666666501</v>
      </c>
      <c r="C1280" s="17">
        <f t="shared" si="139"/>
        <v>105.91666666666501</v>
      </c>
      <c r="D1280" s="1" cm="1">
        <f t="array" ref="D1280">_xlfn.XLOOKUP(_xlfn.FLOOR.MATH(C1280),'Mortality Tables'!$B$4:$B$124,_xlfn.XLOOKUP(mortality_table,'Mortality Tables'!$B$3:$G$3,'Mortality Tables'!$B$4:$G$124,0,0),0,0)</f>
        <v>0.47760799999999998</v>
      </c>
      <c r="E1280" s="1">
        <f t="shared" si="135"/>
        <v>3.9800666666666665E-2</v>
      </c>
      <c r="F1280" s="1">
        <f t="shared" si="136"/>
        <v>0.96019933333333329</v>
      </c>
      <c r="G1280" s="1">
        <f t="shared" si="137"/>
        <v>1.2539377699563085E-3</v>
      </c>
      <c r="H1280" s="34">
        <f t="shared" si="138"/>
        <v>5.697706491960438E-3</v>
      </c>
      <c r="I1280" s="36">
        <f t="shared" si="140"/>
        <v>7.1445693723944527E-6</v>
      </c>
    </row>
    <row r="1281" spans="2:9" x14ac:dyDescent="0.35">
      <c r="B1281" s="16">
        <f t="shared" si="141"/>
        <v>105.99999999999834</v>
      </c>
      <c r="C1281" s="17">
        <f t="shared" si="139"/>
        <v>105.99999999999834</v>
      </c>
      <c r="D1281" s="1" cm="1">
        <f t="array" ref="D1281">_xlfn.XLOOKUP(_xlfn.FLOOR.MATH(C1281),'Mortality Tables'!$B$4:$B$124,_xlfn.XLOOKUP(mortality_table,'Mortality Tables'!$B$3:$G$3,'Mortality Tables'!$B$4:$G$124,0,0),0,0)</f>
        <v>0.47760799999999998</v>
      </c>
      <c r="E1281" s="1">
        <f t="shared" si="135"/>
        <v>3.9800666666666665E-2</v>
      </c>
      <c r="F1281" s="1">
        <f t="shared" si="136"/>
        <v>0.96019933333333329</v>
      </c>
      <c r="G1281" s="1">
        <f t="shared" si="137"/>
        <v>1.204030210753534E-3</v>
      </c>
      <c r="H1281" s="34">
        <f t="shared" si="138"/>
        <v>5.6745875199828832E-3</v>
      </c>
      <c r="I1281" s="36">
        <f t="shared" si="140"/>
        <v>6.8323748076243647E-6</v>
      </c>
    </row>
    <row r="1282" spans="2:9" x14ac:dyDescent="0.35">
      <c r="B1282" s="16">
        <f t="shared" si="141"/>
        <v>106.08333333333167</v>
      </c>
      <c r="C1282" s="17">
        <f t="shared" si="139"/>
        <v>106.08333333333167</v>
      </c>
      <c r="D1282" s="1" cm="1">
        <f t="array" ref="D1282">_xlfn.XLOOKUP(_xlfn.FLOOR.MATH(C1282),'Mortality Tables'!$B$4:$B$124,_xlfn.XLOOKUP(mortality_table,'Mortality Tables'!$B$3:$G$3,'Mortality Tables'!$B$4:$G$124,0,0),0,0)</f>
        <v>0.50343199999999999</v>
      </c>
      <c r="E1282" s="1">
        <f t="shared" ref="E1282:E1345" si="142">$F$5*D1282</f>
        <v>4.1952666666666666E-2</v>
      </c>
      <c r="F1282" s="1">
        <f t="shared" ref="F1282:F1345" si="143">1-E1282</f>
        <v>0.95804733333333336</v>
      </c>
      <c r="G1282" s="1">
        <f t="shared" ref="G1282:G1345" si="144">G1281*F1281</f>
        <v>1.1561090056787361E-3</v>
      </c>
      <c r="H1282" s="34">
        <f t="shared" ref="H1282:H1345" si="145">(1+interest_rate)^-(B1282)</f>
        <v>5.6515623553760764E-3</v>
      </c>
      <c r="I1282" s="36">
        <f t="shared" si="140"/>
        <v>6.5338221352052119E-6</v>
      </c>
    </row>
    <row r="1283" spans="2:9" x14ac:dyDescent="0.35">
      <c r="B1283" s="16">
        <f t="shared" si="141"/>
        <v>106.16666666666499</v>
      </c>
      <c r="C1283" s="17">
        <f t="shared" si="139"/>
        <v>106.16666666666499</v>
      </c>
      <c r="D1283" s="1" cm="1">
        <f t="array" ref="D1283">_xlfn.XLOOKUP(_xlfn.FLOOR.MATH(C1283),'Mortality Tables'!$B$4:$B$124,_xlfn.XLOOKUP(mortality_table,'Mortality Tables'!$B$3:$G$3,'Mortality Tables'!$B$4:$G$124,0,0),0,0)</f>
        <v>0.50343199999999999</v>
      </c>
      <c r="E1283" s="1">
        <f t="shared" si="142"/>
        <v>4.1952666666666666E-2</v>
      </c>
      <c r="F1283" s="1">
        <f t="shared" si="143"/>
        <v>0.95804733333333336</v>
      </c>
      <c r="G1283" s="1">
        <f t="shared" si="144"/>
        <v>1.1076071499331647E-3</v>
      </c>
      <c r="H1283" s="34">
        <f t="shared" si="145"/>
        <v>5.6286306175079128E-3</v>
      </c>
      <c r="I1283" s="36">
        <f t="shared" si="140"/>
        <v>6.2343115162844883E-6</v>
      </c>
    </row>
    <row r="1284" spans="2:9" x14ac:dyDescent="0.35">
      <c r="B1284" s="16">
        <f t="shared" si="141"/>
        <v>106.24999999999832</v>
      </c>
      <c r="C1284" s="17">
        <f t="shared" si="139"/>
        <v>106.24999999999832</v>
      </c>
      <c r="D1284" s="1" cm="1">
        <f t="array" ref="D1284">_xlfn.XLOOKUP(_xlfn.FLOOR.MATH(C1284),'Mortality Tables'!$B$4:$B$124,_xlfn.XLOOKUP(mortality_table,'Mortality Tables'!$B$3:$G$3,'Mortality Tables'!$B$4:$G$124,0,0),0,0)</f>
        <v>0.50343199999999999</v>
      </c>
      <c r="E1284" s="1">
        <f t="shared" si="142"/>
        <v>4.1952666666666666E-2</v>
      </c>
      <c r="F1284" s="1">
        <f t="shared" si="143"/>
        <v>0.95804733333333336</v>
      </c>
      <c r="G1284" s="1">
        <f t="shared" si="144"/>
        <v>1.0611400763744019E-3</v>
      </c>
      <c r="H1284" s="34">
        <f t="shared" si="145"/>
        <v>5.6057919272907561E-3</v>
      </c>
      <c r="I1284" s="36">
        <f t="shared" si="140"/>
        <v>5.948530473864319E-6</v>
      </c>
    </row>
    <row r="1285" spans="2:9" x14ac:dyDescent="0.35">
      <c r="B1285" s="16">
        <f t="shared" si="141"/>
        <v>106.33333333333165</v>
      </c>
      <c r="C1285" s="17">
        <f t="shared" si="139"/>
        <v>106.33333333333165</v>
      </c>
      <c r="D1285" s="1" cm="1">
        <f t="array" ref="D1285">_xlfn.XLOOKUP(_xlfn.FLOOR.MATH(C1285),'Mortality Tables'!$B$4:$B$124,_xlfn.XLOOKUP(mortality_table,'Mortality Tables'!$B$3:$G$3,'Mortality Tables'!$B$4:$G$124,0,0),0,0)</f>
        <v>0.50343199999999999</v>
      </c>
      <c r="E1285" s="1">
        <f t="shared" si="142"/>
        <v>4.1952666666666666E-2</v>
      </c>
      <c r="F1285" s="1">
        <f t="shared" si="143"/>
        <v>0.95804733333333336</v>
      </c>
      <c r="G1285" s="1">
        <f t="shared" si="144"/>
        <v>1.0166224204636255E-3</v>
      </c>
      <c r="H1285" s="34">
        <f t="shared" si="145"/>
        <v>5.5830459071751345E-3</v>
      </c>
      <c r="I1285" s="36">
        <f t="shared" si="140"/>
        <v>5.6758496437119233E-6</v>
      </c>
    </row>
    <row r="1286" spans="2:9" x14ac:dyDescent="0.35">
      <c r="B1286" s="16">
        <f t="shared" si="141"/>
        <v>106.41666666666498</v>
      </c>
      <c r="C1286" s="17">
        <f t="shared" si="139"/>
        <v>106.41666666666498</v>
      </c>
      <c r="D1286" s="1" cm="1">
        <f t="array" ref="D1286">_xlfn.XLOOKUP(_xlfn.FLOOR.MATH(C1286),'Mortality Tables'!$B$4:$B$124,_xlfn.XLOOKUP(mortality_table,'Mortality Tables'!$B$3:$G$3,'Mortality Tables'!$B$4:$G$124,0,0),0,0)</f>
        <v>0.50343199999999999</v>
      </c>
      <c r="E1286" s="1">
        <f t="shared" si="142"/>
        <v>4.1952666666666666E-2</v>
      </c>
      <c r="F1286" s="1">
        <f t="shared" si="143"/>
        <v>0.95804733333333336</v>
      </c>
      <c r="G1286" s="1">
        <f t="shared" si="144"/>
        <v>9.7397239893205517E-4</v>
      </c>
      <c r="H1286" s="34">
        <f t="shared" si="145"/>
        <v>5.5603921811435263E-3</v>
      </c>
      <c r="I1286" s="36">
        <f t="shared" si="140"/>
        <v>5.4156685116714027E-6</v>
      </c>
    </row>
    <row r="1287" spans="2:9" x14ac:dyDescent="0.35">
      <c r="B1287" s="16">
        <f t="shared" si="141"/>
        <v>106.49999999999831</v>
      </c>
      <c r="C1287" s="17">
        <f t="shared" si="139"/>
        <v>106.49999999999831</v>
      </c>
      <c r="D1287" s="1" cm="1">
        <f t="array" ref="D1287">_xlfn.XLOOKUP(_xlfn.FLOOR.MATH(C1287),'Mortality Tables'!$B$4:$B$124,_xlfn.XLOOKUP(mortality_table,'Mortality Tables'!$B$3:$G$3,'Mortality Tables'!$B$4:$G$124,0,0),0,0)</f>
        <v>0.50343199999999999</v>
      </c>
      <c r="E1287" s="1">
        <f t="shared" si="142"/>
        <v>4.1952666666666666E-2</v>
      </c>
      <c r="F1287" s="1">
        <f t="shared" si="143"/>
        <v>0.95804733333333336</v>
      </c>
      <c r="G1287" s="1">
        <f t="shared" si="144"/>
        <v>9.3311165953712503E-4</v>
      </c>
      <c r="H1287" s="34">
        <f t="shared" si="145"/>
        <v>5.5378303747041363E-3</v>
      </c>
      <c r="I1287" s="36">
        <f t="shared" si="140"/>
        <v>5.1674140911752759E-6</v>
      </c>
    </row>
    <row r="1288" spans="2:9" x14ac:dyDescent="0.35">
      <c r="B1288" s="16">
        <f t="shared" si="141"/>
        <v>106.58333333333164</v>
      </c>
      <c r="C1288" s="17">
        <f t="shared" si="139"/>
        <v>106.58333333333164</v>
      </c>
      <c r="D1288" s="1" cm="1">
        <f t="array" ref="D1288">_xlfn.XLOOKUP(_xlfn.FLOOR.MATH(C1288),'Mortality Tables'!$B$4:$B$124,_xlfn.XLOOKUP(mortality_table,'Mortality Tables'!$B$3:$G$3,'Mortality Tables'!$B$4:$G$124,0,0),0,0)</f>
        <v>0.50343199999999999</v>
      </c>
      <c r="E1288" s="1">
        <f t="shared" si="142"/>
        <v>4.1952666666666666E-2</v>
      </c>
      <c r="F1288" s="1">
        <f t="shared" si="143"/>
        <v>0.95804733333333336</v>
      </c>
      <c r="G1288" s="1">
        <f t="shared" si="144"/>
        <v>8.9396513712178391E-4</v>
      </c>
      <c r="H1288" s="34">
        <f t="shared" si="145"/>
        <v>5.5153601148847011E-3</v>
      </c>
      <c r="I1288" s="36">
        <f t="shared" si="140"/>
        <v>4.9305396613789196E-6</v>
      </c>
    </row>
    <row r="1289" spans="2:9" x14ac:dyDescent="0.35">
      <c r="B1289" s="16">
        <f t="shared" si="141"/>
        <v>106.66666666666497</v>
      </c>
      <c r="C1289" s="17">
        <f t="shared" ref="C1289:C1352" si="146">current_age+B1289</f>
        <v>106.66666666666497</v>
      </c>
      <c r="D1289" s="1" cm="1">
        <f t="array" ref="D1289">_xlfn.XLOOKUP(_xlfn.FLOOR.MATH(C1289),'Mortality Tables'!$B$4:$B$124,_xlfn.XLOOKUP(mortality_table,'Mortality Tables'!$B$3:$G$3,'Mortality Tables'!$B$4:$G$124,0,0),0,0)</f>
        <v>0.50343199999999999</v>
      </c>
      <c r="E1289" s="1">
        <f t="shared" si="142"/>
        <v>4.1952666666666666E-2</v>
      </c>
      <c r="F1289" s="1">
        <f t="shared" si="143"/>
        <v>0.95804733333333336</v>
      </c>
      <c r="G1289" s="1">
        <f t="shared" si="144"/>
        <v>8.5646091571249278E-4</v>
      </c>
      <c r="H1289" s="34">
        <f t="shared" si="145"/>
        <v>5.4929810302263285E-3</v>
      </c>
      <c r="I1289" s="36">
        <f t="shared" ref="I1289:I1352" si="147">IF(current_age+B1289&lt;=$C$5,G1289*H1289,0)</f>
        <v>4.7045235631389935E-6</v>
      </c>
    </row>
    <row r="1290" spans="2:9" x14ac:dyDescent="0.35">
      <c r="B1290" s="16">
        <f t="shared" ref="B1290:B1353" si="148">B1289+$F$5</f>
        <v>106.74999999999829</v>
      </c>
      <c r="C1290" s="17">
        <f t="shared" si="146"/>
        <v>106.74999999999829</v>
      </c>
      <c r="D1290" s="1" cm="1">
        <f t="array" ref="D1290">_xlfn.XLOOKUP(_xlfn.FLOOR.MATH(C1290),'Mortality Tables'!$B$4:$B$124,_xlfn.XLOOKUP(mortality_table,'Mortality Tables'!$B$3:$G$3,'Mortality Tables'!$B$4:$G$124,0,0),0,0)</f>
        <v>0.50343199999999999</v>
      </c>
      <c r="E1290" s="1">
        <f t="shared" si="142"/>
        <v>4.1952666666666666E-2</v>
      </c>
      <c r="F1290" s="1">
        <f t="shared" si="143"/>
        <v>0.95804733333333336</v>
      </c>
      <c r="G1290" s="1">
        <f t="shared" si="144"/>
        <v>8.205300964025785E-4</v>
      </c>
      <c r="H1290" s="34">
        <f t="shared" si="145"/>
        <v>5.4706927507773553E-3</v>
      </c>
      <c r="I1290" s="36">
        <f t="shared" si="147"/>
        <v>4.4888680501842308E-6</v>
      </c>
    </row>
    <row r="1291" spans="2:9" x14ac:dyDescent="0.35">
      <c r="B1291" s="16">
        <f t="shared" si="148"/>
        <v>106.83333333333162</v>
      </c>
      <c r="C1291" s="17">
        <f t="shared" si="146"/>
        <v>106.83333333333162</v>
      </c>
      <c r="D1291" s="1" cm="1">
        <f t="array" ref="D1291">_xlfn.XLOOKUP(_xlfn.FLOOR.MATH(C1291),'Mortality Tables'!$B$4:$B$124,_xlfn.XLOOKUP(mortality_table,'Mortality Tables'!$B$3:$G$3,'Mortality Tables'!$B$4:$G$124,0,0),0,0)</f>
        <v>0.50343199999999999</v>
      </c>
      <c r="E1291" s="1">
        <f t="shared" si="142"/>
        <v>4.1952666666666666E-2</v>
      </c>
      <c r="F1291" s="1">
        <f t="shared" si="143"/>
        <v>0.95804733333333336</v>
      </c>
      <c r="G1291" s="1">
        <f t="shared" si="144"/>
        <v>7.8610667077823326E-4</v>
      </c>
      <c r="H1291" s="34">
        <f t="shared" si="145"/>
        <v>5.4484949080872329E-3</v>
      </c>
      <c r="I1291" s="36">
        <f t="shared" si="147"/>
        <v>4.2830981929486108E-6</v>
      </c>
    </row>
    <row r="1292" spans="2:9" x14ac:dyDescent="0.35">
      <c r="B1292" s="16">
        <f t="shared" si="148"/>
        <v>106.91666666666495</v>
      </c>
      <c r="C1292" s="17">
        <f t="shared" si="146"/>
        <v>106.91666666666495</v>
      </c>
      <c r="D1292" s="1" cm="1">
        <f t="array" ref="D1292">_xlfn.XLOOKUP(_xlfn.FLOOR.MATH(C1292),'Mortality Tables'!$B$4:$B$124,_xlfn.XLOOKUP(mortality_table,'Mortality Tables'!$B$3:$G$3,'Mortality Tables'!$B$4:$G$124,0,0),0,0)</f>
        <v>0.50343199999999999</v>
      </c>
      <c r="E1292" s="1">
        <f t="shared" si="142"/>
        <v>4.1952666666666666E-2</v>
      </c>
      <c r="F1292" s="1">
        <f t="shared" si="143"/>
        <v>0.95804733333333336</v>
      </c>
      <c r="G1292" s="1">
        <f t="shared" si="144"/>
        <v>7.5312739965463103E-4</v>
      </c>
      <c r="H1292" s="34">
        <f t="shared" si="145"/>
        <v>5.4263871352004311E-3</v>
      </c>
      <c r="I1292" s="36">
        <f t="shared" si="147"/>
        <v>4.0867608326528437E-6</v>
      </c>
    </row>
    <row r="1293" spans="2:9" x14ac:dyDescent="0.35">
      <c r="B1293" s="16">
        <f t="shared" si="148"/>
        <v>106.99999999999828</v>
      </c>
      <c r="C1293" s="17">
        <f t="shared" si="146"/>
        <v>106.99999999999828</v>
      </c>
      <c r="D1293" s="1" cm="1">
        <f t="array" ref="D1293">_xlfn.XLOOKUP(_xlfn.FLOOR.MATH(C1293),'Mortality Tables'!$B$4:$B$124,_xlfn.XLOOKUP(mortality_table,'Mortality Tables'!$B$3:$G$3,'Mortality Tables'!$B$4:$G$124,0,0),0,0)</f>
        <v>0.50343199999999999</v>
      </c>
      <c r="E1293" s="1">
        <f t="shared" si="142"/>
        <v>4.1952666666666666E-2</v>
      </c>
      <c r="F1293" s="1">
        <f t="shared" si="143"/>
        <v>0.95804733333333336</v>
      </c>
      <c r="G1293" s="1">
        <f t="shared" si="144"/>
        <v>7.2153169689938691E-4</v>
      </c>
      <c r="H1293" s="34">
        <f t="shared" si="145"/>
        <v>5.4043690666503788E-3</v>
      </c>
      <c r="I1293" s="36">
        <f t="shared" si="147"/>
        <v>3.8994235833308036E-6</v>
      </c>
    </row>
    <row r="1294" spans="2:9" x14ac:dyDescent="0.35">
      <c r="B1294" s="16">
        <f t="shared" si="148"/>
        <v>107.08333333333161</v>
      </c>
      <c r="C1294" s="17">
        <f t="shared" si="146"/>
        <v>107.08333333333161</v>
      </c>
      <c r="D1294" s="1" cm="1">
        <f t="array" ref="D1294">_xlfn.XLOOKUP(_xlfn.FLOOR.MATH(C1294),'Mortality Tables'!$B$4:$B$124,_xlfn.XLOOKUP(mortality_table,'Mortality Tables'!$B$3:$G$3,'Mortality Tables'!$B$4:$G$124,0,0),0,0)</f>
        <v>0.52949299999999999</v>
      </c>
      <c r="E1294" s="1">
        <f t="shared" si="142"/>
        <v>4.4124416666666666E-2</v>
      </c>
      <c r="F1294" s="1">
        <f t="shared" si="143"/>
        <v>0.95587558333333333</v>
      </c>
      <c r="G1294" s="1">
        <f t="shared" si="144"/>
        <v>6.912615181299326E-4</v>
      </c>
      <c r="H1294" s="34">
        <f t="shared" si="145"/>
        <v>5.3824403384534194E-3</v>
      </c>
      <c r="I1294" s="36">
        <f t="shared" si="147"/>
        <v>3.7206738796030989E-6</v>
      </c>
    </row>
    <row r="1295" spans="2:9" x14ac:dyDescent="0.35">
      <c r="B1295" s="16">
        <f t="shared" si="148"/>
        <v>107.16666666666494</v>
      </c>
      <c r="C1295" s="17">
        <f t="shared" si="146"/>
        <v>107.16666666666494</v>
      </c>
      <c r="D1295" s="1" cm="1">
        <f t="array" ref="D1295">_xlfn.XLOOKUP(_xlfn.FLOOR.MATH(C1295),'Mortality Tables'!$B$4:$B$124,_xlfn.XLOOKUP(mortality_table,'Mortality Tables'!$B$3:$G$3,'Mortality Tables'!$B$4:$G$124,0,0),0,0)</f>
        <v>0.52949299999999999</v>
      </c>
      <c r="E1295" s="1">
        <f t="shared" si="142"/>
        <v>4.4124416666666666E-2</v>
      </c>
      <c r="F1295" s="1">
        <f t="shared" si="143"/>
        <v>0.95587558333333333</v>
      </c>
      <c r="G1295" s="1">
        <f t="shared" si="144"/>
        <v>6.6076000687833485E-4</v>
      </c>
      <c r="H1295" s="34">
        <f t="shared" si="145"/>
        <v>5.3606005881027922E-3</v>
      </c>
      <c r="I1295" s="36">
        <f t="shared" si="147"/>
        <v>3.542070481466807E-6</v>
      </c>
    </row>
    <row r="1296" spans="2:9" x14ac:dyDescent="0.35">
      <c r="B1296" s="16">
        <f t="shared" si="148"/>
        <v>107.24999999999827</v>
      </c>
      <c r="C1296" s="17">
        <f t="shared" si="146"/>
        <v>107.24999999999827</v>
      </c>
      <c r="D1296" s="1" cm="1">
        <f t="array" ref="D1296">_xlfn.XLOOKUP(_xlfn.FLOOR.MATH(C1296),'Mortality Tables'!$B$4:$B$124,_xlfn.XLOOKUP(mortality_table,'Mortality Tables'!$B$3:$G$3,'Mortality Tables'!$B$4:$G$124,0,0),0,0)</f>
        <v>0.52949299999999999</v>
      </c>
      <c r="E1296" s="1">
        <f t="shared" si="142"/>
        <v>4.4124416666666666E-2</v>
      </c>
      <c r="F1296" s="1">
        <f t="shared" si="143"/>
        <v>0.95587558333333333</v>
      </c>
      <c r="G1296" s="1">
        <f t="shared" si="144"/>
        <v>6.316043570181657E-4</v>
      </c>
      <c r="H1296" s="34">
        <f t="shared" si="145"/>
        <v>5.3388494545626424E-3</v>
      </c>
      <c r="I1296" s="36">
        <f t="shared" si="147"/>
        <v>3.3720405769658224E-6</v>
      </c>
    </row>
    <row r="1297" spans="2:9" x14ac:dyDescent="0.35">
      <c r="B1297" s="16">
        <f t="shared" si="148"/>
        <v>107.33333333333159</v>
      </c>
      <c r="C1297" s="17">
        <f t="shared" si="146"/>
        <v>107.33333333333159</v>
      </c>
      <c r="D1297" s="1" cm="1">
        <f t="array" ref="D1297">_xlfn.XLOOKUP(_xlfn.FLOOR.MATH(C1297),'Mortality Tables'!$B$4:$B$124,_xlfn.XLOOKUP(mortality_table,'Mortality Tables'!$B$3:$G$3,'Mortality Tables'!$B$4:$G$124,0,0),0,0)</f>
        <v>0.52949299999999999</v>
      </c>
      <c r="E1297" s="1">
        <f t="shared" si="142"/>
        <v>4.4124416666666666E-2</v>
      </c>
      <c r="F1297" s="1">
        <f t="shared" si="143"/>
        <v>0.95587558333333333</v>
      </c>
      <c r="G1297" s="1">
        <f t="shared" si="144"/>
        <v>6.0373518320061407E-4</v>
      </c>
      <c r="H1297" s="34">
        <f t="shared" si="145"/>
        <v>5.3171865782620509E-3</v>
      </c>
      <c r="I1297" s="36">
        <f t="shared" si="147"/>
        <v>3.2101726129388856E-6</v>
      </c>
    </row>
    <row r="1298" spans="2:9" x14ac:dyDescent="0.35">
      <c r="B1298" s="16">
        <f t="shared" si="148"/>
        <v>107.41666666666492</v>
      </c>
      <c r="C1298" s="17">
        <f t="shared" si="146"/>
        <v>107.41666666666492</v>
      </c>
      <c r="D1298" s="1" cm="1">
        <f t="array" ref="D1298">_xlfn.XLOOKUP(_xlfn.FLOOR.MATH(C1298),'Mortality Tables'!$B$4:$B$124,_xlfn.XLOOKUP(mortality_table,'Mortality Tables'!$B$3:$G$3,'Mortality Tables'!$B$4:$G$124,0,0),0,0)</f>
        <v>0.52949299999999999</v>
      </c>
      <c r="E1298" s="1">
        <f t="shared" si="142"/>
        <v>4.4124416666666666E-2</v>
      </c>
      <c r="F1298" s="1">
        <f t="shared" si="143"/>
        <v>0.95587558333333333</v>
      </c>
      <c r="G1298" s="1">
        <f t="shared" si="144"/>
        <v>5.770957204207438E-4</v>
      </c>
      <c r="H1298" s="34">
        <f t="shared" si="145"/>
        <v>5.2956116010890921E-3</v>
      </c>
      <c r="I1298" s="36">
        <f t="shared" si="147"/>
        <v>3.056074791998958E-6</v>
      </c>
    </row>
    <row r="1299" spans="2:9" x14ac:dyDescent="0.35">
      <c r="B1299" s="16">
        <f t="shared" si="148"/>
        <v>107.49999999999825</v>
      </c>
      <c r="C1299" s="17">
        <f t="shared" si="146"/>
        <v>107.49999999999825</v>
      </c>
      <c r="D1299" s="1" cm="1">
        <f t="array" ref="D1299">_xlfn.XLOOKUP(_xlfn.FLOOR.MATH(C1299),'Mortality Tables'!$B$4:$B$124,_xlfn.XLOOKUP(mortality_table,'Mortality Tables'!$B$3:$G$3,'Mortality Tables'!$B$4:$G$124,0,0),0,0)</f>
        <v>0.52949299999999999</v>
      </c>
      <c r="E1299" s="1">
        <f t="shared" si="142"/>
        <v>4.4124416666666666E-2</v>
      </c>
      <c r="F1299" s="1">
        <f t="shared" si="143"/>
        <v>0.95587558333333333</v>
      </c>
      <c r="G1299" s="1">
        <f t="shared" si="144"/>
        <v>5.5163170839634876E-4</v>
      </c>
      <c r="H1299" s="34">
        <f t="shared" si="145"/>
        <v>5.2741241663849057E-3</v>
      </c>
      <c r="I1299" s="36">
        <f t="shared" si="147"/>
        <v>2.9093741241973741E-6</v>
      </c>
    </row>
    <row r="1300" spans="2:9" x14ac:dyDescent="0.35">
      <c r="B1300" s="16">
        <f t="shared" si="148"/>
        <v>107.58333333333158</v>
      </c>
      <c r="C1300" s="17">
        <f t="shared" si="146"/>
        <v>107.58333333333158</v>
      </c>
      <c r="D1300" s="1" cm="1">
        <f t="array" ref="D1300">_xlfn.XLOOKUP(_xlfn.FLOOR.MATH(C1300),'Mortality Tables'!$B$4:$B$124,_xlfn.XLOOKUP(mortality_table,'Mortality Tables'!$B$3:$G$3,'Mortality Tables'!$B$4:$G$124,0,0),0,0)</f>
        <v>0.52949299999999999</v>
      </c>
      <c r="E1300" s="1">
        <f t="shared" si="142"/>
        <v>4.4124416666666666E-2</v>
      </c>
      <c r="F1300" s="1">
        <f t="shared" si="143"/>
        <v>0.95587558333333333</v>
      </c>
      <c r="G1300" s="1">
        <f t="shared" si="144"/>
        <v>5.2729128104852315E-4</v>
      </c>
      <c r="H1300" s="34">
        <f t="shared" si="145"/>
        <v>5.2527239189378233E-3</v>
      </c>
      <c r="I1300" s="36">
        <f t="shared" si="147"/>
        <v>2.7697155242109437E-6</v>
      </c>
    </row>
    <row r="1301" spans="2:9" x14ac:dyDescent="0.35">
      <c r="B1301" s="16">
        <f t="shared" si="148"/>
        <v>107.66666666666491</v>
      </c>
      <c r="C1301" s="17">
        <f t="shared" si="146"/>
        <v>107.66666666666491</v>
      </c>
      <c r="D1301" s="1" cm="1">
        <f t="array" ref="D1301">_xlfn.XLOOKUP(_xlfn.FLOOR.MATH(C1301),'Mortality Tables'!$B$4:$B$124,_xlfn.XLOOKUP(mortality_table,'Mortality Tables'!$B$3:$G$3,'Mortality Tables'!$B$4:$G$124,0,0),0,0)</f>
        <v>0.52949299999999999</v>
      </c>
      <c r="E1301" s="1">
        <f t="shared" si="142"/>
        <v>4.4124416666666666E-2</v>
      </c>
      <c r="F1301" s="1">
        <f t="shared" si="143"/>
        <v>0.95587558333333333</v>
      </c>
      <c r="G1301" s="1">
        <f t="shared" si="144"/>
        <v>5.0402486085883772E-4</v>
      </c>
      <c r="H1301" s="34">
        <f t="shared" si="145"/>
        <v>5.2314105049774693E-3</v>
      </c>
      <c r="I1301" s="36">
        <f t="shared" si="147"/>
        <v>2.6367609518667309E-6</v>
      </c>
    </row>
    <row r="1302" spans="2:9" x14ac:dyDescent="0.35">
      <c r="B1302" s="16">
        <f t="shared" si="148"/>
        <v>107.74999999999824</v>
      </c>
      <c r="C1302" s="17">
        <f t="shared" si="146"/>
        <v>107.74999999999824</v>
      </c>
      <c r="D1302" s="1" cm="1">
        <f t="array" ref="D1302">_xlfn.XLOOKUP(_xlfn.FLOOR.MATH(C1302),'Mortality Tables'!$B$4:$B$124,_xlfn.XLOOKUP(mortality_table,'Mortality Tables'!$B$3:$G$3,'Mortality Tables'!$B$4:$G$124,0,0),0,0)</f>
        <v>0.52949299999999999</v>
      </c>
      <c r="E1302" s="1">
        <f t="shared" si="142"/>
        <v>4.4124416666666666E-2</v>
      </c>
      <c r="F1302" s="1">
        <f t="shared" si="143"/>
        <v>0.95587558333333333</v>
      </c>
      <c r="G1302" s="1">
        <f t="shared" si="144"/>
        <v>4.8178505788794366E-4</v>
      </c>
      <c r="H1302" s="34">
        <f t="shared" si="145"/>
        <v>5.2101835721689235E-3</v>
      </c>
      <c r="I1302" s="36">
        <f t="shared" si="147"/>
        <v>2.5101885939242181E-6</v>
      </c>
    </row>
    <row r="1303" spans="2:9" x14ac:dyDescent="0.35">
      <c r="B1303" s="16">
        <f t="shared" si="148"/>
        <v>107.83333333333157</v>
      </c>
      <c r="C1303" s="17">
        <f t="shared" si="146"/>
        <v>107.83333333333157</v>
      </c>
      <c r="D1303" s="1" cm="1">
        <f t="array" ref="D1303">_xlfn.XLOOKUP(_xlfn.FLOOR.MATH(C1303),'Mortality Tables'!$B$4:$B$124,_xlfn.XLOOKUP(mortality_table,'Mortality Tables'!$B$3:$G$3,'Mortality Tables'!$B$4:$G$124,0,0),0,0)</f>
        <v>0.52949299999999999</v>
      </c>
      <c r="E1303" s="1">
        <f t="shared" si="142"/>
        <v>4.4124416666666666E-2</v>
      </c>
      <c r="F1303" s="1">
        <f t="shared" si="143"/>
        <v>0.95587558333333333</v>
      </c>
      <c r="G1303" s="1">
        <f t="shared" si="144"/>
        <v>4.6052657324992193E-4</v>
      </c>
      <c r="H1303" s="34">
        <f t="shared" si="145"/>
        <v>5.1890427696069013E-3</v>
      </c>
      <c r="I1303" s="36">
        <f t="shared" si="147"/>
        <v>2.3896920851343502E-6</v>
      </c>
    </row>
    <row r="1304" spans="2:9" x14ac:dyDescent="0.35">
      <c r="B1304" s="16">
        <f t="shared" si="148"/>
        <v>107.9166666666649</v>
      </c>
      <c r="C1304" s="17">
        <f t="shared" si="146"/>
        <v>107.9166666666649</v>
      </c>
      <c r="D1304" s="1" cm="1">
        <f t="array" ref="D1304">_xlfn.XLOOKUP(_xlfn.FLOOR.MATH(C1304),'Mortality Tables'!$B$4:$B$124,_xlfn.XLOOKUP(mortality_table,'Mortality Tables'!$B$3:$G$3,'Mortality Tables'!$B$4:$G$124,0,0),0,0)</f>
        <v>0.52949299999999999</v>
      </c>
      <c r="E1304" s="1">
        <f t="shared" si="142"/>
        <v>4.4124416666666666E-2</v>
      </c>
      <c r="F1304" s="1">
        <f t="shared" si="143"/>
        <v>0.95587558333333333</v>
      </c>
      <c r="G1304" s="1">
        <f t="shared" si="144"/>
        <v>4.4020610684577019E-4</v>
      </c>
      <c r="H1304" s="34">
        <f t="shared" si="145"/>
        <v>5.1679877478099474E-3</v>
      </c>
      <c r="I1304" s="36">
        <f t="shared" si="147"/>
        <v>2.2749797666900569E-6</v>
      </c>
    </row>
    <row r="1305" spans="2:9" x14ac:dyDescent="0.35">
      <c r="B1305" s="16">
        <f t="shared" si="148"/>
        <v>107.99999999999822</v>
      </c>
      <c r="C1305" s="17">
        <f t="shared" si="146"/>
        <v>107.99999999999822</v>
      </c>
      <c r="D1305" s="1" cm="1">
        <f t="array" ref="D1305">_xlfn.XLOOKUP(_xlfn.FLOOR.MATH(C1305),'Mortality Tables'!$B$4:$B$124,_xlfn.XLOOKUP(mortality_table,'Mortality Tables'!$B$3:$G$3,'Mortality Tables'!$B$4:$G$124,0,0),0,0)</f>
        <v>0.52949299999999999</v>
      </c>
      <c r="E1305" s="1">
        <f t="shared" si="142"/>
        <v>4.4124416666666666E-2</v>
      </c>
      <c r="F1305" s="1">
        <f t="shared" si="143"/>
        <v>0.95587558333333333</v>
      </c>
      <c r="G1305" s="1">
        <f t="shared" si="144"/>
        <v>4.2078226916809626E-4</v>
      </c>
      <c r="H1305" s="34">
        <f t="shared" si="145"/>
        <v>5.1470181587146601E-3</v>
      </c>
      <c r="I1305" s="36">
        <f t="shared" si="147"/>
        <v>2.1657739802733512E-6</v>
      </c>
    </row>
    <row r="1306" spans="2:9" x14ac:dyDescent="0.35">
      <c r="B1306" s="16">
        <f t="shared" si="148"/>
        <v>108.08333333333155</v>
      </c>
      <c r="C1306" s="17">
        <f t="shared" si="146"/>
        <v>108.08333333333155</v>
      </c>
      <c r="D1306" s="1" cm="1">
        <f t="array" ref="D1306">_xlfn.XLOOKUP(_xlfn.FLOOR.MATH(C1306),'Mortality Tables'!$B$4:$B$124,_xlfn.XLOOKUP(mortality_table,'Mortality Tables'!$B$3:$G$3,'Mortality Tables'!$B$4:$G$124,0,0),0,0)</f>
        <v>0.555674</v>
      </c>
      <c r="E1306" s="1">
        <f t="shared" si="142"/>
        <v>4.6306166666666662E-2</v>
      </c>
      <c r="F1306" s="1">
        <f t="shared" si="143"/>
        <v>0.95369383333333335</v>
      </c>
      <c r="G1306" s="1">
        <f t="shared" si="144"/>
        <v>4.022154969973777E-4</v>
      </c>
      <c r="H1306" s="34">
        <f t="shared" si="145"/>
        <v>5.1261336556699356E-3</v>
      </c>
      <c r="I1306" s="36">
        <f t="shared" si="147"/>
        <v>2.0618103959902679E-6</v>
      </c>
    </row>
    <row r="1307" spans="2:9" x14ac:dyDescent="0.35">
      <c r="B1307" s="16">
        <f t="shared" si="148"/>
        <v>108.16666666666488</v>
      </c>
      <c r="C1307" s="17">
        <f t="shared" si="146"/>
        <v>108.16666666666488</v>
      </c>
      <c r="D1307" s="1" cm="1">
        <f t="array" ref="D1307">_xlfn.XLOOKUP(_xlfn.FLOOR.MATH(C1307),'Mortality Tables'!$B$4:$B$124,_xlfn.XLOOKUP(mortality_table,'Mortality Tables'!$B$3:$G$3,'Mortality Tables'!$B$4:$G$124,0,0),0,0)</f>
        <v>0.555674</v>
      </c>
      <c r="E1307" s="1">
        <f t="shared" si="142"/>
        <v>4.6306166666666662E-2</v>
      </c>
      <c r="F1307" s="1">
        <f t="shared" si="143"/>
        <v>0.95369383333333335</v>
      </c>
      <c r="G1307" s="1">
        <f t="shared" si="144"/>
        <v>3.8359043915750095E-4</v>
      </c>
      <c r="H1307" s="34">
        <f t="shared" si="145"/>
        <v>5.105333893431244E-3</v>
      </c>
      <c r="I1307" s="36">
        <f t="shared" si="147"/>
        <v>1.958357270226965E-6</v>
      </c>
    </row>
    <row r="1308" spans="2:9" x14ac:dyDescent="0.35">
      <c r="B1308" s="16">
        <f t="shared" si="148"/>
        <v>108.24999999999821</v>
      </c>
      <c r="C1308" s="17">
        <f t="shared" si="146"/>
        <v>108.24999999999821</v>
      </c>
      <c r="D1308" s="1" cm="1">
        <f t="array" ref="D1308">_xlfn.XLOOKUP(_xlfn.FLOOR.MATH(C1308),'Mortality Tables'!$B$4:$B$124,_xlfn.XLOOKUP(mortality_table,'Mortality Tables'!$B$3:$G$3,'Mortality Tables'!$B$4:$G$124,0,0),0,0)</f>
        <v>0.555674</v>
      </c>
      <c r="E1308" s="1">
        <f t="shared" si="142"/>
        <v>4.6306166666666662E-2</v>
      </c>
      <c r="F1308" s="1">
        <f t="shared" si="143"/>
        <v>0.95369383333333335</v>
      </c>
      <c r="G1308" s="1">
        <f t="shared" si="144"/>
        <v>3.6582783635013383E-4</v>
      </c>
      <c r="H1308" s="34">
        <f t="shared" si="145"/>
        <v>5.0846185281549104E-3</v>
      </c>
      <c r="I1308" s="36">
        <f t="shared" si="147"/>
        <v>1.8600949948207129E-6</v>
      </c>
    </row>
    <row r="1309" spans="2:9" x14ac:dyDescent="0.35">
      <c r="B1309" s="16">
        <f t="shared" si="148"/>
        <v>108.33333333333154</v>
      </c>
      <c r="C1309" s="17">
        <f t="shared" si="146"/>
        <v>108.33333333333154</v>
      </c>
      <c r="D1309" s="1" cm="1">
        <f t="array" ref="D1309">_xlfn.XLOOKUP(_xlfn.FLOOR.MATH(C1309),'Mortality Tables'!$B$4:$B$124,_xlfn.XLOOKUP(mortality_table,'Mortality Tables'!$B$3:$G$3,'Mortality Tables'!$B$4:$G$124,0,0),0,0)</f>
        <v>0.555674</v>
      </c>
      <c r="E1309" s="1">
        <f t="shared" si="142"/>
        <v>4.6306166666666662E-2</v>
      </c>
      <c r="F1309" s="1">
        <f t="shared" si="143"/>
        <v>0.95369383333333335</v>
      </c>
      <c r="G1309" s="1">
        <f t="shared" si="144"/>
        <v>3.488877515887985E-4</v>
      </c>
      <c r="H1309" s="34">
        <f t="shared" si="145"/>
        <v>5.0639872173924416E-3</v>
      </c>
      <c r="I1309" s="36">
        <f t="shared" si="147"/>
        <v>1.7667631143504652E-6</v>
      </c>
    </row>
    <row r="1310" spans="2:9" x14ac:dyDescent="0.35">
      <c r="B1310" s="16">
        <f t="shared" si="148"/>
        <v>108.41666666666487</v>
      </c>
      <c r="C1310" s="17">
        <f t="shared" si="146"/>
        <v>108.41666666666487</v>
      </c>
      <c r="D1310" s="1" cm="1">
        <f t="array" ref="D1310">_xlfn.XLOOKUP(_xlfn.FLOOR.MATH(C1310),'Mortality Tables'!$B$4:$B$124,_xlfn.XLOOKUP(mortality_table,'Mortality Tables'!$B$3:$G$3,'Mortality Tables'!$B$4:$G$124,0,0),0,0)</f>
        <v>0.555674</v>
      </c>
      <c r="E1310" s="1">
        <f t="shared" si="142"/>
        <v>4.6306166666666662E-2</v>
      </c>
      <c r="F1310" s="1">
        <f t="shared" si="143"/>
        <v>0.95369383333333335</v>
      </c>
      <c r="G1310" s="1">
        <f t="shared" si="144"/>
        <v>3.3273209721576899E-4</v>
      </c>
      <c r="H1310" s="34">
        <f t="shared" si="145"/>
        <v>5.0434396200848622E-3</v>
      </c>
      <c r="I1310" s="36">
        <f t="shared" si="147"/>
        <v>1.6781142419719374E-6</v>
      </c>
    </row>
    <row r="1311" spans="2:9" x14ac:dyDescent="0.35">
      <c r="B1311" s="16">
        <f t="shared" si="148"/>
        <v>108.4999999999982</v>
      </c>
      <c r="C1311" s="17">
        <f t="shared" si="146"/>
        <v>108.4999999999982</v>
      </c>
      <c r="D1311" s="1" cm="1">
        <f t="array" ref="D1311">_xlfn.XLOOKUP(_xlfn.FLOOR.MATH(C1311),'Mortality Tables'!$B$4:$B$124,_xlfn.XLOOKUP(mortality_table,'Mortality Tables'!$B$3:$G$3,'Mortality Tables'!$B$4:$G$124,0,0),0,0)</f>
        <v>0.555674</v>
      </c>
      <c r="E1311" s="1">
        <f t="shared" si="142"/>
        <v>4.6306166666666662E-2</v>
      </c>
      <c r="F1311" s="1">
        <f t="shared" si="143"/>
        <v>0.95369383333333335</v>
      </c>
      <c r="G1311" s="1">
        <f t="shared" si="144"/>
        <v>3.1732454926674609E-4</v>
      </c>
      <c r="H1311" s="34">
        <f t="shared" si="145"/>
        <v>5.0229753965570691E-3</v>
      </c>
      <c r="I1311" s="36">
        <f t="shared" si="147"/>
        <v>1.5939134036904271E-6</v>
      </c>
    </row>
    <row r="1312" spans="2:9" x14ac:dyDescent="0.35">
      <c r="B1312" s="16">
        <f t="shared" si="148"/>
        <v>108.58333333333152</v>
      </c>
      <c r="C1312" s="17">
        <f t="shared" si="146"/>
        <v>108.58333333333152</v>
      </c>
      <c r="D1312" s="1" cm="1">
        <f t="array" ref="D1312">_xlfn.XLOOKUP(_xlfn.FLOOR.MATH(C1312),'Mortality Tables'!$B$4:$B$124,_xlfn.XLOOKUP(mortality_table,'Mortality Tables'!$B$3:$G$3,'Mortality Tables'!$B$4:$G$124,0,0),0,0)</f>
        <v>0.555674</v>
      </c>
      <c r="E1312" s="1">
        <f t="shared" si="142"/>
        <v>4.6306166666666662E-2</v>
      </c>
      <c r="F1312" s="1">
        <f t="shared" si="143"/>
        <v>0.95369383333333335</v>
      </c>
      <c r="G1312" s="1">
        <f t="shared" si="144"/>
        <v>3.0263046580097529E-4</v>
      </c>
      <c r="H1312" s="34">
        <f t="shared" si="145"/>
        <v>5.00259420851223E-3</v>
      </c>
      <c r="I1312" s="36">
        <f t="shared" si="147"/>
        <v>1.5139374155353175E-6</v>
      </c>
    </row>
    <row r="1313" spans="2:9" x14ac:dyDescent="0.35">
      <c r="B1313" s="16">
        <f t="shared" si="148"/>
        <v>108.66666666666485</v>
      </c>
      <c r="C1313" s="17">
        <f t="shared" si="146"/>
        <v>108.66666666666485</v>
      </c>
      <c r="D1313" s="1" cm="1">
        <f t="array" ref="D1313">_xlfn.XLOOKUP(_xlfn.FLOOR.MATH(C1313),'Mortality Tables'!$B$4:$B$124,_xlfn.XLOOKUP(mortality_table,'Mortality Tables'!$B$3:$G$3,'Mortality Tables'!$B$4:$G$124,0,0),0,0)</f>
        <v>0.555674</v>
      </c>
      <c r="E1313" s="1">
        <f t="shared" si="142"/>
        <v>4.6306166666666662E-2</v>
      </c>
      <c r="F1313" s="1">
        <f t="shared" si="143"/>
        <v>0.95369383333333335</v>
      </c>
      <c r="G1313" s="1">
        <f t="shared" si="144"/>
        <v>2.8861680901318435E-4</v>
      </c>
      <c r="H1313" s="34">
        <f t="shared" si="145"/>
        <v>4.9822957190261783E-3</v>
      </c>
      <c r="I1313" s="36">
        <f t="shared" si="147"/>
        <v>1.4379742919853846E-6</v>
      </c>
    </row>
    <row r="1314" spans="2:9" x14ac:dyDescent="0.35">
      <c r="B1314" s="16">
        <f t="shared" si="148"/>
        <v>108.74999999999818</v>
      </c>
      <c r="C1314" s="17">
        <f t="shared" si="146"/>
        <v>108.74999999999818</v>
      </c>
      <c r="D1314" s="1" cm="1">
        <f t="array" ref="D1314">_xlfn.XLOOKUP(_xlfn.FLOOR.MATH(C1314),'Mortality Tables'!$B$4:$B$124,_xlfn.XLOOKUP(mortality_table,'Mortality Tables'!$B$3:$G$3,'Mortality Tables'!$B$4:$G$124,0,0),0,0)</f>
        <v>0.555674</v>
      </c>
      <c r="E1314" s="1">
        <f t="shared" si="142"/>
        <v>4.6306166666666662E-2</v>
      </c>
      <c r="F1314" s="1">
        <f t="shared" si="143"/>
        <v>0.95369383333333335</v>
      </c>
      <c r="G1314" s="1">
        <f t="shared" si="144"/>
        <v>2.7525207095221836E-4</v>
      </c>
      <c r="H1314" s="34">
        <f t="shared" si="145"/>
        <v>4.9620795925418484E-3</v>
      </c>
      <c r="I1314" s="36">
        <f t="shared" si="147"/>
        <v>1.3658226840768835E-6</v>
      </c>
    </row>
    <row r="1315" spans="2:9" x14ac:dyDescent="0.35">
      <c r="B1315" s="16">
        <f t="shared" si="148"/>
        <v>108.83333333333151</v>
      </c>
      <c r="C1315" s="17">
        <f t="shared" si="146"/>
        <v>108.83333333333151</v>
      </c>
      <c r="D1315" s="1" cm="1">
        <f t="array" ref="D1315">_xlfn.XLOOKUP(_xlfn.FLOOR.MATH(C1315),'Mortality Tables'!$B$4:$B$124,_xlfn.XLOOKUP(mortality_table,'Mortality Tables'!$B$3:$G$3,'Mortality Tables'!$B$4:$G$124,0,0),0,0)</f>
        <v>0.555674</v>
      </c>
      <c r="E1315" s="1">
        <f t="shared" si="142"/>
        <v>4.6306166666666662E-2</v>
      </c>
      <c r="F1315" s="1">
        <f t="shared" si="143"/>
        <v>0.95369383333333335</v>
      </c>
      <c r="G1315" s="1">
        <f t="shared" si="144"/>
        <v>2.6250620267935976E-4</v>
      </c>
      <c r="H1315" s="34">
        <f t="shared" si="145"/>
        <v>4.9419454948637278E-3</v>
      </c>
      <c r="I1315" s="36">
        <f t="shared" si="147"/>
        <v>1.2972913457050466E-6</v>
      </c>
    </row>
    <row r="1316" spans="2:9" x14ac:dyDescent="0.35">
      <c r="B1316" s="16">
        <f t="shared" si="148"/>
        <v>108.91666666666484</v>
      </c>
      <c r="C1316" s="17">
        <f t="shared" si="146"/>
        <v>108.91666666666484</v>
      </c>
      <c r="D1316" s="1" cm="1">
        <f t="array" ref="D1316">_xlfn.XLOOKUP(_xlfn.FLOOR.MATH(C1316),'Mortality Tables'!$B$4:$B$124,_xlfn.XLOOKUP(mortality_table,'Mortality Tables'!$B$3:$G$3,'Mortality Tables'!$B$4:$G$124,0,0),0,0)</f>
        <v>0.555674</v>
      </c>
      <c r="E1316" s="1">
        <f t="shared" si="142"/>
        <v>4.6306166666666662E-2</v>
      </c>
      <c r="F1316" s="1">
        <f t="shared" si="143"/>
        <v>0.95369383333333335</v>
      </c>
      <c r="G1316" s="1">
        <f t="shared" si="144"/>
        <v>2.5035054670705554E-4</v>
      </c>
      <c r="H1316" s="34">
        <f t="shared" si="145"/>
        <v>4.9218930931523436E-3</v>
      </c>
      <c r="I1316" s="36">
        <f t="shared" si="147"/>
        <v>1.2321986267043699E-6</v>
      </c>
    </row>
    <row r="1317" spans="2:9" x14ac:dyDescent="0.35">
      <c r="B1317" s="16">
        <f t="shared" si="148"/>
        <v>108.99999999999817</v>
      </c>
      <c r="C1317" s="17">
        <f t="shared" si="146"/>
        <v>108.99999999999817</v>
      </c>
      <c r="D1317" s="1" cm="1">
        <f t="array" ref="D1317">_xlfn.XLOOKUP(_xlfn.FLOOR.MATH(C1317),'Mortality Tables'!$B$4:$B$124,_xlfn.XLOOKUP(mortality_table,'Mortality Tables'!$B$3:$G$3,'Mortality Tables'!$B$4:$G$124,0,0),0,0)</f>
        <v>0.555674</v>
      </c>
      <c r="E1317" s="1">
        <f t="shared" si="142"/>
        <v>4.6306166666666662E-2</v>
      </c>
      <c r="F1317" s="1">
        <f t="shared" si="143"/>
        <v>0.95369383333333335</v>
      </c>
      <c r="G1317" s="1">
        <f t="shared" si="144"/>
        <v>2.3875777256614751E-4</v>
      </c>
      <c r="H1317" s="34">
        <f t="shared" si="145"/>
        <v>4.9019220559187362E-3</v>
      </c>
      <c r="I1317" s="36">
        <f t="shared" si="147"/>
        <v>1.1703719913640279E-6</v>
      </c>
    </row>
    <row r="1318" spans="2:9" x14ac:dyDescent="0.35">
      <c r="B1318" s="16">
        <f t="shared" si="148"/>
        <v>109.0833333333315</v>
      </c>
      <c r="C1318" s="17">
        <f t="shared" si="146"/>
        <v>109.0833333333315</v>
      </c>
      <c r="D1318" s="1" cm="1">
        <f t="array" ref="D1318">_xlfn.XLOOKUP(_xlfn.FLOOR.MATH(C1318),'Mortality Tables'!$B$4:$B$124,_xlfn.XLOOKUP(mortality_table,'Mortality Tables'!$B$3:$G$3,'Mortality Tables'!$B$4:$G$124,0,0),0,0)</f>
        <v>0.58185699999999996</v>
      </c>
      <c r="E1318" s="1">
        <f t="shared" si="142"/>
        <v>4.8488083333333327E-2</v>
      </c>
      <c r="F1318" s="1">
        <f t="shared" si="143"/>
        <v>0.95151191666666668</v>
      </c>
      <c r="G1318" s="1">
        <f t="shared" si="144"/>
        <v>2.2770181535673739E-4</v>
      </c>
      <c r="H1318" s="34">
        <f t="shared" si="145"/>
        <v>4.8820320530189986E-3</v>
      </c>
      <c r="I1318" s="36">
        <f t="shared" si="147"/>
        <v>1.1116475611022057E-6</v>
      </c>
    </row>
    <row r="1319" spans="2:9" x14ac:dyDescent="0.35">
      <c r="B1319" s="16">
        <f t="shared" si="148"/>
        <v>109.16666666666482</v>
      </c>
      <c r="C1319" s="17">
        <f t="shared" si="146"/>
        <v>109.16666666666482</v>
      </c>
      <c r="D1319" s="1" cm="1">
        <f t="array" ref="D1319">_xlfn.XLOOKUP(_xlfn.FLOOR.MATH(C1319),'Mortality Tables'!$B$4:$B$124,_xlfn.XLOOKUP(mortality_table,'Mortality Tables'!$B$3:$G$3,'Mortality Tables'!$B$4:$G$124,0,0),0,0)</f>
        <v>0.58185699999999996</v>
      </c>
      <c r="E1319" s="1">
        <f t="shared" si="142"/>
        <v>4.8488083333333327E-2</v>
      </c>
      <c r="F1319" s="1">
        <f t="shared" si="143"/>
        <v>0.95151191666666668</v>
      </c>
      <c r="G1319" s="1">
        <f t="shared" si="144"/>
        <v>2.1666099075856864E-4</v>
      </c>
      <c r="H1319" s="34">
        <f t="shared" si="145"/>
        <v>4.8622227556488155E-3</v>
      </c>
      <c r="I1319" s="36">
        <f t="shared" si="147"/>
        <v>1.0534539995277302E-6</v>
      </c>
    </row>
    <row r="1320" spans="2:9" x14ac:dyDescent="0.35">
      <c r="B1320" s="16">
        <f t="shared" si="148"/>
        <v>109.24999999999815</v>
      </c>
      <c r="C1320" s="17">
        <f t="shared" si="146"/>
        <v>109.24999999999815</v>
      </c>
      <c r="D1320" s="1" cm="1">
        <f t="array" ref="D1320">_xlfn.XLOOKUP(_xlfn.FLOOR.MATH(C1320),'Mortality Tables'!$B$4:$B$124,_xlfn.XLOOKUP(mortality_table,'Mortality Tables'!$B$3:$G$3,'Mortality Tables'!$B$4:$G$124,0,0),0,0)</f>
        <v>0.58185699999999996</v>
      </c>
      <c r="E1320" s="1">
        <f t="shared" si="142"/>
        <v>4.8488083333333327E-2</v>
      </c>
      <c r="F1320" s="1">
        <f t="shared" si="143"/>
        <v>0.95151191666666668</v>
      </c>
      <c r="G1320" s="1">
        <f t="shared" si="144"/>
        <v>2.0615551458358461E-4</v>
      </c>
      <c r="H1320" s="34">
        <f t="shared" si="145"/>
        <v>4.8424938363380221E-3</v>
      </c>
      <c r="I1320" s="36">
        <f t="shared" si="147"/>
        <v>9.9830680869810164E-7</v>
      </c>
    </row>
    <row r="1321" spans="2:9" x14ac:dyDescent="0.35">
      <c r="B1321" s="16">
        <f t="shared" si="148"/>
        <v>109.33333333333148</v>
      </c>
      <c r="C1321" s="17">
        <f t="shared" si="146"/>
        <v>109.33333333333148</v>
      </c>
      <c r="D1321" s="1" cm="1">
        <f t="array" ref="D1321">_xlfn.XLOOKUP(_xlfn.FLOOR.MATH(C1321),'Mortality Tables'!$B$4:$B$124,_xlfn.XLOOKUP(mortality_table,'Mortality Tables'!$B$3:$G$3,'Mortality Tables'!$B$4:$G$124,0,0),0,0)</f>
        <v>0.58185699999999996</v>
      </c>
      <c r="E1321" s="1">
        <f t="shared" si="142"/>
        <v>4.8488083333333327E-2</v>
      </c>
      <c r="F1321" s="1">
        <f t="shared" si="143"/>
        <v>0.95151191666666668</v>
      </c>
      <c r="G1321" s="1">
        <f t="shared" si="144"/>
        <v>1.9615942881282954E-4</v>
      </c>
      <c r="H1321" s="34">
        <f t="shared" si="145"/>
        <v>4.8228449689451955E-3</v>
      </c>
      <c r="I1321" s="36">
        <f t="shared" si="147"/>
        <v>9.4604651436111819E-7</v>
      </c>
    </row>
    <row r="1322" spans="2:9" x14ac:dyDescent="0.35">
      <c r="B1322" s="16">
        <f t="shared" si="148"/>
        <v>109.41666666666481</v>
      </c>
      <c r="C1322" s="17">
        <f t="shared" si="146"/>
        <v>109.41666666666481</v>
      </c>
      <c r="D1322" s="1" cm="1">
        <f t="array" ref="D1322">_xlfn.XLOOKUP(_xlfn.FLOOR.MATH(C1322),'Mortality Tables'!$B$4:$B$124,_xlfn.XLOOKUP(mortality_table,'Mortality Tables'!$B$3:$G$3,'Mortality Tables'!$B$4:$G$124,0,0),0,0)</f>
        <v>0.58185699999999996</v>
      </c>
      <c r="E1322" s="1">
        <f t="shared" si="142"/>
        <v>4.8488083333333327E-2</v>
      </c>
      <c r="F1322" s="1">
        <f t="shared" si="143"/>
        <v>0.95151191666666668</v>
      </c>
      <c r="G1322" s="1">
        <f t="shared" si="144"/>
        <v>1.86648034081934E-4</v>
      </c>
      <c r="H1322" s="34">
        <f t="shared" si="145"/>
        <v>4.8032758286522615E-3</v>
      </c>
      <c r="I1322" s="36">
        <f t="shared" si="147"/>
        <v>8.9652199057121705E-7</v>
      </c>
    </row>
    <row r="1323" spans="2:9" x14ac:dyDescent="0.35">
      <c r="B1323" s="16">
        <f t="shared" si="148"/>
        <v>109.49999999999814</v>
      </c>
      <c r="C1323" s="17">
        <f t="shared" si="146"/>
        <v>109.49999999999814</v>
      </c>
      <c r="D1323" s="1" cm="1">
        <f t="array" ref="D1323">_xlfn.XLOOKUP(_xlfn.FLOOR.MATH(C1323),'Mortality Tables'!$B$4:$B$124,_xlfn.XLOOKUP(mortality_table,'Mortality Tables'!$B$3:$G$3,'Mortality Tables'!$B$4:$G$124,0,0),0,0)</f>
        <v>0.58185699999999996</v>
      </c>
      <c r="E1323" s="1">
        <f t="shared" si="142"/>
        <v>4.8488083333333327E-2</v>
      </c>
      <c r="F1323" s="1">
        <f t="shared" si="143"/>
        <v>0.95151191666666668</v>
      </c>
      <c r="G1323" s="1">
        <f t="shared" si="144"/>
        <v>1.7759782865136634E-4</v>
      </c>
      <c r="H1323" s="34">
        <f t="shared" si="145"/>
        <v>4.783786091959126E-3</v>
      </c>
      <c r="I1323" s="36">
        <f t="shared" si="147"/>
        <v>8.4959002266454626E-7</v>
      </c>
    </row>
    <row r="1324" spans="2:9" x14ac:dyDescent="0.35">
      <c r="B1324" s="16">
        <f t="shared" si="148"/>
        <v>109.58333333333147</v>
      </c>
      <c r="C1324" s="17">
        <f t="shared" si="146"/>
        <v>109.58333333333147</v>
      </c>
      <c r="D1324" s="1" cm="1">
        <f t="array" ref="D1324">_xlfn.XLOOKUP(_xlfn.FLOOR.MATH(C1324),'Mortality Tables'!$B$4:$B$124,_xlfn.XLOOKUP(mortality_table,'Mortality Tables'!$B$3:$G$3,'Mortality Tables'!$B$4:$G$124,0,0),0,0)</f>
        <v>0.58185699999999996</v>
      </c>
      <c r="E1324" s="1">
        <f t="shared" si="142"/>
        <v>4.8488083333333327E-2</v>
      </c>
      <c r="F1324" s="1">
        <f t="shared" si="143"/>
        <v>0.95151191666666668</v>
      </c>
      <c r="G1324" s="1">
        <f t="shared" si="144"/>
        <v>1.6898645033589985E-4</v>
      </c>
      <c r="H1324" s="34">
        <f t="shared" si="145"/>
        <v>4.7643754366783258E-3</v>
      </c>
      <c r="I1324" s="36">
        <f t="shared" si="147"/>
        <v>8.0511489311182302E-7</v>
      </c>
    </row>
    <row r="1325" spans="2:9" x14ac:dyDescent="0.35">
      <c r="B1325" s="16">
        <f t="shared" si="148"/>
        <v>109.6666666666648</v>
      </c>
      <c r="C1325" s="17">
        <f t="shared" si="146"/>
        <v>109.6666666666648</v>
      </c>
      <c r="D1325" s="1" cm="1">
        <f t="array" ref="D1325">_xlfn.XLOOKUP(_xlfn.FLOOR.MATH(C1325),'Mortality Tables'!$B$4:$B$124,_xlfn.XLOOKUP(mortality_table,'Mortality Tables'!$B$3:$G$3,'Mortality Tables'!$B$4:$G$124,0,0),0,0)</f>
        <v>0.58185699999999996</v>
      </c>
      <c r="E1325" s="1">
        <f t="shared" si="142"/>
        <v>4.8488083333333327E-2</v>
      </c>
      <c r="F1325" s="1">
        <f t="shared" si="143"/>
        <v>0.95151191666666668</v>
      </c>
      <c r="G1325" s="1">
        <f t="shared" si="144"/>
        <v>1.6079262124980856E-4</v>
      </c>
      <c r="H1325" s="34">
        <f t="shared" si="145"/>
        <v>4.7450435419297051E-3</v>
      </c>
      <c r="I1325" s="36">
        <f t="shared" si="147"/>
        <v>7.6296798905135314E-7</v>
      </c>
    </row>
    <row r="1326" spans="2:9" x14ac:dyDescent="0.35">
      <c r="B1326" s="16">
        <f t="shared" si="148"/>
        <v>109.74999999999812</v>
      </c>
      <c r="C1326" s="17">
        <f t="shared" si="146"/>
        <v>109.74999999999812</v>
      </c>
      <c r="D1326" s="1" cm="1">
        <f t="array" ref="D1326">_xlfn.XLOOKUP(_xlfn.FLOOR.MATH(C1326),'Mortality Tables'!$B$4:$B$124,_xlfn.XLOOKUP(mortality_table,'Mortality Tables'!$B$3:$G$3,'Mortality Tables'!$B$4:$G$124,0,0),0,0)</f>
        <v>0.58185699999999996</v>
      </c>
      <c r="E1326" s="1">
        <f t="shared" si="142"/>
        <v>4.8488083333333327E-2</v>
      </c>
      <c r="F1326" s="1">
        <f t="shared" si="143"/>
        <v>0.95151191666666668</v>
      </c>
      <c r="G1326" s="1">
        <f t="shared" si="144"/>
        <v>1.5299609523126273E-4</v>
      </c>
      <c r="H1326" s="34">
        <f t="shared" si="145"/>
        <v>4.7257900881351057E-3</v>
      </c>
      <c r="I1326" s="36">
        <f t="shared" si="147"/>
        <v>7.2302743036727611E-7</v>
      </c>
    </row>
    <row r="1327" spans="2:9" x14ac:dyDescent="0.35">
      <c r="B1327" s="16">
        <f t="shared" si="148"/>
        <v>109.83333333333145</v>
      </c>
      <c r="C1327" s="17">
        <f t="shared" si="146"/>
        <v>109.83333333333145</v>
      </c>
      <c r="D1327" s="1" cm="1">
        <f t="array" ref="D1327">_xlfn.XLOOKUP(_xlfn.FLOOR.MATH(C1327),'Mortality Tables'!$B$4:$B$124,_xlfn.XLOOKUP(mortality_table,'Mortality Tables'!$B$3:$G$3,'Mortality Tables'!$B$4:$G$124,0,0),0,0)</f>
        <v>0.58185699999999996</v>
      </c>
      <c r="E1327" s="1">
        <f t="shared" si="142"/>
        <v>4.8488083333333327E-2</v>
      </c>
      <c r="F1327" s="1">
        <f t="shared" si="143"/>
        <v>0.95151191666666668</v>
      </c>
      <c r="G1327" s="1">
        <f t="shared" si="144"/>
        <v>1.4557760781601467E-4</v>
      </c>
      <c r="H1327" s="34">
        <f t="shared" si="145"/>
        <v>4.7066147570130898E-3</v>
      </c>
      <c r="I1327" s="36">
        <f t="shared" si="147"/>
        <v>6.8517771723751881E-7</v>
      </c>
    </row>
    <row r="1328" spans="2:9" x14ac:dyDescent="0.35">
      <c r="B1328" s="16">
        <f t="shared" si="148"/>
        <v>109.91666666666478</v>
      </c>
      <c r="C1328" s="17">
        <f t="shared" si="146"/>
        <v>109.91666666666478</v>
      </c>
      <c r="D1328" s="1" cm="1">
        <f t="array" ref="D1328">_xlfn.XLOOKUP(_xlfn.FLOOR.MATH(C1328),'Mortality Tables'!$B$4:$B$124,_xlfn.XLOOKUP(mortality_table,'Mortality Tables'!$B$3:$G$3,'Mortality Tables'!$B$4:$G$124,0,0),0,0)</f>
        <v>0.58185699999999996</v>
      </c>
      <c r="E1328" s="1">
        <f t="shared" si="142"/>
        <v>4.8488083333333327E-2</v>
      </c>
      <c r="F1328" s="1">
        <f t="shared" si="143"/>
        <v>0.95151191666666668</v>
      </c>
      <c r="G1328" s="1">
        <f t="shared" si="144"/>
        <v>1.3851882863676445E-4</v>
      </c>
      <c r="H1328" s="34">
        <f t="shared" si="145"/>
        <v>4.6875172315736756E-3</v>
      </c>
      <c r="I1328" s="36">
        <f t="shared" si="147"/>
        <v>6.4930939613223451E-7</v>
      </c>
    </row>
    <row r="1329" spans="2:9" x14ac:dyDescent="0.35">
      <c r="B1329" s="16">
        <f t="shared" si="148"/>
        <v>109.99999999999811</v>
      </c>
      <c r="C1329" s="17">
        <f t="shared" si="146"/>
        <v>109.99999999999811</v>
      </c>
      <c r="D1329" s="1" cm="1">
        <f t="array" ref="D1329">_xlfn.XLOOKUP(_xlfn.FLOOR.MATH(C1329),'Mortality Tables'!$B$4:$B$124,_xlfn.XLOOKUP(mortality_table,'Mortality Tables'!$B$3:$G$3,'Mortality Tables'!$B$4:$G$124,0,0),0,0)</f>
        <v>0.58185699999999996</v>
      </c>
      <c r="E1329" s="1">
        <f t="shared" si="142"/>
        <v>4.8488083333333327E-2</v>
      </c>
      <c r="F1329" s="1">
        <f t="shared" si="143"/>
        <v>0.95151191666666668</v>
      </c>
      <c r="G1329" s="1">
        <f t="shared" si="144"/>
        <v>1.318023161305893E-4</v>
      </c>
      <c r="H1329" s="34">
        <f t="shared" si="145"/>
        <v>4.6684971961130977E-3</v>
      </c>
      <c r="I1329" s="36">
        <f t="shared" si="147"/>
        <v>6.1531874329686829E-7</v>
      </c>
    </row>
    <row r="1330" spans="2:9" x14ac:dyDescent="0.35">
      <c r="B1330" s="16">
        <f t="shared" si="148"/>
        <v>110.08333333333144</v>
      </c>
      <c r="C1330" s="17">
        <f t="shared" si="146"/>
        <v>110.08333333333144</v>
      </c>
      <c r="D1330" s="1" cm="1">
        <f t="array" ref="D1330">_xlfn.XLOOKUP(_xlfn.FLOOR.MATH(C1330),'Mortality Tables'!$B$4:$B$124,_xlfn.XLOOKUP(mortality_table,'Mortality Tables'!$B$3:$G$3,'Mortality Tables'!$B$4:$G$124,0,0),0,0)</f>
        <v>0.60791799999999996</v>
      </c>
      <c r="E1330" s="1">
        <f t="shared" si="142"/>
        <v>5.0659833333333328E-2</v>
      </c>
      <c r="F1330" s="1">
        <f t="shared" si="143"/>
        <v>0.94934016666666665</v>
      </c>
      <c r="G1330" s="1">
        <f t="shared" si="144"/>
        <v>1.2541147444252294E-4</v>
      </c>
      <c r="H1330" s="34">
        <f t="shared" si="145"/>
        <v>4.6495543362085863E-3</v>
      </c>
      <c r="I1330" s="36">
        <f t="shared" si="147"/>
        <v>5.8310746480454487E-7</v>
      </c>
    </row>
    <row r="1331" spans="2:9" x14ac:dyDescent="0.35">
      <c r="B1331" s="16">
        <f t="shared" si="148"/>
        <v>110.16666666666477</v>
      </c>
      <c r="C1331" s="17">
        <f t="shared" si="146"/>
        <v>110.16666666666477</v>
      </c>
      <c r="D1331" s="1" cm="1">
        <f t="array" ref="D1331">_xlfn.XLOOKUP(_xlfn.FLOOR.MATH(C1331),'Mortality Tables'!$B$4:$B$124,_xlfn.XLOOKUP(mortality_table,'Mortality Tables'!$B$3:$G$3,'Mortality Tables'!$B$4:$G$124,0,0),0,0)</f>
        <v>0.60791799999999996</v>
      </c>
      <c r="E1331" s="1">
        <f t="shared" si="142"/>
        <v>5.0659833333333328E-2</v>
      </c>
      <c r="F1331" s="1">
        <f t="shared" si="143"/>
        <v>0.94934016666666665</v>
      </c>
      <c r="G1331" s="1">
        <f t="shared" si="144"/>
        <v>1.1905815004917714E-4</v>
      </c>
      <c r="H1331" s="34">
        <f t="shared" si="145"/>
        <v>4.6306883387131695E-3</v>
      </c>
      <c r="I1331" s="36">
        <f t="shared" si="147"/>
        <v>5.513211870614874E-7</v>
      </c>
    </row>
    <row r="1332" spans="2:9" x14ac:dyDescent="0.35">
      <c r="B1332" s="16">
        <f t="shared" si="148"/>
        <v>110.2499999999981</v>
      </c>
      <c r="C1332" s="17">
        <f t="shared" si="146"/>
        <v>110.2499999999981</v>
      </c>
      <c r="D1332" s="1" cm="1">
        <f t="array" ref="D1332">_xlfn.XLOOKUP(_xlfn.FLOOR.MATH(C1332),'Mortality Tables'!$B$4:$B$124,_xlfn.XLOOKUP(mortality_table,'Mortality Tables'!$B$3:$G$3,'Mortality Tables'!$B$4:$G$124,0,0),0,0)</f>
        <v>0.60791799999999996</v>
      </c>
      <c r="E1332" s="1">
        <f t="shared" si="142"/>
        <v>5.0659833333333328E-2</v>
      </c>
      <c r="F1332" s="1">
        <f t="shared" si="143"/>
        <v>0.94934016666666665</v>
      </c>
      <c r="G1332" s="1">
        <f t="shared" si="144"/>
        <v>1.1302668401071084E-4</v>
      </c>
      <c r="H1332" s="34">
        <f t="shared" si="145"/>
        <v>4.6118988917505082E-3</v>
      </c>
      <c r="I1332" s="36">
        <f t="shared" si="147"/>
        <v>5.2126763872723222E-7</v>
      </c>
    </row>
    <row r="1333" spans="2:9" x14ac:dyDescent="0.35">
      <c r="B1333" s="16">
        <f t="shared" si="148"/>
        <v>110.33333333333142</v>
      </c>
      <c r="C1333" s="17">
        <f t="shared" si="146"/>
        <v>110.33333333333142</v>
      </c>
      <c r="D1333" s="1" cm="1">
        <f t="array" ref="D1333">_xlfn.XLOOKUP(_xlfn.FLOOR.MATH(C1333),'Mortality Tables'!$B$4:$B$124,_xlfn.XLOOKUP(mortality_table,'Mortality Tables'!$B$3:$G$3,'Mortality Tables'!$B$4:$G$124,0,0),0,0)</f>
        <v>0.60791799999999996</v>
      </c>
      <c r="E1333" s="1">
        <f t="shared" si="142"/>
        <v>5.0659833333333328E-2</v>
      </c>
      <c r="F1333" s="1">
        <f t="shared" si="143"/>
        <v>0.94934016666666665</v>
      </c>
      <c r="G1333" s="1">
        <f t="shared" si="144"/>
        <v>1.073007710365089E-4</v>
      </c>
      <c r="H1333" s="34">
        <f t="shared" si="145"/>
        <v>4.5931856847097208E-3</v>
      </c>
      <c r="I1333" s="36">
        <f t="shared" si="147"/>
        <v>4.9285236548320813E-7</v>
      </c>
    </row>
    <row r="1334" spans="2:9" x14ac:dyDescent="0.35">
      <c r="B1334" s="16">
        <f t="shared" si="148"/>
        <v>110.41666666666475</v>
      </c>
      <c r="C1334" s="17">
        <f t="shared" si="146"/>
        <v>110.41666666666475</v>
      </c>
      <c r="D1334" s="1" cm="1">
        <f t="array" ref="D1334">_xlfn.XLOOKUP(_xlfn.FLOOR.MATH(C1334),'Mortality Tables'!$B$4:$B$124,_xlfn.XLOOKUP(mortality_table,'Mortality Tables'!$B$3:$G$3,'Mortality Tables'!$B$4:$G$124,0,0),0,0)</f>
        <v>0.60791799999999996</v>
      </c>
      <c r="E1334" s="1">
        <f t="shared" si="142"/>
        <v>5.0659833333333328E-2</v>
      </c>
      <c r="F1334" s="1">
        <f t="shared" si="143"/>
        <v>0.94934016666666665</v>
      </c>
      <c r="G1334" s="1">
        <f t="shared" si="144"/>
        <v>1.018649318592612E-4</v>
      </c>
      <c r="H1334" s="34">
        <f t="shared" si="145"/>
        <v>4.5745484082402605E-3</v>
      </c>
      <c r="I1334" s="36">
        <f t="shared" si="147"/>
        <v>4.659860618922859E-7</v>
      </c>
    </row>
    <row r="1335" spans="2:9" x14ac:dyDescent="0.35">
      <c r="B1335" s="16">
        <f t="shared" si="148"/>
        <v>110.49999999999808</v>
      </c>
      <c r="C1335" s="17">
        <f t="shared" si="146"/>
        <v>110.49999999999808</v>
      </c>
      <c r="D1335" s="1" cm="1">
        <f t="array" ref="D1335">_xlfn.XLOOKUP(_xlfn.FLOOR.MATH(C1335),'Mortality Tables'!$B$4:$B$124,_xlfn.XLOOKUP(mortality_table,'Mortality Tables'!$B$3:$G$3,'Mortality Tables'!$B$4:$G$124,0,0),0,0)</f>
        <v>0.60791799999999996</v>
      </c>
      <c r="E1335" s="1">
        <f t="shared" si="142"/>
        <v>5.0659833333333328E-2</v>
      </c>
      <c r="F1335" s="1">
        <f t="shared" si="143"/>
        <v>0.94934016666666665</v>
      </c>
      <c r="G1335" s="1">
        <f t="shared" si="144"/>
        <v>9.6704471388759665E-5</v>
      </c>
      <c r="H1335" s="34">
        <f t="shared" si="145"/>
        <v>4.5559867542467984E-3</v>
      </c>
      <c r="I1335" s="36">
        <f t="shared" si="147"/>
        <v>4.4058429072362754E-7</v>
      </c>
    </row>
    <row r="1336" spans="2:9" x14ac:dyDescent="0.35">
      <c r="B1336" s="16">
        <f t="shared" si="148"/>
        <v>110.58333333333141</v>
      </c>
      <c r="C1336" s="17">
        <f t="shared" si="146"/>
        <v>110.58333333333141</v>
      </c>
      <c r="D1336" s="1" cm="1">
        <f t="array" ref="D1336">_xlfn.XLOOKUP(_xlfn.FLOOR.MATH(C1336),'Mortality Tables'!$B$4:$B$124,_xlfn.XLOOKUP(mortality_table,'Mortality Tables'!$B$3:$G$3,'Mortality Tables'!$B$4:$G$124,0,0),0,0)</f>
        <v>0.60791799999999996</v>
      </c>
      <c r="E1336" s="1">
        <f t="shared" si="142"/>
        <v>5.0659833333333328E-2</v>
      </c>
      <c r="F1336" s="1">
        <f t="shared" si="143"/>
        <v>0.94934016666666665</v>
      </c>
      <c r="G1336" s="1">
        <f t="shared" si="144"/>
        <v>9.1805438985617001E-5</v>
      </c>
      <c r="H1336" s="34">
        <f t="shared" si="145"/>
        <v>4.5375004158841317E-3</v>
      </c>
      <c r="I1336" s="36">
        <f t="shared" si="147"/>
        <v>4.1656721757766243E-7</v>
      </c>
    </row>
    <row r="1337" spans="2:9" x14ac:dyDescent="0.35">
      <c r="B1337" s="16">
        <f t="shared" si="148"/>
        <v>110.66666666666474</v>
      </c>
      <c r="C1337" s="17">
        <f t="shared" si="146"/>
        <v>110.66666666666474</v>
      </c>
      <c r="D1337" s="1" cm="1">
        <f t="array" ref="D1337">_xlfn.XLOOKUP(_xlfn.FLOOR.MATH(C1337),'Mortality Tables'!$B$4:$B$124,_xlfn.XLOOKUP(mortality_table,'Mortality Tables'!$B$3:$G$3,'Mortality Tables'!$B$4:$G$124,0,0),0,0)</f>
        <v>0.60791799999999996</v>
      </c>
      <c r="E1337" s="1">
        <f t="shared" si="142"/>
        <v>5.0659833333333328E-2</v>
      </c>
      <c r="F1337" s="1">
        <f t="shared" si="143"/>
        <v>0.94934016666666665</v>
      </c>
      <c r="G1337" s="1">
        <f t="shared" si="144"/>
        <v>8.7154590747512146E-5</v>
      </c>
      <c r="H1337" s="34">
        <f t="shared" si="145"/>
        <v>4.5190890875521118E-3</v>
      </c>
      <c r="I1337" s="36">
        <f t="shared" si="147"/>
        <v>3.9385935997715241E-7</v>
      </c>
    </row>
    <row r="1338" spans="2:9" x14ac:dyDescent="0.35">
      <c r="B1338" s="16">
        <f t="shared" si="148"/>
        <v>110.74999999999807</v>
      </c>
      <c r="C1338" s="17">
        <f t="shared" si="146"/>
        <v>110.74999999999807</v>
      </c>
      <c r="D1338" s="1" cm="1">
        <f t="array" ref="D1338">_xlfn.XLOOKUP(_xlfn.FLOOR.MATH(C1338),'Mortality Tables'!$B$4:$B$124,_xlfn.XLOOKUP(mortality_table,'Mortality Tables'!$B$3:$G$3,'Mortality Tables'!$B$4:$G$124,0,0),0,0)</f>
        <v>0.60791799999999996</v>
      </c>
      <c r="E1338" s="1">
        <f t="shared" si="142"/>
        <v>5.0659833333333328E-2</v>
      </c>
      <c r="F1338" s="1">
        <f t="shared" si="143"/>
        <v>0.94934016666666665</v>
      </c>
      <c r="G1338" s="1">
        <f t="shared" si="144"/>
        <v>8.2739353706008298E-5</v>
      </c>
      <c r="H1338" s="34">
        <f t="shared" si="145"/>
        <v>4.5007524648905889E-3</v>
      </c>
      <c r="I1338" s="36">
        <f t="shared" si="147"/>
        <v>3.7238935013577111E-7</v>
      </c>
    </row>
    <row r="1339" spans="2:9" x14ac:dyDescent="0.35">
      <c r="B1339" s="16">
        <f t="shared" si="148"/>
        <v>110.8333333333314</v>
      </c>
      <c r="C1339" s="17">
        <f t="shared" si="146"/>
        <v>110.8333333333314</v>
      </c>
      <c r="D1339" s="1" cm="1">
        <f t="array" ref="D1339">_xlfn.XLOOKUP(_xlfn.FLOOR.MATH(C1339),'Mortality Tables'!$B$4:$B$124,_xlfn.XLOOKUP(mortality_table,'Mortality Tables'!$B$3:$G$3,'Mortality Tables'!$B$4:$G$124,0,0),0,0)</f>
        <v>0.60791799999999996</v>
      </c>
      <c r="E1339" s="1">
        <f t="shared" si="142"/>
        <v>5.0659833333333328E-2</v>
      </c>
      <c r="F1339" s="1">
        <f t="shared" si="143"/>
        <v>0.94934016666666665</v>
      </c>
      <c r="G1339" s="1">
        <f t="shared" si="144"/>
        <v>7.8547791837154201E-5</v>
      </c>
      <c r="H1339" s="34">
        <f t="shared" si="145"/>
        <v>4.4824902447743826E-3</v>
      </c>
      <c r="I1339" s="36">
        <f t="shared" si="147"/>
        <v>3.5208971065861256E-7</v>
      </c>
    </row>
    <row r="1340" spans="2:9" x14ac:dyDescent="0.35">
      <c r="B1340" s="16">
        <f t="shared" si="148"/>
        <v>110.91666666666472</v>
      </c>
      <c r="C1340" s="17">
        <f t="shared" si="146"/>
        <v>110.91666666666472</v>
      </c>
      <c r="D1340" s="1" cm="1">
        <f t="array" ref="D1340">_xlfn.XLOOKUP(_xlfn.FLOOR.MATH(C1340),'Mortality Tables'!$B$4:$B$124,_xlfn.XLOOKUP(mortality_table,'Mortality Tables'!$B$3:$G$3,'Mortality Tables'!$B$4:$G$124,0,0),0,0)</f>
        <v>0.60791799999999996</v>
      </c>
      <c r="E1340" s="1">
        <f t="shared" si="142"/>
        <v>5.0659833333333328E-2</v>
      </c>
      <c r="F1340" s="1">
        <f t="shared" si="143"/>
        <v>0.94934016666666665</v>
      </c>
      <c r="G1340" s="1">
        <f t="shared" si="144"/>
        <v>7.4568573793982605E-5</v>
      </c>
      <c r="H1340" s="34">
        <f t="shared" si="145"/>
        <v>4.464302125308274E-3</v>
      </c>
      <c r="I1340" s="36">
        <f t="shared" si="147"/>
        <v>3.3289664246968339E-7</v>
      </c>
    </row>
    <row r="1341" spans="2:9" x14ac:dyDescent="0.35">
      <c r="B1341" s="16">
        <f t="shared" si="148"/>
        <v>110.99999999999805</v>
      </c>
      <c r="C1341" s="17">
        <f t="shared" si="146"/>
        <v>110.99999999999805</v>
      </c>
      <c r="D1341" s="1" cm="1">
        <f t="array" ref="D1341">_xlfn.XLOOKUP(_xlfn.FLOOR.MATH(C1341),'Mortality Tables'!$B$4:$B$124,_xlfn.XLOOKUP(mortality_table,'Mortality Tables'!$B$3:$G$3,'Mortality Tables'!$B$4:$G$124,0,0),0,0)</f>
        <v>0.60791799999999996</v>
      </c>
      <c r="E1341" s="1">
        <f t="shared" si="142"/>
        <v>5.0659833333333328E-2</v>
      </c>
      <c r="F1341" s="1">
        <f t="shared" si="143"/>
        <v>0.94934016666666665</v>
      </c>
      <c r="G1341" s="1">
        <f t="shared" si="144"/>
        <v>7.079094227367508E-5</v>
      </c>
      <c r="H1341" s="34">
        <f t="shared" si="145"/>
        <v>4.4461878058220088E-3</v>
      </c>
      <c r="I1341" s="36">
        <f t="shared" si="147"/>
        <v>3.1474982429986388E-7</v>
      </c>
    </row>
    <row r="1342" spans="2:9" x14ac:dyDescent="0.35">
      <c r="B1342" s="16">
        <f t="shared" si="148"/>
        <v>111.08333333333138</v>
      </c>
      <c r="C1342" s="17">
        <f t="shared" si="146"/>
        <v>111.08333333333138</v>
      </c>
      <c r="D1342" s="1" cm="1">
        <f t="array" ref="D1342">_xlfn.XLOOKUP(_xlfn.FLOOR.MATH(C1342),'Mortality Tables'!$B$4:$B$124,_xlfn.XLOOKUP(mortality_table,'Mortality Tables'!$B$3:$G$3,'Mortality Tables'!$B$4:$G$124,0,0),0,0)</f>
        <v>0.63373100000000004</v>
      </c>
      <c r="E1342" s="1">
        <f t="shared" si="142"/>
        <v>5.2810916666666666E-2</v>
      </c>
      <c r="F1342" s="1">
        <f t="shared" si="143"/>
        <v>0.94718908333333329</v>
      </c>
      <c r="G1342" s="1">
        <f t="shared" si="144"/>
        <v>6.7204684936581074E-5</v>
      </c>
      <c r="H1342" s="34">
        <f t="shared" si="145"/>
        <v>4.4281469868653316E-3</v>
      </c>
      <c r="I1342" s="36">
        <f t="shared" si="147"/>
        <v>2.9759222310515541E-7</v>
      </c>
    </row>
    <row r="1343" spans="2:9" x14ac:dyDescent="0.35">
      <c r="B1343" s="16">
        <f t="shared" si="148"/>
        <v>111.16666666666471</v>
      </c>
      <c r="C1343" s="17">
        <f t="shared" si="146"/>
        <v>111.16666666666471</v>
      </c>
      <c r="D1343" s="1" cm="1">
        <f t="array" ref="D1343">_xlfn.XLOOKUP(_xlfn.FLOOR.MATH(C1343),'Mortality Tables'!$B$4:$B$124,_xlfn.XLOOKUP(mortality_table,'Mortality Tables'!$B$3:$G$3,'Mortality Tables'!$B$4:$G$124,0,0),0,0)</f>
        <v>0.63373100000000004</v>
      </c>
      <c r="E1343" s="1">
        <f t="shared" si="142"/>
        <v>5.2810916666666666E-2</v>
      </c>
      <c r="F1343" s="1">
        <f t="shared" si="143"/>
        <v>0.94718908333333329</v>
      </c>
      <c r="G1343" s="1">
        <f t="shared" si="144"/>
        <v>6.3655543920785703E-5</v>
      </c>
      <c r="H1343" s="34">
        <f t="shared" si="145"/>
        <v>4.4101793702030333E-3</v>
      </c>
      <c r="I1343" s="36">
        <f t="shared" si="147"/>
        <v>2.8073236659850221E-7</v>
      </c>
    </row>
    <row r="1344" spans="2:9" x14ac:dyDescent="0.35">
      <c r="B1344" s="16">
        <f t="shared" si="148"/>
        <v>111.24999999999804</v>
      </c>
      <c r="C1344" s="17">
        <f t="shared" si="146"/>
        <v>111.24999999999804</v>
      </c>
      <c r="D1344" s="1" cm="1">
        <f t="array" ref="D1344">_xlfn.XLOOKUP(_xlfn.FLOOR.MATH(C1344),'Mortality Tables'!$B$4:$B$124,_xlfn.XLOOKUP(mortality_table,'Mortality Tables'!$B$3:$G$3,'Mortality Tables'!$B$4:$G$124,0,0),0,0)</f>
        <v>0.63373100000000004</v>
      </c>
      <c r="E1344" s="1">
        <f t="shared" si="142"/>
        <v>5.2810916666666666E-2</v>
      </c>
      <c r="F1344" s="1">
        <f t="shared" si="143"/>
        <v>0.94718908333333329</v>
      </c>
      <c r="G1344" s="1">
        <f t="shared" si="144"/>
        <v>6.0293836295413745E-5</v>
      </c>
      <c r="H1344" s="34">
        <f t="shared" si="145"/>
        <v>4.3922846588100237E-3</v>
      </c>
      <c r="I1344" s="36">
        <f t="shared" si="147"/>
        <v>2.6482769218114881E-7</v>
      </c>
    </row>
    <row r="1345" spans="2:9" x14ac:dyDescent="0.35">
      <c r="B1345" s="16">
        <f t="shared" si="148"/>
        <v>111.33333333333137</v>
      </c>
      <c r="C1345" s="17">
        <f t="shared" si="146"/>
        <v>111.33333333333137</v>
      </c>
      <c r="D1345" s="1" cm="1">
        <f t="array" ref="D1345">_xlfn.XLOOKUP(_xlfn.FLOOR.MATH(C1345),'Mortality Tables'!$B$4:$B$124,_xlfn.XLOOKUP(mortality_table,'Mortality Tables'!$B$3:$G$3,'Mortality Tables'!$B$4:$G$124,0,0),0,0)</f>
        <v>0.63373100000000004</v>
      </c>
      <c r="E1345" s="1">
        <f t="shared" si="142"/>
        <v>5.2810916666666666E-2</v>
      </c>
      <c r="F1345" s="1">
        <f t="shared" si="143"/>
        <v>0.94718908333333329</v>
      </c>
      <c r="G1345" s="1">
        <f t="shared" si="144"/>
        <v>5.7109663531303007E-5</v>
      </c>
      <c r="H1345" s="34">
        <f t="shared" si="145"/>
        <v>4.3744625568664158E-3</v>
      </c>
      <c r="I1345" s="36">
        <f t="shared" si="147"/>
        <v>2.4982408475292445E-7</v>
      </c>
    </row>
    <row r="1346" spans="2:9" x14ac:dyDescent="0.35">
      <c r="B1346" s="16">
        <f t="shared" si="148"/>
        <v>111.4166666666647</v>
      </c>
      <c r="C1346" s="17">
        <f t="shared" si="146"/>
        <v>111.4166666666647</v>
      </c>
      <c r="D1346" s="1" cm="1">
        <f t="array" ref="D1346">_xlfn.XLOOKUP(_xlfn.FLOOR.MATH(C1346),'Mortality Tables'!$B$4:$B$124,_xlfn.XLOOKUP(mortality_table,'Mortality Tables'!$B$3:$G$3,'Mortality Tables'!$B$4:$G$124,0,0),0,0)</f>
        <v>0.63373100000000004</v>
      </c>
      <c r="E1346" s="1">
        <f t="shared" ref="E1346:E1409" si="149">$F$5*D1346</f>
        <v>5.2810916666666666E-2</v>
      </c>
      <c r="F1346" s="1">
        <f t="shared" ref="F1346:F1409" si="150">1-E1346</f>
        <v>0.94718908333333329</v>
      </c>
      <c r="G1346" s="1">
        <f t="shared" ref="G1346:G1409" si="151">G1345*F1345</f>
        <v>5.4093649849689989E-5</v>
      </c>
      <c r="H1346" s="34">
        <f t="shared" ref="H1346:H1409" si="152">(1+interest_rate)^-(B1346)</f>
        <v>4.356712769752644E-3</v>
      </c>
      <c r="I1346" s="36">
        <f t="shared" si="147"/>
        <v>2.3567049506267256E-7</v>
      </c>
    </row>
    <row r="1347" spans="2:9" x14ac:dyDescent="0.35">
      <c r="B1347" s="16">
        <f t="shared" si="148"/>
        <v>111.49999999999802</v>
      </c>
      <c r="C1347" s="17">
        <f t="shared" si="146"/>
        <v>111.49999999999802</v>
      </c>
      <c r="D1347" s="1" cm="1">
        <f t="array" ref="D1347">_xlfn.XLOOKUP(_xlfn.FLOOR.MATH(C1347),'Mortality Tables'!$B$4:$B$124,_xlfn.XLOOKUP(mortality_table,'Mortality Tables'!$B$3:$G$3,'Mortality Tables'!$B$4:$G$124,0,0),0,0)</f>
        <v>0.63373100000000004</v>
      </c>
      <c r="E1347" s="1">
        <f t="shared" si="149"/>
        <v>5.2810916666666666E-2</v>
      </c>
      <c r="F1347" s="1">
        <f t="shared" si="150"/>
        <v>0.94718908333333329</v>
      </c>
      <c r="G1347" s="1">
        <f t="shared" si="151"/>
        <v>5.123691461528216E-5</v>
      </c>
      <c r="H1347" s="34">
        <f t="shared" si="152"/>
        <v>4.3390350040445804E-3</v>
      </c>
      <c r="I1347" s="36">
        <f t="shared" si="147"/>
        <v>2.2231876601495264E-7</v>
      </c>
    </row>
    <row r="1348" spans="2:9" x14ac:dyDescent="0.35">
      <c r="B1348" s="16">
        <f t="shared" si="148"/>
        <v>111.58333333333135</v>
      </c>
      <c r="C1348" s="17">
        <f t="shared" si="146"/>
        <v>111.58333333333135</v>
      </c>
      <c r="D1348" s="1" cm="1">
        <f t="array" ref="D1348">_xlfn.XLOOKUP(_xlfn.FLOOR.MATH(C1348),'Mortality Tables'!$B$4:$B$124,_xlfn.XLOOKUP(mortality_table,'Mortality Tables'!$B$3:$G$3,'Mortality Tables'!$B$4:$G$124,0,0),0,0)</f>
        <v>0.63373100000000004</v>
      </c>
      <c r="E1348" s="1">
        <f t="shared" si="149"/>
        <v>5.2810916666666666E-2</v>
      </c>
      <c r="F1348" s="1">
        <f t="shared" si="150"/>
        <v>0.94718908333333329</v>
      </c>
      <c r="G1348" s="1">
        <f t="shared" si="151"/>
        <v>4.8531046187277378E-5</v>
      </c>
      <c r="H1348" s="34">
        <f t="shared" si="152"/>
        <v>4.3214289675087081E-3</v>
      </c>
      <c r="I1348" s="36">
        <f t="shared" si="147"/>
        <v>2.097234688172035E-7</v>
      </c>
    </row>
    <row r="1349" spans="2:9" x14ac:dyDescent="0.35">
      <c r="B1349" s="16">
        <f t="shared" si="148"/>
        <v>111.66666666666468</v>
      </c>
      <c r="C1349" s="17">
        <f t="shared" si="146"/>
        <v>111.66666666666468</v>
      </c>
      <c r="D1349" s="1" cm="1">
        <f t="array" ref="D1349">_xlfn.XLOOKUP(_xlfn.FLOOR.MATH(C1349),'Mortality Tables'!$B$4:$B$124,_xlfn.XLOOKUP(mortality_table,'Mortality Tables'!$B$3:$G$3,'Mortality Tables'!$B$4:$G$124,0,0),0,0)</f>
        <v>0.63373100000000004</v>
      </c>
      <c r="E1349" s="1">
        <f t="shared" si="149"/>
        <v>5.2810916666666666E-2</v>
      </c>
      <c r="F1349" s="1">
        <f t="shared" si="150"/>
        <v>0.94718908333333329</v>
      </c>
      <c r="G1349" s="1">
        <f t="shared" si="151"/>
        <v>4.596807715133492E-5</v>
      </c>
      <c r="H1349" s="34">
        <f t="shared" si="152"/>
        <v>4.3038943690972596E-3</v>
      </c>
      <c r="I1349" s="36">
        <f t="shared" si="147"/>
        <v>1.9784174840985875E-7</v>
      </c>
    </row>
    <row r="1350" spans="2:9" x14ac:dyDescent="0.35">
      <c r="B1350" s="16">
        <f t="shared" si="148"/>
        <v>111.74999999999801</v>
      </c>
      <c r="C1350" s="17">
        <f t="shared" si="146"/>
        <v>111.74999999999801</v>
      </c>
      <c r="D1350" s="1" cm="1">
        <f t="array" ref="D1350">_xlfn.XLOOKUP(_xlfn.FLOOR.MATH(C1350),'Mortality Tables'!$B$4:$B$124,_xlfn.XLOOKUP(mortality_table,'Mortality Tables'!$B$3:$G$3,'Mortality Tables'!$B$4:$G$124,0,0),0,0)</f>
        <v>0.63373100000000004</v>
      </c>
      <c r="E1350" s="1">
        <f t="shared" si="149"/>
        <v>5.2810916666666666E-2</v>
      </c>
      <c r="F1350" s="1">
        <f t="shared" si="150"/>
        <v>0.94718908333333329</v>
      </c>
      <c r="G1350" s="1">
        <f t="shared" si="151"/>
        <v>4.3540460859568864E-5</v>
      </c>
      <c r="H1350" s="34">
        <f t="shared" si="152"/>
        <v>4.2864309189434282E-3</v>
      </c>
      <c r="I1350" s="36">
        <f t="shared" si="147"/>
        <v>1.8663317765350213E-7</v>
      </c>
    </row>
    <row r="1351" spans="2:9" x14ac:dyDescent="0.35">
      <c r="B1351" s="16">
        <f t="shared" si="148"/>
        <v>111.83333333333134</v>
      </c>
      <c r="C1351" s="17">
        <f t="shared" si="146"/>
        <v>111.83333333333134</v>
      </c>
      <c r="D1351" s="1" cm="1">
        <f t="array" ref="D1351">_xlfn.XLOOKUP(_xlfn.FLOOR.MATH(C1351),'Mortality Tables'!$B$4:$B$124,_xlfn.XLOOKUP(mortality_table,'Mortality Tables'!$B$3:$G$3,'Mortality Tables'!$B$4:$G$124,0,0),0,0)</f>
        <v>0.63373100000000004</v>
      </c>
      <c r="E1351" s="1">
        <f t="shared" si="149"/>
        <v>5.2810916666666666E-2</v>
      </c>
      <c r="F1351" s="1">
        <f t="shared" si="150"/>
        <v>0.94718908333333329</v>
      </c>
      <c r="G1351" s="1">
        <f t="shared" si="151"/>
        <v>4.1241049209485906E-5</v>
      </c>
      <c r="H1351" s="34">
        <f t="shared" si="152"/>
        <v>4.2690383283565661E-3</v>
      </c>
      <c r="I1351" s="36">
        <f t="shared" si="147"/>
        <v>1.7605961977693459E-7</v>
      </c>
    </row>
    <row r="1352" spans="2:9" x14ac:dyDescent="0.35">
      <c r="B1352" s="16">
        <f t="shared" si="148"/>
        <v>111.91666666666467</v>
      </c>
      <c r="C1352" s="17">
        <f t="shared" si="146"/>
        <v>111.91666666666467</v>
      </c>
      <c r="D1352" s="1" cm="1">
        <f t="array" ref="D1352">_xlfn.XLOOKUP(_xlfn.FLOOR.MATH(C1352),'Mortality Tables'!$B$4:$B$124,_xlfn.XLOOKUP(mortality_table,'Mortality Tables'!$B$3:$G$3,'Mortality Tables'!$B$4:$G$124,0,0),0,0)</f>
        <v>0.63373100000000004</v>
      </c>
      <c r="E1352" s="1">
        <f t="shared" si="149"/>
        <v>5.2810916666666666E-2</v>
      </c>
      <c r="F1352" s="1">
        <f t="shared" si="150"/>
        <v>0.94718908333333329</v>
      </c>
      <c r="G1352" s="1">
        <f t="shared" si="151"/>
        <v>3.9063071596437846E-5</v>
      </c>
      <c r="H1352" s="34">
        <f t="shared" si="152"/>
        <v>4.2517163098174148E-3</v>
      </c>
      <c r="I1352" s="36">
        <f t="shared" si="147"/>
        <v>1.6608509861814019E-7</v>
      </c>
    </row>
    <row r="1353" spans="2:9" x14ac:dyDescent="0.35">
      <c r="B1353" s="16">
        <f t="shared" si="148"/>
        <v>111.999999999998</v>
      </c>
      <c r="C1353" s="17">
        <f t="shared" ref="C1353:C1416" si="153">current_age+B1353</f>
        <v>111.999999999998</v>
      </c>
      <c r="D1353" s="1" cm="1">
        <f t="array" ref="D1353">_xlfn.XLOOKUP(_xlfn.FLOOR.MATH(C1353),'Mortality Tables'!$B$4:$B$124,_xlfn.XLOOKUP(mortality_table,'Mortality Tables'!$B$3:$G$3,'Mortality Tables'!$B$4:$G$124,0,0),0,0)</f>
        <v>0.63373100000000004</v>
      </c>
      <c r="E1353" s="1">
        <f t="shared" si="149"/>
        <v>5.2810916666666666E-2</v>
      </c>
      <c r="F1353" s="1">
        <f t="shared" si="150"/>
        <v>0.94718908333333329</v>
      </c>
      <c r="G1353" s="1">
        <f t="shared" si="151"/>
        <v>3.7000114977614335E-5</v>
      </c>
      <c r="H1353" s="34">
        <f t="shared" si="152"/>
        <v>4.2344645769733522E-3</v>
      </c>
      <c r="I1353" s="36">
        <f t="shared" ref="I1353:I1416" si="154">IF(current_age+B1353&lt;=$C$5,G1353*H1353,0)</f>
        <v>1.5667567621664907E-7</v>
      </c>
    </row>
    <row r="1354" spans="2:9" x14ac:dyDescent="0.35">
      <c r="B1354" s="16">
        <f t="shared" ref="B1354:B1417" si="155">B1353+$F$5</f>
        <v>112.08333333333132</v>
      </c>
      <c r="C1354" s="17">
        <f t="shared" si="153"/>
        <v>112.08333333333132</v>
      </c>
      <c r="D1354" s="1" cm="1">
        <f t="array" ref="D1354">_xlfn.XLOOKUP(_xlfn.FLOOR.MATH(C1354),'Mortality Tables'!$B$4:$B$124,_xlfn.XLOOKUP(mortality_table,'Mortality Tables'!$B$3:$G$3,'Mortality Tables'!$B$4:$G$124,0,0),0,0)</f>
        <v>0.65917099999999995</v>
      </c>
      <c r="E1354" s="1">
        <f t="shared" si="149"/>
        <v>5.4930916666666663E-2</v>
      </c>
      <c r="F1354" s="1">
        <f t="shared" si="150"/>
        <v>0.94506908333333328</v>
      </c>
      <c r="G1354" s="1">
        <f t="shared" si="151"/>
        <v>3.5046104988874456E-5</v>
      </c>
      <c r="H1354" s="34">
        <f t="shared" si="152"/>
        <v>4.21728284463366E-3</v>
      </c>
      <c r="I1354" s="36">
        <f t="shared" si="154"/>
        <v>1.4779933734081037E-7</v>
      </c>
    </row>
    <row r="1355" spans="2:9" x14ac:dyDescent="0.35">
      <c r="B1355" s="16">
        <f t="shared" si="155"/>
        <v>112.16666666666465</v>
      </c>
      <c r="C1355" s="17">
        <f t="shared" si="153"/>
        <v>112.16666666666465</v>
      </c>
      <c r="D1355" s="1" cm="1">
        <f t="array" ref="D1355">_xlfn.XLOOKUP(_xlfn.FLOOR.MATH(C1355),'Mortality Tables'!$B$4:$B$124,_xlfn.XLOOKUP(mortality_table,'Mortality Tables'!$B$3:$G$3,'Mortality Tables'!$B$4:$G$124,0,0),0,0)</f>
        <v>0.65917099999999995</v>
      </c>
      <c r="E1355" s="1">
        <f t="shared" si="149"/>
        <v>5.4930916666666663E-2</v>
      </c>
      <c r="F1355" s="1">
        <f t="shared" si="150"/>
        <v>0.94506908333333328</v>
      </c>
      <c r="G1355" s="1">
        <f t="shared" si="151"/>
        <v>3.312099031623934E-5</v>
      </c>
      <c r="H1355" s="34">
        <f t="shared" si="152"/>
        <v>4.2001708287648038E-3</v>
      </c>
      <c r="I1355" s="36">
        <f t="shared" si="154"/>
        <v>1.3911381734607004E-7</v>
      </c>
    </row>
    <row r="1356" spans="2:9" x14ac:dyDescent="0.35">
      <c r="B1356" s="16">
        <f t="shared" si="155"/>
        <v>112.24999999999798</v>
      </c>
      <c r="C1356" s="17">
        <f t="shared" si="153"/>
        <v>112.24999999999798</v>
      </c>
      <c r="D1356" s="1" cm="1">
        <f t="array" ref="D1356">_xlfn.XLOOKUP(_xlfn.FLOOR.MATH(C1356),'Mortality Tables'!$B$4:$B$124,_xlfn.XLOOKUP(mortality_table,'Mortality Tables'!$B$3:$G$3,'Mortality Tables'!$B$4:$G$124,0,0),0,0)</f>
        <v>0.65917099999999995</v>
      </c>
      <c r="E1356" s="1">
        <f t="shared" si="149"/>
        <v>5.4930916666666663E-2</v>
      </c>
      <c r="F1356" s="1">
        <f t="shared" si="150"/>
        <v>0.94506908333333328</v>
      </c>
      <c r="G1356" s="1">
        <f t="shared" si="151"/>
        <v>3.1301623957260524E-5</v>
      </c>
      <c r="H1356" s="34">
        <f t="shared" si="152"/>
        <v>4.1831282464857471E-3</v>
      </c>
      <c r="I1356" s="36">
        <f t="shared" si="154"/>
        <v>1.3093870733649146E-7</v>
      </c>
    </row>
    <row r="1357" spans="2:9" x14ac:dyDescent="0.35">
      <c r="B1357" s="16">
        <f t="shared" si="155"/>
        <v>112.33333333333131</v>
      </c>
      <c r="C1357" s="17">
        <f t="shared" si="153"/>
        <v>112.33333333333131</v>
      </c>
      <c r="D1357" s="1" cm="1">
        <f t="array" ref="D1357">_xlfn.XLOOKUP(_xlfn.FLOOR.MATH(C1357),'Mortality Tables'!$B$4:$B$124,_xlfn.XLOOKUP(mortality_table,'Mortality Tables'!$B$3:$G$3,'Mortality Tables'!$B$4:$G$124,0,0),0,0)</f>
        <v>0.65917099999999995</v>
      </c>
      <c r="E1357" s="1">
        <f t="shared" si="149"/>
        <v>5.4930916666666663E-2</v>
      </c>
      <c r="F1357" s="1">
        <f t="shared" si="150"/>
        <v>0.94506908333333328</v>
      </c>
      <c r="G1357" s="1">
        <f t="shared" si="151"/>
        <v>2.9582197060132906E-5</v>
      </c>
      <c r="H1357" s="34">
        <f t="shared" si="152"/>
        <v>4.1661548160632639E-3</v>
      </c>
      <c r="I1357" s="36">
        <f t="shared" si="154"/>
        <v>1.2324401275180525E-7</v>
      </c>
    </row>
    <row r="1358" spans="2:9" x14ac:dyDescent="0.35">
      <c r="B1358" s="16">
        <f t="shared" si="155"/>
        <v>112.41666666666464</v>
      </c>
      <c r="C1358" s="17">
        <f t="shared" si="153"/>
        <v>112.41666666666464</v>
      </c>
      <c r="D1358" s="1" cm="1">
        <f t="array" ref="D1358">_xlfn.XLOOKUP(_xlfn.FLOOR.MATH(C1358),'Mortality Tables'!$B$4:$B$124,_xlfn.XLOOKUP(mortality_table,'Mortality Tables'!$B$3:$G$3,'Mortality Tables'!$B$4:$G$124,0,0),0,0)</f>
        <v>0.65917099999999995</v>
      </c>
      <c r="E1358" s="1">
        <f t="shared" si="149"/>
        <v>5.4930916666666663E-2</v>
      </c>
      <c r="F1358" s="1">
        <f t="shared" si="150"/>
        <v>0.94506908333333328</v>
      </c>
      <c r="G1358" s="1">
        <f t="shared" si="151"/>
        <v>2.7957219858605832E-5</v>
      </c>
      <c r="H1358" s="34">
        <f t="shared" si="152"/>
        <v>4.1492502569072899E-3</v>
      </c>
      <c r="I1358" s="36">
        <f t="shared" si="154"/>
        <v>1.1600150168073384E-7</v>
      </c>
    </row>
    <row r="1359" spans="2:9" x14ac:dyDescent="0.35">
      <c r="B1359" s="16">
        <f t="shared" si="155"/>
        <v>112.49999999999797</v>
      </c>
      <c r="C1359" s="17">
        <f t="shared" si="153"/>
        <v>112.49999999999797</v>
      </c>
      <c r="D1359" s="1" cm="1">
        <f t="array" ref="D1359">_xlfn.XLOOKUP(_xlfn.FLOOR.MATH(C1359),'Mortality Tables'!$B$4:$B$124,_xlfn.XLOOKUP(mortality_table,'Mortality Tables'!$B$3:$G$3,'Mortality Tables'!$B$4:$G$124,0,0),0,0)</f>
        <v>0.65917099999999995</v>
      </c>
      <c r="E1359" s="1">
        <f t="shared" si="149"/>
        <v>5.4930916666666663E-2</v>
      </c>
      <c r="F1359" s="1">
        <f t="shared" si="150"/>
        <v>0.94506908333333328</v>
      </c>
      <c r="G1359" s="1">
        <f t="shared" si="151"/>
        <v>2.6421504144321074E-5</v>
      </c>
      <c r="H1359" s="34">
        <f t="shared" si="152"/>
        <v>4.1324142895662807E-3</v>
      </c>
      <c r="I1359" s="36">
        <f t="shared" si="154"/>
        <v>1.0918460127782711E-7</v>
      </c>
    </row>
    <row r="1360" spans="2:9" x14ac:dyDescent="0.35">
      <c r="B1360" s="16">
        <f t="shared" si="155"/>
        <v>112.5833333333313</v>
      </c>
      <c r="C1360" s="17">
        <f t="shared" si="153"/>
        <v>112.5833333333313</v>
      </c>
      <c r="D1360" s="1" cm="1">
        <f t="array" ref="D1360">_xlfn.XLOOKUP(_xlfn.FLOOR.MATH(C1360),'Mortality Tables'!$B$4:$B$124,_xlfn.XLOOKUP(mortality_table,'Mortality Tables'!$B$3:$G$3,'Mortality Tables'!$B$4:$G$124,0,0),0,0)</f>
        <v>0.65917099999999995</v>
      </c>
      <c r="E1360" s="1">
        <f t="shared" si="149"/>
        <v>5.4930916666666663E-2</v>
      </c>
      <c r="F1360" s="1">
        <f t="shared" si="150"/>
        <v>0.94506908333333328</v>
      </c>
      <c r="G1360" s="1">
        <f t="shared" si="151"/>
        <v>2.4970146701961383E-5</v>
      </c>
      <c r="H1360" s="34">
        <f t="shared" si="152"/>
        <v>4.1156466357225932E-3</v>
      </c>
      <c r="I1360" s="36">
        <f t="shared" si="154"/>
        <v>1.0276830026742698E-7</v>
      </c>
    </row>
    <row r="1361" spans="2:9" x14ac:dyDescent="0.35">
      <c r="B1361" s="16">
        <f t="shared" si="155"/>
        <v>112.66666666666463</v>
      </c>
      <c r="C1361" s="17">
        <f t="shared" si="153"/>
        <v>112.66666666666463</v>
      </c>
      <c r="D1361" s="1" cm="1">
        <f t="array" ref="D1361">_xlfn.XLOOKUP(_xlfn.FLOOR.MATH(C1361),'Mortality Tables'!$B$4:$B$124,_xlfn.XLOOKUP(mortality_table,'Mortality Tables'!$B$3:$G$3,'Mortality Tables'!$B$4:$G$124,0,0),0,0)</f>
        <v>0.65917099999999995</v>
      </c>
      <c r="E1361" s="1">
        <f t="shared" si="149"/>
        <v>5.4930916666666663E-2</v>
      </c>
      <c r="F1361" s="1">
        <f t="shared" si="150"/>
        <v>0.94506908333333328</v>
      </c>
      <c r="G1361" s="1">
        <f t="shared" si="151"/>
        <v>2.35985136543215E-5</v>
      </c>
      <c r="H1361" s="34">
        <f t="shared" si="152"/>
        <v>4.0989470181878804E-3</v>
      </c>
      <c r="I1361" s="36">
        <f t="shared" si="154"/>
        <v>9.6729057177047092E-8</v>
      </c>
    </row>
    <row r="1362" spans="2:9" x14ac:dyDescent="0.35">
      <c r="B1362" s="16">
        <f t="shared" si="155"/>
        <v>112.74999999999795</v>
      </c>
      <c r="C1362" s="17">
        <f t="shared" si="153"/>
        <v>112.74999999999795</v>
      </c>
      <c r="D1362" s="1" cm="1">
        <f t="array" ref="D1362">_xlfn.XLOOKUP(_xlfn.FLOOR.MATH(C1362),'Mortality Tables'!$B$4:$B$124,_xlfn.XLOOKUP(mortality_table,'Mortality Tables'!$B$3:$G$3,'Mortality Tables'!$B$4:$G$124,0,0),0,0)</f>
        <v>0.65917099999999995</v>
      </c>
      <c r="E1362" s="1">
        <f t="shared" si="149"/>
        <v>5.4930916666666663E-2</v>
      </c>
      <c r="F1362" s="1">
        <f t="shared" si="150"/>
        <v>0.94506908333333328</v>
      </c>
      <c r="G1362" s="1">
        <f t="shared" si="151"/>
        <v>2.230222566731877E-5</v>
      </c>
      <c r="H1362" s="34">
        <f t="shared" si="152"/>
        <v>4.0823151608985172E-3</v>
      </c>
      <c r="I1362" s="36">
        <f t="shared" si="154"/>
        <v>9.1044713963475463E-8</v>
      </c>
    </row>
    <row r="1363" spans="2:9" x14ac:dyDescent="0.35">
      <c r="B1363" s="16">
        <f t="shared" si="155"/>
        <v>112.83333333333128</v>
      </c>
      <c r="C1363" s="17">
        <f t="shared" si="153"/>
        <v>112.83333333333128</v>
      </c>
      <c r="D1363" s="1" cm="1">
        <f t="array" ref="D1363">_xlfn.XLOOKUP(_xlfn.FLOOR.MATH(C1363),'Mortality Tables'!$B$4:$B$124,_xlfn.XLOOKUP(mortality_table,'Mortality Tables'!$B$3:$G$3,'Mortality Tables'!$B$4:$G$124,0,0),0,0)</f>
        <v>0.65917099999999995</v>
      </c>
      <c r="E1363" s="1">
        <f t="shared" si="149"/>
        <v>5.4930916666666663E-2</v>
      </c>
      <c r="F1363" s="1">
        <f t="shared" si="150"/>
        <v>0.94506908333333328</v>
      </c>
      <c r="G1363" s="1">
        <f t="shared" si="151"/>
        <v>2.1077143967706085E-5</v>
      </c>
      <c r="H1363" s="34">
        <f t="shared" si="152"/>
        <v>4.065750788911025E-3</v>
      </c>
      <c r="I1363" s="36">
        <f t="shared" si="154"/>
        <v>8.5694414714692261E-8</v>
      </c>
    </row>
    <row r="1364" spans="2:9" x14ac:dyDescent="0.35">
      <c r="B1364" s="16">
        <f t="shared" si="155"/>
        <v>112.91666666666461</v>
      </c>
      <c r="C1364" s="17">
        <f t="shared" si="153"/>
        <v>112.91666666666461</v>
      </c>
      <c r="D1364" s="1" cm="1">
        <f t="array" ref="D1364">_xlfn.XLOOKUP(_xlfn.FLOOR.MATH(C1364),'Mortality Tables'!$B$4:$B$124,_xlfn.XLOOKUP(mortality_table,'Mortality Tables'!$B$3:$G$3,'Mortality Tables'!$B$4:$G$124,0,0),0,0)</f>
        <v>0.65917099999999995</v>
      </c>
      <c r="E1364" s="1">
        <f t="shared" si="149"/>
        <v>5.4930916666666663E-2</v>
      </c>
      <c r="F1364" s="1">
        <f t="shared" si="150"/>
        <v>0.94506908333333328</v>
      </c>
      <c r="G1364" s="1">
        <f t="shared" si="151"/>
        <v>1.9919357128844686E-5</v>
      </c>
      <c r="H1364" s="34">
        <f t="shared" si="152"/>
        <v>4.0492536283975476E-3</v>
      </c>
      <c r="I1364" s="36">
        <f t="shared" si="154"/>
        <v>8.0658529129320894E-8</v>
      </c>
    </row>
    <row r="1365" spans="2:9" x14ac:dyDescent="0.35">
      <c r="B1365" s="16">
        <f t="shared" si="155"/>
        <v>112.99999999999794</v>
      </c>
      <c r="C1365" s="17">
        <f t="shared" si="153"/>
        <v>112.99999999999794</v>
      </c>
      <c r="D1365" s="1" cm="1">
        <f t="array" ref="D1365">_xlfn.XLOOKUP(_xlfn.FLOOR.MATH(C1365),'Mortality Tables'!$B$4:$B$124,_xlfn.XLOOKUP(mortality_table,'Mortality Tables'!$B$3:$G$3,'Mortality Tables'!$B$4:$G$124,0,0),0,0)</f>
        <v>0.65917099999999995</v>
      </c>
      <c r="E1365" s="1">
        <f t="shared" si="149"/>
        <v>5.4930916666666663E-2</v>
      </c>
      <c r="F1365" s="1">
        <f t="shared" si="150"/>
        <v>0.94506908333333328</v>
      </c>
      <c r="G1365" s="1">
        <f t="shared" si="151"/>
        <v>1.8825168582346545E-5</v>
      </c>
      <c r="H1365" s="34">
        <f t="shared" si="152"/>
        <v>4.0328234066412975E-3</v>
      </c>
      <c r="I1365" s="36">
        <f t="shared" si="154"/>
        <v>7.5918580492855522E-8</v>
      </c>
    </row>
    <row r="1366" spans="2:9" x14ac:dyDescent="0.35">
      <c r="B1366" s="16">
        <f t="shared" si="155"/>
        <v>113.08333333333127</v>
      </c>
      <c r="C1366" s="17">
        <f t="shared" si="153"/>
        <v>113.08333333333127</v>
      </c>
      <c r="D1366" s="1" cm="1">
        <f t="array" ref="D1366">_xlfn.XLOOKUP(_xlfn.FLOOR.MATH(C1366),'Mortality Tables'!$B$4:$B$124,_xlfn.XLOOKUP(mortality_table,'Mortality Tables'!$B$3:$G$3,'Mortality Tables'!$B$4:$G$124,0,0),0,0)</f>
        <v>0.684114</v>
      </c>
      <c r="E1366" s="1">
        <f t="shared" si="149"/>
        <v>5.7009499999999998E-2</v>
      </c>
      <c r="F1366" s="1">
        <f t="shared" si="150"/>
        <v>0.94299049999999995</v>
      </c>
      <c r="G1366" s="1">
        <f t="shared" si="151"/>
        <v>1.7791084815713714E-5</v>
      </c>
      <c r="H1366" s="34">
        <f t="shared" si="152"/>
        <v>4.0164598520320664E-3</v>
      </c>
      <c r="I1366" s="36">
        <f t="shared" si="154"/>
        <v>7.1457177886411452E-8</v>
      </c>
    </row>
    <row r="1367" spans="2:9" x14ac:dyDescent="0.35">
      <c r="B1367" s="16">
        <f t="shared" si="155"/>
        <v>113.1666666666646</v>
      </c>
      <c r="C1367" s="17">
        <f t="shared" si="153"/>
        <v>113.1666666666646</v>
      </c>
      <c r="D1367" s="1" cm="1">
        <f t="array" ref="D1367">_xlfn.XLOOKUP(_xlfn.FLOOR.MATH(C1367),'Mortality Tables'!$B$4:$B$124,_xlfn.XLOOKUP(mortality_table,'Mortality Tables'!$B$3:$G$3,'Mortality Tables'!$B$4:$G$124,0,0),0,0)</f>
        <v>0.684114</v>
      </c>
      <c r="E1367" s="1">
        <f t="shared" si="149"/>
        <v>5.7009499999999998E-2</v>
      </c>
      <c r="F1367" s="1">
        <f t="shared" si="150"/>
        <v>0.94299049999999995</v>
      </c>
      <c r="G1367" s="1">
        <f t="shared" si="151"/>
        <v>1.6776823965912281E-5</v>
      </c>
      <c r="H1367" s="34">
        <f t="shared" si="152"/>
        <v>4.000162694061728E-3</v>
      </c>
      <c r="I1367" s="36">
        <f t="shared" si="154"/>
        <v>6.7110025353283038E-8</v>
      </c>
    </row>
    <row r="1368" spans="2:9" x14ac:dyDescent="0.35">
      <c r="B1368" s="16">
        <f t="shared" si="155"/>
        <v>113.24999999999793</v>
      </c>
      <c r="C1368" s="17">
        <f t="shared" si="153"/>
        <v>113.24999999999793</v>
      </c>
      <c r="D1368" s="1" cm="1">
        <f t="array" ref="D1368">_xlfn.XLOOKUP(_xlfn.FLOOR.MATH(C1368),'Mortality Tables'!$B$4:$B$124,_xlfn.XLOOKUP(mortality_table,'Mortality Tables'!$B$3:$G$3,'Mortality Tables'!$B$4:$G$124,0,0),0,0)</f>
        <v>0.684114</v>
      </c>
      <c r="E1368" s="1">
        <f t="shared" si="149"/>
        <v>5.7009499999999998E-2</v>
      </c>
      <c r="F1368" s="1">
        <f t="shared" si="150"/>
        <v>0.94299049999999995</v>
      </c>
      <c r="G1368" s="1">
        <f t="shared" si="151"/>
        <v>1.5820385620027603E-5</v>
      </c>
      <c r="H1368" s="34">
        <f t="shared" si="152"/>
        <v>3.9839316633197685E-3</v>
      </c>
      <c r="I1368" s="36">
        <f t="shared" si="154"/>
        <v>6.302733519755672E-8</v>
      </c>
    </row>
    <row r="1369" spans="2:9" x14ac:dyDescent="0.35">
      <c r="B1369" s="16">
        <f t="shared" si="155"/>
        <v>113.33333333333125</v>
      </c>
      <c r="C1369" s="17">
        <f t="shared" si="153"/>
        <v>113.33333333333125</v>
      </c>
      <c r="D1369" s="1" cm="1">
        <f t="array" ref="D1369">_xlfn.XLOOKUP(_xlfn.FLOOR.MATH(C1369),'Mortality Tables'!$B$4:$B$124,_xlfn.XLOOKUP(mortality_table,'Mortality Tables'!$B$3:$G$3,'Mortality Tables'!$B$4:$G$124,0,0),0,0)</f>
        <v>0.684114</v>
      </c>
      <c r="E1369" s="1">
        <f t="shared" si="149"/>
        <v>5.7009499999999998E-2</v>
      </c>
      <c r="F1369" s="1">
        <f t="shared" si="150"/>
        <v>0.94299049999999995</v>
      </c>
      <c r="G1369" s="1">
        <f t="shared" si="151"/>
        <v>1.491847334602264E-5</v>
      </c>
      <c r="H1369" s="34">
        <f t="shared" si="152"/>
        <v>3.9677664914888324E-3</v>
      </c>
      <c r="I1369" s="36">
        <f t="shared" si="154"/>
        <v>5.9193018646517913E-8</v>
      </c>
    </row>
    <row r="1370" spans="2:9" x14ac:dyDescent="0.35">
      <c r="B1370" s="16">
        <f t="shared" si="155"/>
        <v>113.41666666666458</v>
      </c>
      <c r="C1370" s="17">
        <f t="shared" si="153"/>
        <v>113.41666666666458</v>
      </c>
      <c r="D1370" s="1" cm="1">
        <f t="array" ref="D1370">_xlfn.XLOOKUP(_xlfn.FLOOR.MATH(C1370),'Mortality Tables'!$B$4:$B$124,_xlfn.XLOOKUP(mortality_table,'Mortality Tables'!$B$3:$G$3,'Mortality Tables'!$B$4:$G$124,0,0),0,0)</f>
        <v>0.684114</v>
      </c>
      <c r="E1370" s="1">
        <f t="shared" si="149"/>
        <v>5.7009499999999998E-2</v>
      </c>
      <c r="F1370" s="1">
        <f t="shared" si="150"/>
        <v>0.94299049999999995</v>
      </c>
      <c r="G1370" s="1">
        <f t="shared" si="151"/>
        <v>1.4067978639802562E-5</v>
      </c>
      <c r="H1370" s="34">
        <f t="shared" si="152"/>
        <v>3.9516669113402866E-3</v>
      </c>
      <c r="I1370" s="36">
        <f t="shared" si="154"/>
        <v>5.5591965700349715E-8</v>
      </c>
    </row>
    <row r="1371" spans="2:9" x14ac:dyDescent="0.35">
      <c r="B1371" s="16">
        <f t="shared" si="155"/>
        <v>113.49999999999791</v>
      </c>
      <c r="C1371" s="17">
        <f t="shared" si="153"/>
        <v>113.49999999999791</v>
      </c>
      <c r="D1371" s="1" cm="1">
        <f t="array" ref="D1371">_xlfn.XLOOKUP(_xlfn.FLOOR.MATH(C1371),'Mortality Tables'!$B$4:$B$124,_xlfn.XLOOKUP(mortality_table,'Mortality Tables'!$B$3:$G$3,'Mortality Tables'!$B$4:$G$124,0,0),0,0)</f>
        <v>0.684114</v>
      </c>
      <c r="E1371" s="1">
        <f t="shared" si="149"/>
        <v>5.7009499999999998E-2</v>
      </c>
      <c r="F1371" s="1">
        <f t="shared" si="150"/>
        <v>0.94299049999999995</v>
      </c>
      <c r="G1371" s="1">
        <f t="shared" si="151"/>
        <v>1.3265970211536737E-5</v>
      </c>
      <c r="H1371" s="34">
        <f t="shared" si="152"/>
        <v>3.9356326567298013E-3</v>
      </c>
      <c r="I1371" s="36">
        <f t="shared" si="154"/>
        <v>5.2209985587728734E-8</v>
      </c>
    </row>
    <row r="1372" spans="2:9" x14ac:dyDescent="0.35">
      <c r="B1372" s="16">
        <f t="shared" si="155"/>
        <v>113.58333333333124</v>
      </c>
      <c r="C1372" s="17">
        <f t="shared" si="153"/>
        <v>113.58333333333124</v>
      </c>
      <c r="D1372" s="1" cm="1">
        <f t="array" ref="D1372">_xlfn.XLOOKUP(_xlfn.FLOOR.MATH(C1372),'Mortality Tables'!$B$4:$B$124,_xlfn.XLOOKUP(mortality_table,'Mortality Tables'!$B$3:$G$3,'Mortality Tables'!$B$4:$G$124,0,0),0,0)</f>
        <v>0.684114</v>
      </c>
      <c r="E1372" s="1">
        <f t="shared" si="149"/>
        <v>5.7009499999999998E-2</v>
      </c>
      <c r="F1372" s="1">
        <f t="shared" si="150"/>
        <v>0.94299049999999995</v>
      </c>
      <c r="G1372" s="1">
        <f t="shared" si="151"/>
        <v>1.2509683882762134E-5</v>
      </c>
      <c r="H1372" s="34">
        <f t="shared" si="152"/>
        <v>3.9196634625929556E-3</v>
      </c>
      <c r="I1372" s="36">
        <f t="shared" si="154"/>
        <v>4.9033750843850711E-8</v>
      </c>
    </row>
    <row r="1373" spans="2:9" x14ac:dyDescent="0.35">
      <c r="B1373" s="16">
        <f t="shared" si="155"/>
        <v>113.66666666666457</v>
      </c>
      <c r="C1373" s="17">
        <f t="shared" si="153"/>
        <v>113.66666666666457</v>
      </c>
      <c r="D1373" s="1" cm="1">
        <f t="array" ref="D1373">_xlfn.XLOOKUP(_xlfn.FLOOR.MATH(C1373),'Mortality Tables'!$B$4:$B$124,_xlfn.XLOOKUP(mortality_table,'Mortality Tables'!$B$3:$G$3,'Mortality Tables'!$B$4:$G$124,0,0),0,0)</f>
        <v>0.684114</v>
      </c>
      <c r="E1373" s="1">
        <f t="shared" si="149"/>
        <v>5.7009499999999998E-2</v>
      </c>
      <c r="F1373" s="1">
        <f t="shared" si="150"/>
        <v>0.94299049999999995</v>
      </c>
      <c r="G1373" s="1">
        <f t="shared" si="151"/>
        <v>1.1796513059447805E-5</v>
      </c>
      <c r="H1373" s="34">
        <f t="shared" si="152"/>
        <v>3.9037590649408484E-3</v>
      </c>
      <c r="I1373" s="36">
        <f t="shared" si="154"/>
        <v>4.6050744790512468E-8</v>
      </c>
    </row>
    <row r="1374" spans="2:9" x14ac:dyDescent="0.35">
      <c r="B1374" s="16">
        <f t="shared" si="155"/>
        <v>113.7499999999979</v>
      </c>
      <c r="C1374" s="17">
        <f t="shared" si="153"/>
        <v>113.7499999999979</v>
      </c>
      <c r="D1374" s="1" cm="1">
        <f t="array" ref="D1374">_xlfn.XLOOKUP(_xlfn.FLOOR.MATH(C1374),'Mortality Tables'!$B$4:$B$124,_xlfn.XLOOKUP(mortality_table,'Mortality Tables'!$B$3:$G$3,'Mortality Tables'!$B$4:$G$124,0,0),0,0)</f>
        <v>0.684114</v>
      </c>
      <c r="E1374" s="1">
        <f t="shared" si="149"/>
        <v>5.7009499999999998E-2</v>
      </c>
      <c r="F1374" s="1">
        <f t="shared" si="150"/>
        <v>0.94299049999999995</v>
      </c>
      <c r="G1374" s="1">
        <f t="shared" si="151"/>
        <v>1.1123999748185215E-5</v>
      </c>
      <c r="H1374" s="34">
        <f t="shared" si="152"/>
        <v>3.8879192008557401E-3</v>
      </c>
      <c r="I1374" s="36">
        <f t="shared" si="154"/>
        <v>4.3249212211283714E-8</v>
      </c>
    </row>
    <row r="1375" spans="2:9" x14ac:dyDescent="0.35">
      <c r="B1375" s="16">
        <f t="shared" si="155"/>
        <v>113.83333333333123</v>
      </c>
      <c r="C1375" s="17">
        <f t="shared" si="153"/>
        <v>113.83333333333123</v>
      </c>
      <c r="D1375" s="1" cm="1">
        <f t="array" ref="D1375">_xlfn.XLOOKUP(_xlfn.FLOOR.MATH(C1375),'Mortality Tables'!$B$4:$B$124,_xlfn.XLOOKUP(mortality_table,'Mortality Tables'!$B$3:$G$3,'Mortality Tables'!$B$4:$G$124,0,0),0,0)</f>
        <v>0.684114</v>
      </c>
      <c r="E1375" s="1">
        <f t="shared" si="149"/>
        <v>5.7009499999999998E-2</v>
      </c>
      <c r="F1375" s="1">
        <f t="shared" si="150"/>
        <v>0.94299049999999995</v>
      </c>
      <c r="G1375" s="1">
        <f t="shared" si="151"/>
        <v>1.0489826084541049E-5</v>
      </c>
      <c r="H1375" s="34">
        <f t="shared" si="152"/>
        <v>3.8721436084867044E-3</v>
      </c>
      <c r="I1375" s="36">
        <f t="shared" si="154"/>
        <v>4.0618113027392734E-8</v>
      </c>
    </row>
    <row r="1376" spans="2:9" x14ac:dyDescent="0.35">
      <c r="B1376" s="16">
        <f t="shared" si="155"/>
        <v>113.91666666666455</v>
      </c>
      <c r="C1376" s="17">
        <f t="shared" si="153"/>
        <v>113.91666666666455</v>
      </c>
      <c r="D1376" s="1" cm="1">
        <f t="array" ref="D1376">_xlfn.XLOOKUP(_xlfn.FLOOR.MATH(C1376),'Mortality Tables'!$B$4:$B$124,_xlfn.XLOOKUP(mortality_table,'Mortality Tables'!$B$3:$G$3,'Mortality Tables'!$B$4:$G$124,0,0),0,0)</f>
        <v>0.684114</v>
      </c>
      <c r="E1376" s="1">
        <f t="shared" si="149"/>
        <v>5.7009499999999998E-2</v>
      </c>
      <c r="F1376" s="1">
        <f t="shared" si="150"/>
        <v>0.94299049999999995</v>
      </c>
      <c r="G1376" s="1">
        <f t="shared" si="151"/>
        <v>9.8918063443744064E-6</v>
      </c>
      <c r="H1376" s="34">
        <f t="shared" si="152"/>
        <v>3.8564320270452969E-3</v>
      </c>
      <c r="I1376" s="36">
        <f t="shared" si="154"/>
        <v>3.8147078791775319E-8</v>
      </c>
    </row>
    <row r="1377" spans="2:9" x14ac:dyDescent="0.35">
      <c r="B1377" s="16">
        <f t="shared" si="155"/>
        <v>113.99999999999788</v>
      </c>
      <c r="C1377" s="17">
        <f t="shared" si="153"/>
        <v>113.99999999999788</v>
      </c>
      <c r="D1377" s="1" cm="1">
        <f t="array" ref="D1377">_xlfn.XLOOKUP(_xlfn.FLOOR.MATH(C1377),'Mortality Tables'!$B$4:$B$124,_xlfn.XLOOKUP(mortality_table,'Mortality Tables'!$B$3:$G$3,'Mortality Tables'!$B$4:$G$124,0,0),0,0)</f>
        <v>0.684114</v>
      </c>
      <c r="E1377" s="1">
        <f t="shared" si="149"/>
        <v>5.7009499999999998E-2</v>
      </c>
      <c r="F1377" s="1">
        <f t="shared" si="150"/>
        <v>0.94299049999999995</v>
      </c>
      <c r="G1377" s="1">
        <f t="shared" si="151"/>
        <v>9.327879410584793E-6</v>
      </c>
      <c r="H1377" s="34">
        <f t="shared" si="152"/>
        <v>3.8407841968012492E-3</v>
      </c>
      <c r="I1377" s="36">
        <f t="shared" si="154"/>
        <v>3.5826371829841826E-8</v>
      </c>
    </row>
    <row r="1378" spans="2:9" x14ac:dyDescent="0.35">
      <c r="B1378" s="16">
        <f t="shared" si="155"/>
        <v>114.08333333333121</v>
      </c>
      <c r="C1378" s="17">
        <f t="shared" si="153"/>
        <v>114.08333333333121</v>
      </c>
      <c r="D1378" s="1" cm="1">
        <f t="array" ref="D1378">_xlfn.XLOOKUP(_xlfn.FLOOR.MATH(C1378),'Mortality Tables'!$B$4:$B$124,_xlfn.XLOOKUP(mortality_table,'Mortality Tables'!$B$3:$G$3,'Mortality Tables'!$B$4:$G$124,0,0),0,0)</f>
        <v>0.70844200000000002</v>
      </c>
      <c r="E1378" s="1">
        <f t="shared" si="149"/>
        <v>5.903683333333333E-2</v>
      </c>
      <c r="F1378" s="1">
        <f t="shared" si="150"/>
        <v>0.94096316666666668</v>
      </c>
      <c r="G1378" s="1">
        <f t="shared" si="151"/>
        <v>8.7961016693270593E-6</v>
      </c>
      <c r="H1378" s="34">
        <f t="shared" si="152"/>
        <v>3.8251998590781715E-3</v>
      </c>
      <c r="I1378" s="36">
        <f t="shared" si="154"/>
        <v>3.3646846865947134E-8</v>
      </c>
    </row>
    <row r="1379" spans="2:9" x14ac:dyDescent="0.35">
      <c r="B1379" s="16">
        <f t="shared" si="155"/>
        <v>114.16666666666454</v>
      </c>
      <c r="C1379" s="17">
        <f t="shared" si="153"/>
        <v>114.16666666666454</v>
      </c>
      <c r="D1379" s="1" cm="1">
        <f t="array" ref="D1379">_xlfn.XLOOKUP(_xlfn.FLOOR.MATH(C1379),'Mortality Tables'!$B$4:$B$124,_xlfn.XLOOKUP(mortality_table,'Mortality Tables'!$B$3:$G$3,'Mortality Tables'!$B$4:$G$124,0,0),0,0)</f>
        <v>0.70844200000000002</v>
      </c>
      <c r="E1379" s="1">
        <f t="shared" si="149"/>
        <v>5.903683333333333E-2</v>
      </c>
      <c r="F1379" s="1">
        <f t="shared" si="150"/>
        <v>0.94096316666666668</v>
      </c>
      <c r="G1379" s="1">
        <f t="shared" si="151"/>
        <v>8.2768076810919432E-6</v>
      </c>
      <c r="H1379" s="34">
        <f t="shared" si="152"/>
        <v>3.8096787562492745E-3</v>
      </c>
      <c r="I1379" s="36">
        <f t="shared" si="154"/>
        <v>3.1531978392216793E-8</v>
      </c>
    </row>
    <row r="1380" spans="2:9" x14ac:dyDescent="0.35">
      <c r="B1380" s="16">
        <f t="shared" si="155"/>
        <v>114.24999999999787</v>
      </c>
      <c r="C1380" s="17">
        <f t="shared" si="153"/>
        <v>114.24999999999787</v>
      </c>
      <c r="D1380" s="1" cm="1">
        <f t="array" ref="D1380">_xlfn.XLOOKUP(_xlfn.FLOOR.MATH(C1380),'Mortality Tables'!$B$4:$B$124,_xlfn.XLOOKUP(mortality_table,'Mortality Tables'!$B$3:$G$3,'Mortality Tables'!$B$4:$G$124,0,0),0,0)</f>
        <v>0.70844200000000002</v>
      </c>
      <c r="E1380" s="1">
        <f t="shared" si="149"/>
        <v>5.903683333333333E-2</v>
      </c>
      <c r="F1380" s="1">
        <f t="shared" si="150"/>
        <v>0.94096316666666668</v>
      </c>
      <c r="G1380" s="1">
        <f t="shared" si="151"/>
        <v>7.7881711654912644E-6</v>
      </c>
      <c r="H1380" s="34">
        <f t="shared" si="152"/>
        <v>3.7942206317331225E-3</v>
      </c>
      <c r="I1380" s="36">
        <f t="shared" si="154"/>
        <v>2.9550039719575955E-8</v>
      </c>
    </row>
    <row r="1381" spans="2:9" x14ac:dyDescent="0.35">
      <c r="B1381" s="16">
        <f t="shared" si="155"/>
        <v>114.3333333333312</v>
      </c>
      <c r="C1381" s="17">
        <f t="shared" si="153"/>
        <v>114.3333333333312</v>
      </c>
      <c r="D1381" s="1" cm="1">
        <f t="array" ref="D1381">_xlfn.XLOOKUP(_xlfn.FLOOR.MATH(C1381),'Mortality Tables'!$B$4:$B$124,_xlfn.XLOOKUP(mortality_table,'Mortality Tables'!$B$3:$G$3,'Mortality Tables'!$B$4:$G$124,0,0),0,0)</f>
        <v>0.70844200000000002</v>
      </c>
      <c r="E1381" s="1">
        <f t="shared" si="149"/>
        <v>5.903683333333333E-2</v>
      </c>
      <c r="F1381" s="1">
        <f t="shared" si="150"/>
        <v>0.94096316666666668</v>
      </c>
      <c r="G1381" s="1">
        <f t="shared" si="151"/>
        <v>7.3283822024226843E-6</v>
      </c>
      <c r="H1381" s="34">
        <f t="shared" si="152"/>
        <v>3.7788252299893734E-3</v>
      </c>
      <c r="I1381" s="36">
        <f t="shared" si="154"/>
        <v>2.769267556151993E-8</v>
      </c>
    </row>
    <row r="1382" spans="2:9" x14ac:dyDescent="0.35">
      <c r="B1382" s="16">
        <f t="shared" si="155"/>
        <v>114.41666666666453</v>
      </c>
      <c r="C1382" s="17">
        <f t="shared" si="153"/>
        <v>114.41666666666453</v>
      </c>
      <c r="D1382" s="1" cm="1">
        <f t="array" ref="D1382">_xlfn.XLOOKUP(_xlfn.FLOOR.MATH(C1382),'Mortality Tables'!$B$4:$B$124,_xlfn.XLOOKUP(mortality_table,'Mortality Tables'!$B$3:$G$3,'Mortality Tables'!$B$4:$G$124,0,0),0,0)</f>
        <v>0.70844200000000002</v>
      </c>
      <c r="E1382" s="1">
        <f t="shared" si="149"/>
        <v>5.903683333333333E-2</v>
      </c>
      <c r="F1382" s="1">
        <f t="shared" si="150"/>
        <v>0.94096316666666668</v>
      </c>
      <c r="G1382" s="1">
        <f t="shared" si="151"/>
        <v>6.8957377237352903E-6</v>
      </c>
      <c r="H1382" s="34">
        <f t="shared" si="152"/>
        <v>3.7634922965145675E-3</v>
      </c>
      <c r="I1382" s="36">
        <f t="shared" si="154"/>
        <v>2.5952055802062665E-8</v>
      </c>
    </row>
    <row r="1383" spans="2:9" x14ac:dyDescent="0.35">
      <c r="B1383" s="16">
        <f t="shared" si="155"/>
        <v>114.49999999999785</v>
      </c>
      <c r="C1383" s="17">
        <f t="shared" si="153"/>
        <v>114.49999999999785</v>
      </c>
      <c r="D1383" s="1" cm="1">
        <f t="array" ref="D1383">_xlfn.XLOOKUP(_xlfn.FLOOR.MATH(C1383),'Mortality Tables'!$B$4:$B$124,_xlfn.XLOOKUP(mortality_table,'Mortality Tables'!$B$3:$G$3,'Mortality Tables'!$B$4:$G$124,0,0),0,0)</f>
        <v>0.70844200000000002</v>
      </c>
      <c r="E1383" s="1">
        <f t="shared" si="149"/>
        <v>5.903683333333333E-2</v>
      </c>
      <c r="F1383" s="1">
        <f t="shared" si="150"/>
        <v>0.94096316666666668</v>
      </c>
      <c r="G1383" s="1">
        <f t="shared" si="151"/>
        <v>6.4886352050287506E-6</v>
      </c>
      <c r="H1383" s="34">
        <f t="shared" si="152"/>
        <v>3.7482215778379159E-3</v>
      </c>
      <c r="I1383" s="36">
        <f t="shared" si="154"/>
        <v>2.4320842486207512E-8</v>
      </c>
    </row>
    <row r="1384" spans="2:9" x14ac:dyDescent="0.35">
      <c r="B1384" s="16">
        <f t="shared" si="155"/>
        <v>114.58333333333118</v>
      </c>
      <c r="C1384" s="17">
        <f t="shared" si="153"/>
        <v>114.58333333333118</v>
      </c>
      <c r="D1384" s="1" cm="1">
        <f t="array" ref="D1384">_xlfn.XLOOKUP(_xlfn.FLOOR.MATH(C1384),'Mortality Tables'!$B$4:$B$124,_xlfn.XLOOKUP(mortality_table,'Mortality Tables'!$B$3:$G$3,'Mortality Tables'!$B$4:$G$124,0,0),0,0)</f>
        <v>0.70844200000000002</v>
      </c>
      <c r="E1384" s="1">
        <f t="shared" si="149"/>
        <v>5.903683333333333E-2</v>
      </c>
      <c r="F1384" s="1">
        <f t="shared" si="150"/>
        <v>0.94096316666666668</v>
      </c>
      <c r="G1384" s="1">
        <f t="shared" si="151"/>
        <v>6.1055667298686691E-6</v>
      </c>
      <c r="H1384" s="34">
        <f t="shared" si="152"/>
        <v>3.7330128215171099E-3</v>
      </c>
      <c r="I1384" s="36">
        <f t="shared" si="154"/>
        <v>2.2792158885228036E-8</v>
      </c>
    </row>
    <row r="1385" spans="2:9" x14ac:dyDescent="0.35">
      <c r="B1385" s="16">
        <f t="shared" si="155"/>
        <v>114.66666666666451</v>
      </c>
      <c r="C1385" s="17">
        <f t="shared" si="153"/>
        <v>114.66666666666451</v>
      </c>
      <c r="D1385" s="1" cm="1">
        <f t="array" ref="D1385">_xlfn.XLOOKUP(_xlfn.FLOOR.MATH(C1385),'Mortality Tables'!$B$4:$B$124,_xlfn.XLOOKUP(mortality_table,'Mortality Tables'!$B$3:$G$3,'Mortality Tables'!$B$4:$G$124,0,0),0,0)</f>
        <v>0.70844200000000002</v>
      </c>
      <c r="E1385" s="1">
        <f t="shared" si="149"/>
        <v>5.903683333333333E-2</v>
      </c>
      <c r="F1385" s="1">
        <f t="shared" si="150"/>
        <v>0.94096316666666668</v>
      </c>
      <c r="G1385" s="1">
        <f t="shared" si="151"/>
        <v>5.7451134044318676E-6</v>
      </c>
      <c r="H1385" s="34">
        <f t="shared" si="152"/>
        <v>3.7178657761341508E-3</v>
      </c>
      <c r="I1385" s="36">
        <f t="shared" si="154"/>
        <v>2.1359560506346799E-8</v>
      </c>
    </row>
    <row r="1386" spans="2:9" x14ac:dyDescent="0.35">
      <c r="B1386" s="16">
        <f t="shared" si="155"/>
        <v>114.74999999999784</v>
      </c>
      <c r="C1386" s="17">
        <f t="shared" si="153"/>
        <v>114.74999999999784</v>
      </c>
      <c r="D1386" s="1" cm="1">
        <f t="array" ref="D1386">_xlfn.XLOOKUP(_xlfn.FLOOR.MATH(C1386),'Mortality Tables'!$B$4:$B$124,_xlfn.XLOOKUP(mortality_table,'Mortality Tables'!$B$3:$G$3,'Mortality Tables'!$B$4:$G$124,0,0),0,0)</f>
        <v>0.70844200000000002</v>
      </c>
      <c r="E1386" s="1">
        <f t="shared" si="149"/>
        <v>5.903683333333333E-2</v>
      </c>
      <c r="F1386" s="1">
        <f t="shared" si="150"/>
        <v>0.94096316666666668</v>
      </c>
      <c r="G1386" s="1">
        <f t="shared" si="151"/>
        <v>5.405940101893324E-6</v>
      </c>
      <c r="H1386" s="34">
        <f t="shared" si="152"/>
        <v>3.7027801912911905E-3</v>
      </c>
      <c r="I1386" s="36">
        <f t="shared" si="154"/>
        <v>2.0017007924597282E-8</v>
      </c>
    </row>
    <row r="1387" spans="2:9" x14ac:dyDescent="0.35">
      <c r="B1387" s="16">
        <f t="shared" si="155"/>
        <v>114.83333333333117</v>
      </c>
      <c r="C1387" s="17">
        <f t="shared" si="153"/>
        <v>114.83333333333117</v>
      </c>
      <c r="D1387" s="1" cm="1">
        <f t="array" ref="D1387">_xlfn.XLOOKUP(_xlfn.FLOOR.MATH(C1387),'Mortality Tables'!$B$4:$B$124,_xlfn.XLOOKUP(mortality_table,'Mortality Tables'!$B$3:$G$3,'Mortality Tables'!$B$4:$G$124,0,0),0,0)</f>
        <v>0.70844200000000002</v>
      </c>
      <c r="E1387" s="1">
        <f t="shared" si="149"/>
        <v>5.903683333333333E-2</v>
      </c>
      <c r="F1387" s="1">
        <f t="shared" si="150"/>
        <v>0.94096316666666668</v>
      </c>
      <c r="G1387" s="1">
        <f t="shared" si="151"/>
        <v>5.0867905170878648E-6</v>
      </c>
      <c r="H1387" s="34">
        <f t="shared" si="152"/>
        <v>3.6877558176063936E-3</v>
      </c>
      <c r="I1387" s="36">
        <f t="shared" si="154"/>
        <v>1.8758841322335809E-8</v>
      </c>
    </row>
    <row r="1388" spans="2:9" x14ac:dyDescent="0.35">
      <c r="B1388" s="16">
        <f t="shared" si="155"/>
        <v>114.9166666666645</v>
      </c>
      <c r="C1388" s="17">
        <f t="shared" si="153"/>
        <v>114.9166666666645</v>
      </c>
      <c r="D1388" s="1" cm="1">
        <f t="array" ref="D1388">_xlfn.XLOOKUP(_xlfn.FLOOR.MATH(C1388),'Mortality Tables'!$B$4:$B$124,_xlfn.XLOOKUP(mortality_table,'Mortality Tables'!$B$3:$G$3,'Mortality Tables'!$B$4:$G$124,0,0),0,0)</f>
        <v>0.70844200000000002</v>
      </c>
      <c r="E1388" s="1">
        <f t="shared" si="149"/>
        <v>5.903683333333333E-2</v>
      </c>
      <c r="F1388" s="1">
        <f t="shared" si="150"/>
        <v>0.94096316666666668</v>
      </c>
      <c r="G1388" s="1">
        <f t="shared" si="151"/>
        <v>4.7864825131289678E-6</v>
      </c>
      <c r="H1388" s="34">
        <f t="shared" si="152"/>
        <v>3.6727924067098154E-3</v>
      </c>
      <c r="I1388" s="36">
        <f t="shared" si="154"/>
        <v>1.7579756629069388E-8</v>
      </c>
    </row>
    <row r="1389" spans="2:9" x14ac:dyDescent="0.35">
      <c r="B1389" s="16">
        <f t="shared" si="155"/>
        <v>114.99999999999783</v>
      </c>
      <c r="C1389" s="17">
        <f t="shared" si="153"/>
        <v>114.99999999999783</v>
      </c>
      <c r="D1389" s="1" cm="1">
        <f t="array" ref="D1389">_xlfn.XLOOKUP(_xlfn.FLOOR.MATH(C1389),'Mortality Tables'!$B$4:$B$124,_xlfn.XLOOKUP(mortality_table,'Mortality Tables'!$B$3:$G$3,'Mortality Tables'!$B$4:$G$124,0,0),0,0)</f>
        <v>0.70844200000000002</v>
      </c>
      <c r="E1389" s="1">
        <f t="shared" si="149"/>
        <v>5.903683333333333E-2</v>
      </c>
      <c r="F1389" s="1">
        <f t="shared" si="150"/>
        <v>0.94096316666666668</v>
      </c>
      <c r="G1389" s="1">
        <f t="shared" si="151"/>
        <v>4.5039037427484582E-6</v>
      </c>
      <c r="H1389" s="34">
        <f t="shared" si="152"/>
        <v>3.6578897112392941E-3</v>
      </c>
      <c r="I1389" s="36">
        <f t="shared" si="154"/>
        <v>1.6474783161011733E-8</v>
      </c>
    </row>
    <row r="1390" spans="2:9" x14ac:dyDescent="0.35">
      <c r="B1390" s="16">
        <f t="shared" si="155"/>
        <v>115.08333333333115</v>
      </c>
      <c r="C1390" s="17">
        <f t="shared" si="153"/>
        <v>115.08333333333115</v>
      </c>
      <c r="D1390" s="1" cm="1">
        <f t="array" ref="D1390">_xlfn.XLOOKUP(_xlfn.FLOOR.MATH(C1390),'Mortality Tables'!$B$4:$B$124,_xlfn.XLOOKUP(mortality_table,'Mortality Tables'!$B$3:$G$3,'Mortality Tables'!$B$4:$G$124,0,0),0,0)</f>
        <v>0.73204199999999997</v>
      </c>
      <c r="E1390" s="1">
        <f t="shared" si="149"/>
        <v>6.1003499999999995E-2</v>
      </c>
      <c r="F1390" s="1">
        <f t="shared" si="150"/>
        <v>0.93899650000000001</v>
      </c>
      <c r="G1390" s="1">
        <f t="shared" si="151"/>
        <v>4.2380075281384417E-6</v>
      </c>
      <c r="H1390" s="34">
        <f t="shared" si="152"/>
        <v>3.6430474848363628E-3</v>
      </c>
      <c r="I1390" s="36">
        <f t="shared" si="154"/>
        <v>1.543926266610232E-8</v>
      </c>
    </row>
    <row r="1391" spans="2:9" x14ac:dyDescent="0.35">
      <c r="B1391" s="16">
        <f t="shared" si="155"/>
        <v>115.16666666666448</v>
      </c>
      <c r="C1391" s="17">
        <f t="shared" si="153"/>
        <v>115.16666666666448</v>
      </c>
      <c r="D1391" s="1" cm="1">
        <f t="array" ref="D1391">_xlfn.XLOOKUP(_xlfn.FLOOR.MATH(C1391),'Mortality Tables'!$B$4:$B$124,_xlfn.XLOOKUP(mortality_table,'Mortality Tables'!$B$3:$G$3,'Mortality Tables'!$B$4:$G$124,0,0),0,0)</f>
        <v>0.73204199999999997</v>
      </c>
      <c r="E1391" s="1">
        <f t="shared" si="149"/>
        <v>6.1003499999999995E-2</v>
      </c>
      <c r="F1391" s="1">
        <f t="shared" si="150"/>
        <v>0.93899650000000001</v>
      </c>
      <c r="G1391" s="1">
        <f t="shared" si="151"/>
        <v>3.979474235895648E-6</v>
      </c>
      <c r="H1391" s="34">
        <f t="shared" si="152"/>
        <v>3.6282654821421789E-3</v>
      </c>
      <c r="I1391" s="36">
        <f t="shared" si="154"/>
        <v>1.4438589007174302E-8</v>
      </c>
    </row>
    <row r="1392" spans="2:9" x14ac:dyDescent="0.35">
      <c r="B1392" s="16">
        <f t="shared" si="155"/>
        <v>115.24999999999781</v>
      </c>
      <c r="C1392" s="17">
        <f t="shared" si="153"/>
        <v>115.24999999999781</v>
      </c>
      <c r="D1392" s="1" cm="1">
        <f t="array" ref="D1392">_xlfn.XLOOKUP(_xlfn.FLOOR.MATH(C1392),'Mortality Tables'!$B$4:$B$124,_xlfn.XLOOKUP(mortality_table,'Mortality Tables'!$B$3:$G$3,'Mortality Tables'!$B$4:$G$124,0,0),0,0)</f>
        <v>0.73204199999999997</v>
      </c>
      <c r="E1392" s="1">
        <f t="shared" si="149"/>
        <v>6.1003499999999995E-2</v>
      </c>
      <c r="F1392" s="1">
        <f t="shared" si="150"/>
        <v>0.93899650000000001</v>
      </c>
      <c r="G1392" s="1">
        <f t="shared" si="151"/>
        <v>3.7367123793461877E-6</v>
      </c>
      <c r="H1392" s="34">
        <f t="shared" si="152"/>
        <v>3.6135434587934623E-3</v>
      </c>
      <c r="I1392" s="36">
        <f t="shared" si="154"/>
        <v>1.3502772575778971E-8</v>
      </c>
    </row>
    <row r="1393" spans="2:9" x14ac:dyDescent="0.35">
      <c r="B1393" s="16">
        <f t="shared" si="155"/>
        <v>115.33333333333114</v>
      </c>
      <c r="C1393" s="17">
        <f t="shared" si="153"/>
        <v>115.33333333333114</v>
      </c>
      <c r="D1393" s="1" cm="1">
        <f t="array" ref="D1393">_xlfn.XLOOKUP(_xlfn.FLOOR.MATH(C1393),'Mortality Tables'!$B$4:$B$124,_xlfn.XLOOKUP(mortality_table,'Mortality Tables'!$B$3:$G$3,'Mortality Tables'!$B$4:$G$124,0,0),0,0)</f>
        <v>0.73204199999999997</v>
      </c>
      <c r="E1393" s="1">
        <f t="shared" si="149"/>
        <v>6.1003499999999995E-2</v>
      </c>
      <c r="F1393" s="1">
        <f t="shared" si="150"/>
        <v>0.93899650000000001</v>
      </c>
      <c r="G1393" s="1">
        <f t="shared" si="151"/>
        <v>3.5087598457127428E-6</v>
      </c>
      <c r="H1393" s="34">
        <f t="shared" si="152"/>
        <v>3.5988811714184636E-3</v>
      </c>
      <c r="I1393" s="36">
        <f t="shared" si="154"/>
        <v>1.2627609743764743E-8</v>
      </c>
    </row>
    <row r="1394" spans="2:9" x14ac:dyDescent="0.35">
      <c r="B1394" s="16">
        <f t="shared" si="155"/>
        <v>115.41666666666447</v>
      </c>
      <c r="C1394" s="17">
        <f t="shared" si="153"/>
        <v>115.41666666666447</v>
      </c>
      <c r="D1394" s="1" cm="1">
        <f t="array" ref="D1394">_xlfn.XLOOKUP(_xlfn.FLOOR.MATH(C1394),'Mortality Tables'!$B$4:$B$124,_xlfn.XLOOKUP(mortality_table,'Mortality Tables'!$B$3:$G$3,'Mortality Tables'!$B$4:$G$124,0,0),0,0)</f>
        <v>0.73204199999999997</v>
      </c>
      <c r="E1394" s="1">
        <f t="shared" si="149"/>
        <v>6.1003499999999995E-2</v>
      </c>
      <c r="F1394" s="1">
        <f t="shared" si="150"/>
        <v>0.93899650000000001</v>
      </c>
      <c r="G1394" s="1">
        <f t="shared" si="151"/>
        <v>3.2947132144648054E-6</v>
      </c>
      <c r="H1394" s="34">
        <f t="shared" si="152"/>
        <v>3.5842783776329308E-3</v>
      </c>
      <c r="I1394" s="36">
        <f t="shared" si="154"/>
        <v>1.180916933510769E-8</v>
      </c>
    </row>
    <row r="1395" spans="2:9" x14ac:dyDescent="0.35">
      <c r="B1395" s="16">
        <f t="shared" si="155"/>
        <v>115.4999999999978</v>
      </c>
      <c r="C1395" s="17">
        <f t="shared" si="153"/>
        <v>115.4999999999978</v>
      </c>
      <c r="D1395" s="1" cm="1">
        <f t="array" ref="D1395">_xlfn.XLOOKUP(_xlfn.FLOOR.MATH(C1395),'Mortality Tables'!$B$4:$B$124,_xlfn.XLOOKUP(mortality_table,'Mortality Tables'!$B$3:$G$3,'Mortality Tables'!$B$4:$G$124,0,0),0,0)</f>
        <v>0.73204199999999997</v>
      </c>
      <c r="E1395" s="1">
        <f t="shared" si="149"/>
        <v>6.1003499999999995E-2</v>
      </c>
      <c r="F1395" s="1">
        <f t="shared" si="150"/>
        <v>0.93899650000000001</v>
      </c>
      <c r="G1395" s="1">
        <f t="shared" si="151"/>
        <v>3.0937241768862016E-6</v>
      </c>
      <c r="H1395" s="34">
        <f t="shared" si="152"/>
        <v>3.5697348360361194E-3</v>
      </c>
      <c r="I1395" s="36">
        <f t="shared" si="154"/>
        <v>1.1043774967317843E-8</v>
      </c>
    </row>
    <row r="1396" spans="2:9" x14ac:dyDescent="0.35">
      <c r="B1396" s="16">
        <f t="shared" si="155"/>
        <v>115.58333333333113</v>
      </c>
      <c r="C1396" s="17">
        <f t="shared" si="153"/>
        <v>115.58333333333113</v>
      </c>
      <c r="D1396" s="1" cm="1">
        <f t="array" ref="D1396">_xlfn.XLOOKUP(_xlfn.FLOOR.MATH(C1396),'Mortality Tables'!$B$4:$B$124,_xlfn.XLOOKUP(mortality_table,'Mortality Tables'!$B$3:$G$3,'Mortality Tables'!$B$4:$G$124,0,0),0,0)</f>
        <v>0.73204199999999997</v>
      </c>
      <c r="E1396" s="1">
        <f t="shared" si="149"/>
        <v>6.1003499999999995E-2</v>
      </c>
      <c r="F1396" s="1">
        <f t="shared" si="150"/>
        <v>0.93899650000000001</v>
      </c>
      <c r="G1396" s="1">
        <f t="shared" si="151"/>
        <v>2.9049961740615243E-6</v>
      </c>
      <c r="H1396" s="34">
        <f t="shared" si="152"/>
        <v>3.5552503062067802E-3</v>
      </c>
      <c r="I1396" s="36">
        <f t="shared" si="154"/>
        <v>1.0327988537361759E-8</v>
      </c>
    </row>
    <row r="1397" spans="2:9" x14ac:dyDescent="0.35">
      <c r="B1397" s="16">
        <f t="shared" si="155"/>
        <v>115.66666666666445</v>
      </c>
      <c r="C1397" s="17">
        <f t="shared" si="153"/>
        <v>115.66666666666445</v>
      </c>
      <c r="D1397" s="1" cm="1">
        <f t="array" ref="D1397">_xlfn.XLOOKUP(_xlfn.FLOOR.MATH(C1397),'Mortality Tables'!$B$4:$B$124,_xlfn.XLOOKUP(mortality_table,'Mortality Tables'!$B$3:$G$3,'Mortality Tables'!$B$4:$G$124,0,0),0,0)</f>
        <v>0.73204199999999997</v>
      </c>
      <c r="E1397" s="1">
        <f t="shared" si="149"/>
        <v>6.1003499999999995E-2</v>
      </c>
      <c r="F1397" s="1">
        <f t="shared" si="150"/>
        <v>0.93899650000000001</v>
      </c>
      <c r="G1397" s="1">
        <f t="shared" si="151"/>
        <v>2.7277812399571622E-6</v>
      </c>
      <c r="H1397" s="34">
        <f t="shared" si="152"/>
        <v>3.5408245486992004E-3</v>
      </c>
      <c r="I1397" s="36">
        <f t="shared" si="154"/>
        <v>9.6585947779214647E-9</v>
      </c>
    </row>
    <row r="1398" spans="2:9" x14ac:dyDescent="0.35">
      <c r="B1398" s="16">
        <f t="shared" si="155"/>
        <v>115.74999999999778</v>
      </c>
      <c r="C1398" s="17">
        <f t="shared" si="153"/>
        <v>115.74999999999778</v>
      </c>
      <c r="D1398" s="1" cm="1">
        <f t="array" ref="D1398">_xlfn.XLOOKUP(_xlfn.FLOOR.MATH(C1398),'Mortality Tables'!$B$4:$B$124,_xlfn.XLOOKUP(mortality_table,'Mortality Tables'!$B$3:$G$3,'Mortality Tables'!$B$4:$G$124,0,0),0,0)</f>
        <v>0.73204199999999997</v>
      </c>
      <c r="E1398" s="1">
        <f t="shared" si="149"/>
        <v>6.1003499999999995E-2</v>
      </c>
      <c r="F1398" s="1">
        <f t="shared" si="150"/>
        <v>0.93899650000000001</v>
      </c>
      <c r="G1398" s="1">
        <f t="shared" si="151"/>
        <v>2.5613770370854353E-6</v>
      </c>
      <c r="H1398" s="34">
        <f t="shared" si="152"/>
        <v>3.5264573250392379E-3</v>
      </c>
      <c r="I1398" s="36">
        <f t="shared" si="154"/>
        <v>9.0325868146172339E-9</v>
      </c>
    </row>
    <row r="1399" spans="2:9" x14ac:dyDescent="0.35">
      <c r="B1399" s="16">
        <f t="shared" si="155"/>
        <v>115.83333333333111</v>
      </c>
      <c r="C1399" s="17">
        <f t="shared" si="153"/>
        <v>115.83333333333111</v>
      </c>
      <c r="D1399" s="1" cm="1">
        <f t="array" ref="D1399">_xlfn.XLOOKUP(_xlfn.FLOOR.MATH(C1399),'Mortality Tables'!$B$4:$B$124,_xlfn.XLOOKUP(mortality_table,'Mortality Tables'!$B$3:$G$3,'Mortality Tables'!$B$4:$G$124,0,0),0,0)</f>
        <v>0.73204199999999997</v>
      </c>
      <c r="E1399" s="1">
        <f t="shared" si="149"/>
        <v>6.1003499999999995E-2</v>
      </c>
      <c r="F1399" s="1">
        <f t="shared" si="150"/>
        <v>0.93899650000000001</v>
      </c>
      <c r="G1399" s="1">
        <f t="shared" si="151"/>
        <v>2.405124073003594E-6</v>
      </c>
      <c r="H1399" s="34">
        <f t="shared" si="152"/>
        <v>3.5121483977203841E-3</v>
      </c>
      <c r="I1399" s="36">
        <f t="shared" si="154"/>
        <v>8.4471526593182965E-9</v>
      </c>
    </row>
    <row r="1400" spans="2:9" x14ac:dyDescent="0.35">
      <c r="B1400" s="16">
        <f t="shared" si="155"/>
        <v>115.91666666666444</v>
      </c>
      <c r="C1400" s="17">
        <f t="shared" si="153"/>
        <v>115.91666666666444</v>
      </c>
      <c r="D1400" s="1" cm="1">
        <f t="array" ref="D1400">_xlfn.XLOOKUP(_xlfn.FLOOR.MATH(C1400),'Mortality Tables'!$B$4:$B$124,_xlfn.XLOOKUP(mortality_table,'Mortality Tables'!$B$3:$G$3,'Mortality Tables'!$B$4:$G$124,0,0),0,0)</f>
        <v>0.73204199999999997</v>
      </c>
      <c r="E1400" s="1">
        <f t="shared" si="149"/>
        <v>6.1003499999999995E-2</v>
      </c>
      <c r="F1400" s="1">
        <f t="shared" si="150"/>
        <v>0.93899650000000001</v>
      </c>
      <c r="G1400" s="1">
        <f t="shared" si="151"/>
        <v>2.2584030866161193E-6</v>
      </c>
      <c r="H1400" s="34">
        <f t="shared" si="152"/>
        <v>3.4978975301998331E-3</v>
      </c>
      <c r="I1400" s="36">
        <f t="shared" si="154"/>
        <v>7.8996625788702035E-9</v>
      </c>
    </row>
    <row r="1401" spans="2:9" x14ac:dyDescent="0.35">
      <c r="B1401" s="16">
        <f t="shared" si="155"/>
        <v>115.99999999999777</v>
      </c>
      <c r="C1401" s="17">
        <f t="shared" si="153"/>
        <v>115.99999999999777</v>
      </c>
      <c r="D1401" s="1" cm="1">
        <f t="array" ref="D1401">_xlfn.XLOOKUP(_xlfn.FLOOR.MATH(C1401),'Mortality Tables'!$B$4:$B$124,_xlfn.XLOOKUP(mortality_table,'Mortality Tables'!$B$3:$G$3,'Mortality Tables'!$B$4:$G$124,0,0),0,0)</f>
        <v>0.73204199999999997</v>
      </c>
      <c r="E1401" s="1">
        <f t="shared" si="149"/>
        <v>6.1003499999999995E-2</v>
      </c>
      <c r="F1401" s="1">
        <f t="shared" si="150"/>
        <v>0.93899650000000001</v>
      </c>
      <c r="G1401" s="1">
        <f t="shared" si="151"/>
        <v>2.1206325939217328E-6</v>
      </c>
      <c r="H1401" s="34">
        <f t="shared" si="152"/>
        <v>3.4837044868945744E-3</v>
      </c>
      <c r="I1401" s="36">
        <f t="shared" si="154"/>
        <v>7.3876572825000202E-9</v>
      </c>
    </row>
    <row r="1402" spans="2:9" x14ac:dyDescent="0.35">
      <c r="B1402" s="16">
        <f t="shared" si="155"/>
        <v>116.0833333333311</v>
      </c>
      <c r="C1402" s="17">
        <f t="shared" si="153"/>
        <v>116.0833333333311</v>
      </c>
      <c r="D1402" s="1" cm="1">
        <f t="array" ref="D1402">_xlfn.XLOOKUP(_xlfn.FLOOR.MATH(C1402),'Mortality Tables'!$B$4:$B$124,_xlfn.XLOOKUP(mortality_table,'Mortality Tables'!$B$3:$G$3,'Mortality Tables'!$B$4:$G$124,0,0),0,0)</f>
        <v>0.75480899999999995</v>
      </c>
      <c r="E1402" s="1">
        <f t="shared" si="149"/>
        <v>6.2900749999999991E-2</v>
      </c>
      <c r="F1402" s="1">
        <f t="shared" si="150"/>
        <v>0.93709925000000005</v>
      </c>
      <c r="G1402" s="1">
        <f t="shared" si="151"/>
        <v>1.9912665834784283E-6</v>
      </c>
      <c r="H1402" s="34">
        <f t="shared" si="152"/>
        <v>3.4695690331774972E-3</v>
      </c>
      <c r="I1402" s="36">
        <f t="shared" si="154"/>
        <v>6.9088368748379087E-9</v>
      </c>
    </row>
    <row r="1403" spans="2:9" x14ac:dyDescent="0.35">
      <c r="B1403" s="16">
        <f t="shared" si="155"/>
        <v>116.16666666666443</v>
      </c>
      <c r="C1403" s="17">
        <f t="shared" si="153"/>
        <v>116.16666666666443</v>
      </c>
      <c r="D1403" s="1" cm="1">
        <f t="array" ref="D1403">_xlfn.XLOOKUP(_xlfn.FLOOR.MATH(C1403),'Mortality Tables'!$B$4:$B$124,_xlfn.XLOOKUP(mortality_table,'Mortality Tables'!$B$3:$G$3,'Mortality Tables'!$B$4:$G$124,0,0),0,0)</f>
        <v>0.75480899999999995</v>
      </c>
      <c r="E1403" s="1">
        <f t="shared" si="149"/>
        <v>6.2900749999999991E-2</v>
      </c>
      <c r="F1403" s="1">
        <f t="shared" si="150"/>
        <v>0.93709925000000005</v>
      </c>
      <c r="G1403" s="1">
        <f t="shared" si="151"/>
        <v>1.8660144219276977E-6</v>
      </c>
      <c r="H1403" s="34">
        <f t="shared" si="152"/>
        <v>3.455490935373512E-3</v>
      </c>
      <c r="I1403" s="36">
        <f t="shared" si="154"/>
        <v>6.4479959202474032E-9</v>
      </c>
    </row>
    <row r="1404" spans="2:9" x14ac:dyDescent="0.35">
      <c r="B1404" s="16">
        <f t="shared" si="155"/>
        <v>116.24999999999775</v>
      </c>
      <c r="C1404" s="17">
        <f t="shared" si="153"/>
        <v>116.24999999999775</v>
      </c>
      <c r="D1404" s="1" cm="1">
        <f t="array" ref="D1404">_xlfn.XLOOKUP(_xlfn.FLOOR.MATH(C1404),'Mortality Tables'!$B$4:$B$124,_xlfn.XLOOKUP(mortality_table,'Mortality Tables'!$B$3:$G$3,'Mortality Tables'!$B$4:$G$124,0,0),0,0)</f>
        <v>0.75480899999999995</v>
      </c>
      <c r="E1404" s="1">
        <f t="shared" si="149"/>
        <v>6.2900749999999991E-2</v>
      </c>
      <c r="F1404" s="1">
        <f t="shared" si="150"/>
        <v>0.93709925000000005</v>
      </c>
      <c r="G1404" s="1">
        <f t="shared" si="151"/>
        <v>1.7486407152776291E-6</v>
      </c>
      <c r="H1404" s="34">
        <f t="shared" si="152"/>
        <v>3.4414699607556872E-3</v>
      </c>
      <c r="I1404" s="36">
        <f t="shared" si="154"/>
        <v>6.0178944937822992E-9</v>
      </c>
    </row>
    <row r="1405" spans="2:9" x14ac:dyDescent="0.35">
      <c r="B1405" s="16">
        <f t="shared" si="155"/>
        <v>116.33333333333108</v>
      </c>
      <c r="C1405" s="17">
        <f t="shared" si="153"/>
        <v>116.33333333333108</v>
      </c>
      <c r="D1405" s="1" cm="1">
        <f t="array" ref="D1405">_xlfn.XLOOKUP(_xlfn.FLOOR.MATH(C1405),'Mortality Tables'!$B$4:$B$124,_xlfn.XLOOKUP(mortality_table,'Mortality Tables'!$B$3:$G$3,'Mortality Tables'!$B$4:$G$124,0,0),0,0)</f>
        <v>0.75480899999999995</v>
      </c>
      <c r="E1405" s="1">
        <f t="shared" si="149"/>
        <v>6.2900749999999991E-2</v>
      </c>
      <c r="F1405" s="1">
        <f t="shared" si="150"/>
        <v>0.93709925000000005</v>
      </c>
      <c r="G1405" s="1">
        <f t="shared" si="151"/>
        <v>1.6386499028061298E-6</v>
      </c>
      <c r="H1405" s="34">
        <f t="shared" si="152"/>
        <v>3.4275058775414024E-3</v>
      </c>
      <c r="I1405" s="36">
        <f t="shared" si="154"/>
        <v>5.6164821731006575E-9</v>
      </c>
    </row>
    <row r="1406" spans="2:9" x14ac:dyDescent="0.35">
      <c r="B1406" s="16">
        <f t="shared" si="155"/>
        <v>116.41666666666441</v>
      </c>
      <c r="C1406" s="17">
        <f t="shared" si="153"/>
        <v>116.41666666666441</v>
      </c>
      <c r="D1406" s="1" cm="1">
        <f t="array" ref="D1406">_xlfn.XLOOKUP(_xlfn.FLOOR.MATH(C1406),'Mortality Tables'!$B$4:$B$124,_xlfn.XLOOKUP(mortality_table,'Mortality Tables'!$B$3:$G$3,'Mortality Tables'!$B$4:$G$124,0,0),0,0)</f>
        <v>0.75480899999999995</v>
      </c>
      <c r="E1406" s="1">
        <f t="shared" si="149"/>
        <v>6.2900749999999991E-2</v>
      </c>
      <c r="F1406" s="1">
        <f t="shared" si="150"/>
        <v>0.93709925000000005</v>
      </c>
      <c r="G1406" s="1">
        <f t="shared" si="151"/>
        <v>1.5355775949321972E-6</v>
      </c>
      <c r="H1406" s="34">
        <f t="shared" si="152"/>
        <v>3.4135984548885169E-3</v>
      </c>
      <c r="I1406" s="36">
        <f t="shared" si="154"/>
        <v>5.2418453054219731E-9</v>
      </c>
    </row>
    <row r="1407" spans="2:9" x14ac:dyDescent="0.35">
      <c r="B1407" s="16">
        <f t="shared" si="155"/>
        <v>116.49999999999774</v>
      </c>
      <c r="C1407" s="17">
        <f t="shared" si="153"/>
        <v>116.49999999999774</v>
      </c>
      <c r="D1407" s="1" cm="1">
        <f t="array" ref="D1407">_xlfn.XLOOKUP(_xlfn.FLOOR.MATH(C1407),'Mortality Tables'!$B$4:$B$124,_xlfn.XLOOKUP(mortality_table,'Mortality Tables'!$B$3:$G$3,'Mortality Tables'!$B$4:$G$124,0,0),0,0)</f>
        <v>0.75480899999999995</v>
      </c>
      <c r="E1407" s="1">
        <f t="shared" si="149"/>
        <v>6.2900749999999991E-2</v>
      </c>
      <c r="F1407" s="1">
        <f t="shared" si="150"/>
        <v>0.93709925000000005</v>
      </c>
      <c r="G1407" s="1">
        <f t="shared" si="151"/>
        <v>1.438988612527766E-6</v>
      </c>
      <c r="H1407" s="34">
        <f t="shared" si="152"/>
        <v>3.3997474628915535E-3</v>
      </c>
      <c r="I1407" s="36">
        <f t="shared" si="154"/>
        <v>4.892197884571109E-9</v>
      </c>
    </row>
    <row r="1408" spans="2:9" x14ac:dyDescent="0.35">
      <c r="B1408" s="16">
        <f t="shared" si="155"/>
        <v>116.58333333333107</v>
      </c>
      <c r="C1408" s="17">
        <f t="shared" si="153"/>
        <v>116.58333333333107</v>
      </c>
      <c r="D1408" s="1" cm="1">
        <f t="array" ref="D1408">_xlfn.XLOOKUP(_xlfn.FLOOR.MATH(C1408),'Mortality Tables'!$B$4:$B$124,_xlfn.XLOOKUP(mortality_table,'Mortality Tables'!$B$3:$G$3,'Mortality Tables'!$B$4:$G$124,0,0),0,0)</f>
        <v>0.75480899999999995</v>
      </c>
      <c r="E1408" s="1">
        <f t="shared" si="149"/>
        <v>6.2900749999999991E-2</v>
      </c>
      <c r="F1408" s="1">
        <f t="shared" si="150"/>
        <v>0.93709925000000005</v>
      </c>
      <c r="G1408" s="1">
        <f t="shared" si="151"/>
        <v>1.3484751495583102E-6</v>
      </c>
      <c r="H1408" s="34">
        <f t="shared" si="152"/>
        <v>3.3859526725778973E-3</v>
      </c>
      <c r="I1408" s="36">
        <f t="shared" si="154"/>
        <v>4.5658730365518401E-9</v>
      </c>
    </row>
    <row r="1409" spans="2:9" x14ac:dyDescent="0.35">
      <c r="B1409" s="16">
        <f t="shared" si="155"/>
        <v>116.6666666666644</v>
      </c>
      <c r="C1409" s="17">
        <f t="shared" si="153"/>
        <v>116.6666666666644</v>
      </c>
      <c r="D1409" s="1" cm="1">
        <f t="array" ref="D1409">_xlfn.XLOOKUP(_xlfn.FLOOR.MATH(C1409),'Mortality Tables'!$B$4:$B$124,_xlfn.XLOOKUP(mortality_table,'Mortality Tables'!$B$3:$G$3,'Mortality Tables'!$B$4:$G$124,0,0),0,0)</f>
        <v>0.75480899999999995</v>
      </c>
      <c r="E1409" s="1">
        <f t="shared" si="149"/>
        <v>6.2900749999999991E-2</v>
      </c>
      <c r="F1409" s="1">
        <f t="shared" si="150"/>
        <v>0.93709925000000005</v>
      </c>
      <c r="G1409" s="1">
        <f t="shared" si="151"/>
        <v>1.2636550512947304E-6</v>
      </c>
      <c r="H1409" s="34">
        <f t="shared" si="152"/>
        <v>3.3722138559040115E-3</v>
      </c>
      <c r="I1409" s="36">
        <f t="shared" si="154"/>
        <v>4.2613150730591845E-9</v>
      </c>
    </row>
    <row r="1410" spans="2:9" x14ac:dyDescent="0.35">
      <c r="B1410" s="16">
        <f t="shared" si="155"/>
        <v>116.74999999999773</v>
      </c>
      <c r="C1410" s="17">
        <f t="shared" si="153"/>
        <v>116.74999999999773</v>
      </c>
      <c r="D1410" s="1" cm="1">
        <f t="array" ref="D1410">_xlfn.XLOOKUP(_xlfn.FLOOR.MATH(C1410),'Mortality Tables'!$B$4:$B$124,_xlfn.XLOOKUP(mortality_table,'Mortality Tables'!$B$3:$G$3,'Mortality Tables'!$B$4:$G$124,0,0),0,0)</f>
        <v>0.75480899999999995</v>
      </c>
      <c r="E1410" s="1">
        <f t="shared" ref="E1410:E1449" si="156">$F$5*D1410</f>
        <v>6.2900749999999991E-2</v>
      </c>
      <c r="F1410" s="1">
        <f t="shared" ref="F1410:F1449" si="157">1-E1410</f>
        <v>0.93709925000000005</v>
      </c>
      <c r="G1410" s="1">
        <f t="shared" ref="G1410:G1449" si="158">G1409*F1409</f>
        <v>1.1841702008270035E-6</v>
      </c>
      <c r="H1410" s="34">
        <f t="shared" ref="H1410:H1449" si="159">(1+interest_rate)^-(B1410)</f>
        <v>3.3585307857516636E-3</v>
      </c>
      <c r="I1410" s="36">
        <f t="shared" si="154"/>
        <v>3.9770720750472213E-9</v>
      </c>
    </row>
    <row r="1411" spans="2:9" x14ac:dyDescent="0.35">
      <c r="B1411" s="16">
        <f t="shared" si="155"/>
        <v>116.83333333333105</v>
      </c>
      <c r="C1411" s="17">
        <f t="shared" si="153"/>
        <v>116.83333333333105</v>
      </c>
      <c r="D1411" s="1" cm="1">
        <f t="array" ref="D1411">_xlfn.XLOOKUP(_xlfn.FLOOR.MATH(C1411),'Mortality Tables'!$B$4:$B$124,_xlfn.XLOOKUP(mortality_table,'Mortality Tables'!$B$3:$G$3,'Mortality Tables'!$B$4:$G$124,0,0),0,0)</f>
        <v>0.75480899999999995</v>
      </c>
      <c r="E1411" s="1">
        <f t="shared" si="156"/>
        <v>6.2900749999999991E-2</v>
      </c>
      <c r="F1411" s="1">
        <f t="shared" si="157"/>
        <v>0.93709925000000005</v>
      </c>
      <c r="G1411" s="1">
        <f t="shared" si="158"/>
        <v>1.1096850070673343E-6</v>
      </c>
      <c r="H1411" s="34">
        <f t="shared" si="159"/>
        <v>3.3449032359241832E-3</v>
      </c>
      <c r="I1411" s="36">
        <f t="shared" si="154"/>
        <v>3.7117889709960766E-9</v>
      </c>
    </row>
    <row r="1412" spans="2:9" x14ac:dyDescent="0.35">
      <c r="B1412" s="16">
        <f t="shared" si="155"/>
        <v>116.91666666666438</v>
      </c>
      <c r="C1412" s="17">
        <f t="shared" si="153"/>
        <v>116.91666666666438</v>
      </c>
      <c r="D1412" s="1" cm="1">
        <f t="array" ref="D1412">_xlfn.XLOOKUP(_xlfn.FLOOR.MATH(C1412),'Mortality Tables'!$B$4:$B$124,_xlfn.XLOOKUP(mortality_table,'Mortality Tables'!$B$3:$G$3,'Mortality Tables'!$B$4:$G$124,0,0),0,0)</f>
        <v>0.75480899999999995</v>
      </c>
      <c r="E1412" s="1">
        <f t="shared" si="156"/>
        <v>6.2900749999999991E-2</v>
      </c>
      <c r="F1412" s="1">
        <f t="shared" si="157"/>
        <v>0.93709925000000005</v>
      </c>
      <c r="G1412" s="1">
        <f t="shared" si="158"/>
        <v>1.0398849878590437E-6</v>
      </c>
      <c r="H1412" s="34">
        <f t="shared" si="159"/>
        <v>3.331330981142707E-3</v>
      </c>
      <c r="I1412" s="36">
        <f t="shared" si="154"/>
        <v>3.4642010768800401E-9</v>
      </c>
    </row>
    <row r="1413" spans="2:9" x14ac:dyDescent="0.35">
      <c r="B1413" s="16">
        <f t="shared" si="155"/>
        <v>116.99999999999771</v>
      </c>
      <c r="C1413" s="17">
        <f t="shared" si="153"/>
        <v>116.99999999999771</v>
      </c>
      <c r="D1413" s="1" cm="1">
        <f t="array" ref="D1413">_xlfn.XLOOKUP(_xlfn.FLOOR.MATH(C1413),'Mortality Tables'!$B$4:$B$124,_xlfn.XLOOKUP(mortality_table,'Mortality Tables'!$B$3:$G$3,'Mortality Tables'!$B$4:$G$124,0,0),0,0)</f>
        <v>0.75480899999999995</v>
      </c>
      <c r="E1413" s="1">
        <f t="shared" si="156"/>
        <v>6.2900749999999991E-2</v>
      </c>
      <c r="F1413" s="1">
        <f t="shared" si="157"/>
        <v>0.93709925000000005</v>
      </c>
      <c r="G1413" s="1">
        <f t="shared" si="158"/>
        <v>9.7447544220896897E-7</v>
      </c>
      <c r="H1413" s="34">
        <f t="shared" si="159"/>
        <v>3.3178137970424604E-3</v>
      </c>
      <c r="I1413" s="36">
        <f t="shared" si="154"/>
        <v>3.23312806703997E-9</v>
      </c>
    </row>
    <row r="1414" spans="2:9" x14ac:dyDescent="0.35">
      <c r="B1414" s="16">
        <f t="shared" si="155"/>
        <v>117.08333333333104</v>
      </c>
      <c r="C1414" s="17">
        <f t="shared" si="153"/>
        <v>117.08333333333104</v>
      </c>
      <c r="D1414" s="1" cm="1">
        <f t="array" ref="D1414">_xlfn.XLOOKUP(_xlfn.FLOOR.MATH(C1414),'Mortality Tables'!$B$4:$B$124,_xlfn.XLOOKUP(mortality_table,'Mortality Tables'!$B$3:$G$3,'Mortality Tables'!$B$4:$G$124,0,0),0,0)</f>
        <v>0.77664800000000001</v>
      </c>
      <c r="E1414" s="1">
        <f t="shared" si="156"/>
        <v>6.4720666666666662E-2</v>
      </c>
      <c r="F1414" s="1">
        <f t="shared" si="157"/>
        <v>0.93527933333333335</v>
      </c>
      <c r="G1414" s="1">
        <f t="shared" si="158"/>
        <v>9.1318020603744318E-7</v>
      </c>
      <c r="H1414" s="34">
        <f t="shared" si="159"/>
        <v>3.3043514601690535E-3</v>
      </c>
      <c r="I1414" s="36">
        <f t="shared" si="154"/>
        <v>3.0174683472173026E-9</v>
      </c>
    </row>
    <row r="1415" spans="2:9" x14ac:dyDescent="0.35">
      <c r="B1415" s="16">
        <f t="shared" si="155"/>
        <v>117.16666666666437</v>
      </c>
      <c r="C1415" s="17">
        <f t="shared" si="153"/>
        <v>117.16666666666437</v>
      </c>
      <c r="D1415" s="1" cm="1">
        <f t="array" ref="D1415">_xlfn.XLOOKUP(_xlfn.FLOOR.MATH(C1415),'Mortality Tables'!$B$4:$B$124,_xlfn.XLOOKUP(mortality_table,'Mortality Tables'!$B$3:$G$3,'Mortality Tables'!$B$4:$G$124,0,0),0,0)</f>
        <v>0.77664800000000001</v>
      </c>
      <c r="E1415" s="1">
        <f t="shared" si="156"/>
        <v>6.4720666666666662E-2</v>
      </c>
      <c r="F1415" s="1">
        <f t="shared" si="157"/>
        <v>0.93527933333333335</v>
      </c>
      <c r="G1415" s="1">
        <f t="shared" si="158"/>
        <v>8.5407857431589585E-7</v>
      </c>
      <c r="H1415" s="34">
        <f t="shared" si="159"/>
        <v>3.2909437479747817E-3</v>
      </c>
      <c r="I1415" s="36">
        <f t="shared" si="154"/>
        <v>2.8107245444241126E-9</v>
      </c>
    </row>
    <row r="1416" spans="2:9" x14ac:dyDescent="0.35">
      <c r="B1416" s="16">
        <f t="shared" si="155"/>
        <v>117.2499999999977</v>
      </c>
      <c r="C1416" s="17">
        <f t="shared" si="153"/>
        <v>117.2499999999977</v>
      </c>
      <c r="D1416" s="1" cm="1">
        <f t="array" ref="D1416">_xlfn.XLOOKUP(_xlfn.FLOOR.MATH(C1416),'Mortality Tables'!$B$4:$B$124,_xlfn.XLOOKUP(mortality_table,'Mortality Tables'!$B$3:$G$3,'Mortality Tables'!$B$4:$G$124,0,0),0,0)</f>
        <v>0.77664800000000001</v>
      </c>
      <c r="E1416" s="1">
        <f t="shared" si="156"/>
        <v>6.4720666666666662E-2</v>
      </c>
      <c r="F1416" s="1">
        <f t="shared" si="157"/>
        <v>0.93527933333333335</v>
      </c>
      <c r="G1416" s="1">
        <f t="shared" si="158"/>
        <v>7.9880203960045484E-7</v>
      </c>
      <c r="H1416" s="34">
        <f t="shared" si="159"/>
        <v>3.2775904388149483E-3</v>
      </c>
      <c r="I1416" s="36">
        <f t="shared" si="154"/>
        <v>2.6181459275003305E-9</v>
      </c>
    </row>
    <row r="1417" spans="2:9" x14ac:dyDescent="0.35">
      <c r="B1417" s="16">
        <f t="shared" si="155"/>
        <v>117.33333333333103</v>
      </c>
      <c r="C1417" s="17">
        <f t="shared" ref="C1417:C1480" si="160">current_age+B1417</f>
        <v>117.33333333333103</v>
      </c>
      <c r="D1417" s="1" cm="1">
        <f t="array" ref="D1417">_xlfn.XLOOKUP(_xlfn.FLOOR.MATH(C1417),'Mortality Tables'!$B$4:$B$124,_xlfn.XLOOKUP(mortality_table,'Mortality Tables'!$B$3:$G$3,'Mortality Tables'!$B$4:$G$124,0,0),0,0)</f>
        <v>0.77664800000000001</v>
      </c>
      <c r="E1417" s="1">
        <f t="shared" si="156"/>
        <v>6.4720666666666662E-2</v>
      </c>
      <c r="F1417" s="1">
        <f t="shared" si="157"/>
        <v>0.93527933333333335</v>
      </c>
      <c r="G1417" s="1">
        <f t="shared" si="158"/>
        <v>7.4710303906282033E-7</v>
      </c>
      <c r="H1417" s="34">
        <f t="shared" si="159"/>
        <v>3.2642913119442008E-3</v>
      </c>
      <c r="I1417" s="36">
        <f t="shared" ref="I1417:I1480" si="161">IF(current_age+B1417&lt;=$C$5,G1417*H1417,0)</f>
        <v>2.4387619595398733E-9</v>
      </c>
    </row>
    <row r="1418" spans="2:9" x14ac:dyDescent="0.35">
      <c r="B1418" s="16">
        <f t="shared" ref="B1418:B1449" si="162">B1417+$F$5</f>
        <v>117.41666666666436</v>
      </c>
      <c r="C1418" s="17">
        <f t="shared" si="160"/>
        <v>117.41666666666436</v>
      </c>
      <c r="D1418" s="1" cm="1">
        <f t="array" ref="D1418">_xlfn.XLOOKUP(_xlfn.FLOOR.MATH(C1418),'Mortality Tables'!$B$4:$B$124,_xlfn.XLOOKUP(mortality_table,'Mortality Tables'!$B$3:$G$3,'Mortality Tables'!$B$4:$G$124,0,0),0,0)</f>
        <v>0.77664800000000001</v>
      </c>
      <c r="E1418" s="1">
        <f t="shared" si="156"/>
        <v>6.4720666666666662E-2</v>
      </c>
      <c r="F1418" s="1">
        <f t="shared" si="157"/>
        <v>0.93527933333333335</v>
      </c>
      <c r="G1418" s="1">
        <f t="shared" si="158"/>
        <v>6.9875003230598185E-7</v>
      </c>
      <c r="H1418" s="34">
        <f t="shared" si="159"/>
        <v>3.2510461475128813E-3</v>
      </c>
      <c r="I1418" s="36">
        <f t="shared" si="161"/>
        <v>2.2716686006028635E-9</v>
      </c>
    </row>
    <row r="1419" spans="2:9" x14ac:dyDescent="0.35">
      <c r="B1419" s="16">
        <f t="shared" si="162"/>
        <v>117.49999999999768</v>
      </c>
      <c r="C1419" s="17">
        <f t="shared" si="160"/>
        <v>117.49999999999768</v>
      </c>
      <c r="D1419" s="1" cm="1">
        <f t="array" ref="D1419">_xlfn.XLOOKUP(_xlfn.FLOOR.MATH(C1419),'Mortality Tables'!$B$4:$B$124,_xlfn.XLOOKUP(mortality_table,'Mortality Tables'!$B$3:$G$3,'Mortality Tables'!$B$4:$G$124,0,0),0,0)</f>
        <v>0.77664800000000001</v>
      </c>
      <c r="E1419" s="1">
        <f t="shared" si="156"/>
        <v>6.4720666666666662E-2</v>
      </c>
      <c r="F1419" s="1">
        <f t="shared" si="157"/>
        <v>0.93527933333333335</v>
      </c>
      <c r="G1419" s="1">
        <f t="shared" si="158"/>
        <v>6.5352646438178384E-7</v>
      </c>
      <c r="H1419" s="34">
        <f t="shared" si="159"/>
        <v>3.2378547265633924E-3</v>
      </c>
      <c r="I1419" s="36">
        <f t="shared" si="161"/>
        <v>2.1160237516328213E-9</v>
      </c>
    </row>
    <row r="1420" spans="2:9" x14ac:dyDescent="0.35">
      <c r="B1420" s="16">
        <f t="shared" si="162"/>
        <v>117.58333333333101</v>
      </c>
      <c r="C1420" s="17">
        <f t="shared" si="160"/>
        <v>117.58333333333101</v>
      </c>
      <c r="D1420" s="1" cm="1">
        <f t="array" ref="D1420">_xlfn.XLOOKUP(_xlfn.FLOOR.MATH(C1420),'Mortality Tables'!$B$4:$B$124,_xlfn.XLOOKUP(mortality_table,'Mortality Tables'!$B$3:$G$3,'Mortality Tables'!$B$4:$G$124,0,0),0,0)</f>
        <v>0.77664800000000001</v>
      </c>
      <c r="E1420" s="1">
        <f t="shared" si="156"/>
        <v>6.4720666666666662E-2</v>
      </c>
      <c r="F1420" s="1">
        <f t="shared" si="157"/>
        <v>0.93527933333333335</v>
      </c>
      <c r="G1420" s="1">
        <f t="shared" si="158"/>
        <v>6.1122979592268522E-7</v>
      </c>
      <c r="H1420" s="34">
        <f t="shared" si="159"/>
        <v>3.2247168310265773E-3</v>
      </c>
      <c r="I1420" s="36">
        <f t="shared" si="161"/>
        <v>1.9710430105368231E-9</v>
      </c>
    </row>
    <row r="1421" spans="2:9" x14ac:dyDescent="0.35">
      <c r="B1421" s="16">
        <f t="shared" si="162"/>
        <v>117.66666666666434</v>
      </c>
      <c r="C1421" s="17">
        <f t="shared" si="160"/>
        <v>117.66666666666434</v>
      </c>
      <c r="D1421" s="1" cm="1">
        <f t="array" ref="D1421">_xlfn.XLOOKUP(_xlfn.FLOOR.MATH(C1421),'Mortality Tables'!$B$4:$B$124,_xlfn.XLOOKUP(mortality_table,'Mortality Tables'!$B$3:$G$3,'Mortality Tables'!$B$4:$G$124,0,0),0,0)</f>
        <v>0.77664800000000001</v>
      </c>
      <c r="E1421" s="1">
        <f t="shared" si="156"/>
        <v>6.4720666666666662E-2</v>
      </c>
      <c r="F1421" s="1">
        <f t="shared" si="157"/>
        <v>0.93527933333333335</v>
      </c>
      <c r="G1421" s="1">
        <f t="shared" si="158"/>
        <v>5.7167059604403844E-7</v>
      </c>
      <c r="H1421" s="34">
        <f t="shared" si="159"/>
        <v>3.2116322437181141E-3</v>
      </c>
      <c r="I1421" s="36">
        <f t="shared" si="161"/>
        <v>1.8359957190405867E-9</v>
      </c>
    </row>
    <row r="1422" spans="2:9" x14ac:dyDescent="0.35">
      <c r="B1422" s="16">
        <f t="shared" si="162"/>
        <v>117.74999999999767</v>
      </c>
      <c r="C1422" s="17">
        <f t="shared" si="160"/>
        <v>117.74999999999767</v>
      </c>
      <c r="D1422" s="1" cm="1">
        <f t="array" ref="D1422">_xlfn.XLOOKUP(_xlfn.FLOOR.MATH(C1422),'Mortality Tables'!$B$4:$B$124,_xlfn.XLOOKUP(mortality_table,'Mortality Tables'!$B$3:$G$3,'Mortality Tables'!$B$4:$G$124,0,0),0,0)</f>
        <v>0.77664800000000001</v>
      </c>
      <c r="E1422" s="1">
        <f t="shared" si="156"/>
        <v>6.4720666666666662E-2</v>
      </c>
      <c r="F1422" s="1">
        <f t="shared" si="157"/>
        <v>0.93527933333333335</v>
      </c>
      <c r="G1422" s="1">
        <f t="shared" si="158"/>
        <v>5.3467169395433758E-7</v>
      </c>
      <c r="H1422" s="34">
        <f t="shared" si="159"/>
        <v>3.1986007483349281E-3</v>
      </c>
      <c r="I1422" s="36">
        <f t="shared" si="161"/>
        <v>1.7102012803958478E-9</v>
      </c>
    </row>
    <row r="1423" spans="2:9" x14ac:dyDescent="0.35">
      <c r="B1423" s="16">
        <f t="shared" si="162"/>
        <v>117.833333333331</v>
      </c>
      <c r="C1423" s="17">
        <f t="shared" si="160"/>
        <v>117.833333333331</v>
      </c>
      <c r="D1423" s="1" cm="1">
        <f t="array" ref="D1423">_xlfn.XLOOKUP(_xlfn.FLOOR.MATH(C1423),'Mortality Tables'!$B$4:$B$124,_xlfn.XLOOKUP(mortality_table,'Mortality Tables'!$B$3:$G$3,'Mortality Tables'!$B$4:$G$124,0,0),0,0)</f>
        <v>0.77664800000000001</v>
      </c>
      <c r="E1423" s="1">
        <f t="shared" si="156"/>
        <v>6.4720666666666662E-2</v>
      </c>
      <c r="F1423" s="1">
        <f t="shared" si="157"/>
        <v>0.93527933333333335</v>
      </c>
      <c r="G1423" s="1">
        <f t="shared" si="158"/>
        <v>5.0006738547381694E-7</v>
      </c>
      <c r="H1423" s="34">
        <f t="shared" si="159"/>
        <v>3.1856221294516139E-3</v>
      </c>
      <c r="I1423" s="36">
        <f t="shared" si="161"/>
        <v>1.5930257293824018E-9</v>
      </c>
    </row>
    <row r="1424" spans="2:9" x14ac:dyDescent="0.35">
      <c r="B1424" s="16">
        <f t="shared" si="162"/>
        <v>117.91666666666433</v>
      </c>
      <c r="C1424" s="17">
        <f t="shared" si="160"/>
        <v>117.91666666666433</v>
      </c>
      <c r="D1424" s="1" cm="1">
        <f t="array" ref="D1424">_xlfn.XLOOKUP(_xlfn.FLOOR.MATH(C1424),'Mortality Tables'!$B$4:$B$124,_xlfn.XLOOKUP(mortality_table,'Mortality Tables'!$B$3:$G$3,'Mortality Tables'!$B$4:$G$124,0,0),0,0)</f>
        <v>0.77664800000000001</v>
      </c>
      <c r="E1424" s="1">
        <f t="shared" si="156"/>
        <v>6.4720666666666662E-2</v>
      </c>
      <c r="F1424" s="1">
        <f t="shared" si="157"/>
        <v>0.93527933333333335</v>
      </c>
      <c r="G1424" s="1">
        <f t="shared" si="158"/>
        <v>4.6770269090769454E-7</v>
      </c>
      <c r="H1424" s="34">
        <f t="shared" si="159"/>
        <v>3.1726961725168741E-3</v>
      </c>
      <c r="I1424" s="36">
        <f t="shared" si="161"/>
        <v>1.4838785373186851E-9</v>
      </c>
    </row>
    <row r="1425" spans="2:9" x14ac:dyDescent="0.35">
      <c r="B1425" s="16">
        <f t="shared" si="162"/>
        <v>117.99999999999766</v>
      </c>
      <c r="C1425" s="17">
        <f t="shared" si="160"/>
        <v>117.99999999999766</v>
      </c>
      <c r="D1425" s="1" cm="1">
        <f t="array" ref="D1425">_xlfn.XLOOKUP(_xlfn.FLOOR.MATH(C1425),'Mortality Tables'!$B$4:$B$124,_xlfn.XLOOKUP(mortality_table,'Mortality Tables'!$B$3:$G$3,'Mortality Tables'!$B$4:$G$124,0,0),0,0)</f>
        <v>0.77664800000000001</v>
      </c>
      <c r="E1425" s="1">
        <f t="shared" si="156"/>
        <v>6.4720666666666662E-2</v>
      </c>
      <c r="F1425" s="1">
        <f t="shared" si="157"/>
        <v>0.93527933333333335</v>
      </c>
      <c r="G1425" s="1">
        <f t="shared" si="158"/>
        <v>4.3743266095035464E-7</v>
      </c>
      <c r="H1425" s="34">
        <f t="shared" si="159"/>
        <v>3.1598226638499729E-3</v>
      </c>
      <c r="I1425" s="36">
        <f t="shared" si="161"/>
        <v>1.3822096359791317E-9</v>
      </c>
    </row>
    <row r="1426" spans="2:9" x14ac:dyDescent="0.35">
      <c r="B1426" s="16">
        <f t="shared" si="162"/>
        <v>118.08333333333098</v>
      </c>
      <c r="C1426" s="17">
        <f t="shared" si="160"/>
        <v>118.08333333333098</v>
      </c>
      <c r="D1426" s="1" cm="1">
        <f t="array" ref="D1426">_xlfn.XLOOKUP(_xlfn.FLOOR.MATH(C1426),'Mortality Tables'!$B$4:$B$124,_xlfn.XLOOKUP(mortality_table,'Mortality Tables'!$B$3:$G$3,'Mortality Tables'!$B$4:$G$124,0,0),0,0)</f>
        <v>0.79747699999999999</v>
      </c>
      <c r="E1426" s="1">
        <f t="shared" si="156"/>
        <v>6.6456416666666657E-2</v>
      </c>
      <c r="F1426" s="1">
        <f t="shared" si="157"/>
        <v>0.93354358333333332</v>
      </c>
      <c r="G1426" s="1">
        <f t="shared" si="158"/>
        <v>4.0912172751187373E-7</v>
      </c>
      <c r="H1426" s="34">
        <f t="shared" si="159"/>
        <v>3.1470013906372018E-3</v>
      </c>
      <c r="I1426" s="36">
        <f t="shared" si="161"/>
        <v>1.2875066454197609E-9</v>
      </c>
    </row>
    <row r="1427" spans="2:9" x14ac:dyDescent="0.35">
      <c r="B1427" s="16">
        <f t="shared" si="162"/>
        <v>118.16666666666431</v>
      </c>
      <c r="C1427" s="17">
        <f t="shared" si="160"/>
        <v>118.16666666666431</v>
      </c>
      <c r="D1427" s="1" cm="1">
        <f t="array" ref="D1427">_xlfn.XLOOKUP(_xlfn.FLOOR.MATH(C1427),'Mortality Tables'!$B$4:$B$124,_xlfn.XLOOKUP(mortality_table,'Mortality Tables'!$B$3:$G$3,'Mortality Tables'!$B$4:$G$124,0,0),0,0)</f>
        <v>0.79747699999999999</v>
      </c>
      <c r="E1427" s="1">
        <f t="shared" si="156"/>
        <v>6.6456416666666657E-2</v>
      </c>
      <c r="F1427" s="1">
        <f t="shared" si="157"/>
        <v>0.93354358333333332</v>
      </c>
      <c r="G1427" s="1">
        <f t="shared" si="158"/>
        <v>3.8193296352095817E-7</v>
      </c>
      <c r="H1427" s="34">
        <f t="shared" si="159"/>
        <v>3.1342321409283717E-3</v>
      </c>
      <c r="I1427" s="36">
        <f t="shared" si="161"/>
        <v>1.1970665699474104E-9</v>
      </c>
    </row>
    <row r="1428" spans="2:9" x14ac:dyDescent="0.35">
      <c r="B1428" s="16">
        <f t="shared" si="162"/>
        <v>118.24999999999764</v>
      </c>
      <c r="C1428" s="17">
        <f t="shared" si="160"/>
        <v>118.24999999999764</v>
      </c>
      <c r="D1428" s="1" cm="1">
        <f t="array" ref="D1428">_xlfn.XLOOKUP(_xlfn.FLOOR.MATH(C1428),'Mortality Tables'!$B$4:$B$124,_xlfn.XLOOKUP(mortality_table,'Mortality Tables'!$B$3:$G$3,'Mortality Tables'!$B$4:$G$124,0,0),0,0)</f>
        <v>0.79747699999999999</v>
      </c>
      <c r="E1428" s="1">
        <f t="shared" si="156"/>
        <v>6.6456416666666657E-2</v>
      </c>
      <c r="F1428" s="1">
        <f t="shared" si="157"/>
        <v>0.93354358333333332</v>
      </c>
      <c r="G1428" s="1">
        <f t="shared" si="158"/>
        <v>3.5655106735847457E-7</v>
      </c>
      <c r="H1428" s="34">
        <f t="shared" si="159"/>
        <v>3.121514703633292E-3</v>
      </c>
      <c r="I1428" s="36">
        <f t="shared" si="161"/>
        <v>1.1129793993556226E-9</v>
      </c>
    </row>
    <row r="1429" spans="2:9" x14ac:dyDescent="0.35">
      <c r="B1429" s="16">
        <f t="shared" si="162"/>
        <v>118.33333333333097</v>
      </c>
      <c r="C1429" s="17">
        <f t="shared" si="160"/>
        <v>118.33333333333097</v>
      </c>
      <c r="D1429" s="1" cm="1">
        <f t="array" ref="D1429">_xlfn.XLOOKUP(_xlfn.FLOOR.MATH(C1429),'Mortality Tables'!$B$4:$B$124,_xlfn.XLOOKUP(mortality_table,'Mortality Tables'!$B$3:$G$3,'Mortality Tables'!$B$4:$G$124,0,0),0,0)</f>
        <v>0.79747699999999999</v>
      </c>
      <c r="E1429" s="1">
        <f t="shared" si="156"/>
        <v>6.6456416666666657E-2</v>
      </c>
      <c r="F1429" s="1">
        <f t="shared" si="157"/>
        <v>0.93354358333333332</v>
      </c>
      <c r="G1429" s="1">
        <f t="shared" si="158"/>
        <v>3.3285596106315503E-7</v>
      </c>
      <c r="H1429" s="34">
        <f t="shared" si="159"/>
        <v>3.1088488685182946E-3</v>
      </c>
      <c r="I1429" s="36">
        <f t="shared" si="161"/>
        <v>1.0347988779307591E-9</v>
      </c>
    </row>
    <row r="1430" spans="2:9" x14ac:dyDescent="0.35">
      <c r="B1430" s="16">
        <f t="shared" si="162"/>
        <v>118.4166666666643</v>
      </c>
      <c r="C1430" s="17">
        <f t="shared" si="160"/>
        <v>118.4166666666643</v>
      </c>
      <c r="D1430" s="1" cm="1">
        <f t="array" ref="D1430">_xlfn.XLOOKUP(_xlfn.FLOOR.MATH(C1430),'Mortality Tables'!$B$4:$B$124,_xlfn.XLOOKUP(mortality_table,'Mortality Tables'!$B$3:$G$3,'Mortality Tables'!$B$4:$G$124,0,0),0,0)</f>
        <v>0.79747699999999999</v>
      </c>
      <c r="E1430" s="1">
        <f t="shared" si="156"/>
        <v>6.6456416666666657E-2</v>
      </c>
      <c r="F1430" s="1">
        <f t="shared" si="157"/>
        <v>0.93354358333333332</v>
      </c>
      <c r="G1430" s="1">
        <f t="shared" si="158"/>
        <v>3.1073554662475819E-7</v>
      </c>
      <c r="H1430" s="34">
        <f t="shared" si="159"/>
        <v>3.0962344262027521E-3</v>
      </c>
      <c r="I1430" s="36">
        <f t="shared" si="161"/>
        <v>9.6211009690450665E-10</v>
      </c>
    </row>
    <row r="1431" spans="2:9" x14ac:dyDescent="0.35">
      <c r="B1431" s="16">
        <f t="shared" si="162"/>
        <v>118.49999999999763</v>
      </c>
      <c r="C1431" s="17">
        <f t="shared" si="160"/>
        <v>118.49999999999763</v>
      </c>
      <c r="D1431" s="1" cm="1">
        <f t="array" ref="D1431">_xlfn.XLOOKUP(_xlfn.FLOOR.MATH(C1431),'Mortality Tables'!$B$4:$B$124,_xlfn.XLOOKUP(mortality_table,'Mortality Tables'!$B$3:$G$3,'Mortality Tables'!$B$4:$G$124,0,0),0,0)</f>
        <v>0.79747699999999999</v>
      </c>
      <c r="E1431" s="1">
        <f t="shared" si="156"/>
        <v>6.6456416666666657E-2</v>
      </c>
      <c r="F1431" s="1">
        <f t="shared" si="157"/>
        <v>0.93354358333333332</v>
      </c>
      <c r="G1431" s="1">
        <f t="shared" si="158"/>
        <v>2.9008517566511885E-7</v>
      </c>
      <c r="H1431" s="34">
        <f t="shared" si="159"/>
        <v>3.0836711681556193E-3</v>
      </c>
      <c r="I1431" s="36">
        <f t="shared" si="161"/>
        <v>8.945272925078851E-10</v>
      </c>
    </row>
    <row r="1432" spans="2:9" x14ac:dyDescent="0.35">
      <c r="B1432" s="16">
        <f t="shared" si="162"/>
        <v>118.58333333333096</v>
      </c>
      <c r="C1432" s="17">
        <f t="shared" si="160"/>
        <v>118.58333333333096</v>
      </c>
      <c r="D1432" s="1" cm="1">
        <f t="array" ref="D1432">_xlfn.XLOOKUP(_xlfn.FLOOR.MATH(C1432),'Mortality Tables'!$B$4:$B$124,_xlfn.XLOOKUP(mortality_table,'Mortality Tables'!$B$3:$G$3,'Mortality Tables'!$B$4:$G$124,0,0),0,0)</f>
        <v>0.79747699999999999</v>
      </c>
      <c r="E1432" s="1">
        <f t="shared" si="156"/>
        <v>6.6456416666666657E-2</v>
      </c>
      <c r="F1432" s="1">
        <f t="shared" si="157"/>
        <v>0.93354358333333332</v>
      </c>
      <c r="G1432" s="1">
        <f t="shared" si="158"/>
        <v>2.7080715436229449E-7</v>
      </c>
      <c r="H1432" s="34">
        <f t="shared" si="159"/>
        <v>3.0711588866919859E-3</v>
      </c>
      <c r="I1432" s="36">
        <f t="shared" si="161"/>
        <v>8.3169179869952919E-10</v>
      </c>
    </row>
    <row r="1433" spans="2:9" x14ac:dyDescent="0.35">
      <c r="B1433" s="16">
        <f t="shared" si="162"/>
        <v>118.66666666666428</v>
      </c>
      <c r="C1433" s="17">
        <f t="shared" si="160"/>
        <v>118.66666666666428</v>
      </c>
      <c r="D1433" s="1" cm="1">
        <f t="array" ref="D1433">_xlfn.XLOOKUP(_xlfn.FLOOR.MATH(C1433),'Mortality Tables'!$B$4:$B$124,_xlfn.XLOOKUP(mortality_table,'Mortality Tables'!$B$3:$G$3,'Mortality Tables'!$B$4:$G$124,0,0),0,0)</f>
        <v>0.79747699999999999</v>
      </c>
      <c r="E1433" s="1">
        <f t="shared" si="156"/>
        <v>6.6456416666666657E-2</v>
      </c>
      <c r="F1433" s="1">
        <f t="shared" si="157"/>
        <v>0.93354358333333332</v>
      </c>
      <c r="G1433" s="1">
        <f t="shared" si="158"/>
        <v>2.5281028127567954E-7</v>
      </c>
      <c r="H1433" s="34">
        <f t="shared" si="159"/>
        <v>3.0586973749696404E-3</v>
      </c>
      <c r="I1433" s="36">
        <f t="shared" si="161"/>
        <v>7.7327014370325747E-10</v>
      </c>
    </row>
    <row r="1434" spans="2:9" x14ac:dyDescent="0.35">
      <c r="B1434" s="16">
        <f t="shared" si="162"/>
        <v>118.74999999999761</v>
      </c>
      <c r="C1434" s="17">
        <f t="shared" si="160"/>
        <v>118.74999999999761</v>
      </c>
      <c r="D1434" s="1" cm="1">
        <f t="array" ref="D1434">_xlfn.XLOOKUP(_xlfn.FLOOR.MATH(C1434),'Mortality Tables'!$B$4:$B$124,_xlfn.XLOOKUP(mortality_table,'Mortality Tables'!$B$3:$G$3,'Mortality Tables'!$B$4:$G$124,0,0),0,0)</f>
        <v>0.79747699999999999</v>
      </c>
      <c r="E1434" s="1">
        <f t="shared" si="156"/>
        <v>6.6456416666666657E-2</v>
      </c>
      <c r="F1434" s="1">
        <f t="shared" si="157"/>
        <v>0.93354358333333332</v>
      </c>
      <c r="G1434" s="1">
        <f t="shared" si="158"/>
        <v>2.3600941588560577E-7</v>
      </c>
      <c r="H1434" s="34">
        <f t="shared" si="159"/>
        <v>3.0462864269856539E-3</v>
      </c>
      <c r="I1434" s="36">
        <f t="shared" si="161"/>
        <v>7.189522802531332E-10</v>
      </c>
    </row>
    <row r="1435" spans="2:9" x14ac:dyDescent="0.35">
      <c r="B1435" s="16">
        <f t="shared" si="162"/>
        <v>118.83333333333094</v>
      </c>
      <c r="C1435" s="17">
        <f t="shared" si="160"/>
        <v>118.83333333333094</v>
      </c>
      <c r="D1435" s="1" cm="1">
        <f t="array" ref="D1435">_xlfn.XLOOKUP(_xlfn.FLOOR.MATH(C1435),'Mortality Tables'!$B$4:$B$124,_xlfn.XLOOKUP(mortality_table,'Mortality Tables'!$B$3:$G$3,'Mortality Tables'!$B$4:$G$124,0,0),0,0)</f>
        <v>0.79747699999999999</v>
      </c>
      <c r="E1435" s="1">
        <f t="shared" si="156"/>
        <v>6.6456416666666657E-2</v>
      </c>
      <c r="F1435" s="1">
        <f t="shared" si="157"/>
        <v>0.93354358333333332</v>
      </c>
      <c r="G1435" s="1">
        <f t="shared" si="158"/>
        <v>2.2032507580625534E-7</v>
      </c>
      <c r="H1435" s="34">
        <f t="shared" si="159"/>
        <v>3.0339258375729739E-3</v>
      </c>
      <c r="I1435" s="36">
        <f t="shared" si="161"/>
        <v>6.6844994015382224E-10</v>
      </c>
    </row>
    <row r="1436" spans="2:9" x14ac:dyDescent="0.35">
      <c r="B1436" s="16">
        <f t="shared" si="162"/>
        <v>118.91666666666427</v>
      </c>
      <c r="C1436" s="17">
        <f t="shared" si="160"/>
        <v>118.91666666666427</v>
      </c>
      <c r="D1436" s="1" cm="1">
        <f t="array" ref="D1436">_xlfn.XLOOKUP(_xlfn.FLOOR.MATH(C1436),'Mortality Tables'!$B$4:$B$124,_xlfn.XLOOKUP(mortality_table,'Mortality Tables'!$B$3:$G$3,'Mortality Tables'!$B$4:$G$124,0,0),0,0)</f>
        <v>0.79747699999999999</v>
      </c>
      <c r="E1436" s="1">
        <f t="shared" si="156"/>
        <v>6.6456416666666657E-2</v>
      </c>
      <c r="F1436" s="1">
        <f t="shared" si="157"/>
        <v>0.93354358333333332</v>
      </c>
      <c r="G1436" s="1">
        <f t="shared" si="158"/>
        <v>2.0568306076635992E-7</v>
      </c>
      <c r="H1436" s="34">
        <f t="shared" si="159"/>
        <v>3.0216154023970307E-3</v>
      </c>
      <c r="I1436" s="36">
        <f t="shared" si="161"/>
        <v>6.2149510442379755E-10</v>
      </c>
    </row>
    <row r="1437" spans="2:9" x14ac:dyDescent="0.35">
      <c r="B1437" s="16">
        <f t="shared" si="162"/>
        <v>118.9999999999976</v>
      </c>
      <c r="C1437" s="17">
        <f t="shared" si="160"/>
        <v>118.9999999999976</v>
      </c>
      <c r="D1437" s="1" cm="1">
        <f t="array" ref="D1437">_xlfn.XLOOKUP(_xlfn.FLOOR.MATH(C1437),'Mortality Tables'!$B$4:$B$124,_xlfn.XLOOKUP(mortality_table,'Mortality Tables'!$B$3:$G$3,'Mortality Tables'!$B$4:$G$124,0,0),0,0)</f>
        <v>0.79747699999999999</v>
      </c>
      <c r="E1437" s="1">
        <f t="shared" si="156"/>
        <v>6.6456416666666657E-2</v>
      </c>
      <c r="F1437" s="1">
        <f t="shared" si="157"/>
        <v>0.93354358333333332</v>
      </c>
      <c r="G1437" s="1">
        <f t="shared" si="158"/>
        <v>1.9201410157879538E-7</v>
      </c>
      <c r="H1437" s="34">
        <f t="shared" si="159"/>
        <v>3.0093549179523627E-3</v>
      </c>
      <c r="I1437" s="36">
        <f t="shared" si="161"/>
        <v>5.7783858090235243E-10</v>
      </c>
    </row>
    <row r="1438" spans="2:9" x14ac:dyDescent="0.35">
      <c r="B1438" s="16">
        <f t="shared" si="162"/>
        <v>119.08333333333093</v>
      </c>
      <c r="C1438" s="17">
        <f t="shared" si="160"/>
        <v>119.08333333333093</v>
      </c>
      <c r="D1438" s="1" cm="1">
        <f t="array" ref="D1438">_xlfn.XLOOKUP(_xlfn.FLOOR.MATH(C1438),'Mortality Tables'!$B$4:$B$124,_xlfn.XLOOKUP(mortality_table,'Mortality Tables'!$B$3:$G$3,'Mortality Tables'!$B$4:$G$124,0,0),0,0)</f>
        <v>0.81722499999999998</v>
      </c>
      <c r="E1438" s="1">
        <f t="shared" si="156"/>
        <v>6.8102083333333327E-2</v>
      </c>
      <c r="F1438" s="1">
        <f t="shared" si="157"/>
        <v>0.93189791666666666</v>
      </c>
      <c r="G1438" s="1">
        <f t="shared" si="158"/>
        <v>1.7925353243839929E-7</v>
      </c>
      <c r="H1438" s="34">
        <f t="shared" si="159"/>
        <v>2.99714418155925E-3</v>
      </c>
      <c r="I1438" s="36">
        <f t="shared" si="161"/>
        <v>5.3724868177169069E-10</v>
      </c>
    </row>
    <row r="1439" spans="2:9" x14ac:dyDescent="0.35">
      <c r="B1439" s="16">
        <f t="shared" si="162"/>
        <v>119.16666666666426</v>
      </c>
      <c r="C1439" s="17">
        <f t="shared" si="160"/>
        <v>119.16666666666426</v>
      </c>
      <c r="D1439" s="1" cm="1">
        <f t="array" ref="D1439">_xlfn.XLOOKUP(_xlfn.FLOOR.MATH(C1439),'Mortality Tables'!$B$4:$B$124,_xlfn.XLOOKUP(mortality_table,'Mortality Tables'!$B$3:$G$3,'Mortality Tables'!$B$4:$G$124,0,0),0,0)</f>
        <v>0.81722499999999998</v>
      </c>
      <c r="E1439" s="1">
        <f t="shared" si="156"/>
        <v>6.8102083333333327E-2</v>
      </c>
      <c r="F1439" s="1">
        <f t="shared" si="157"/>
        <v>0.93189791666666666</v>
      </c>
      <c r="G1439" s="1">
        <f t="shared" si="158"/>
        <v>1.6704599343448505E-7</v>
      </c>
      <c r="H1439" s="34">
        <f t="shared" si="159"/>
        <v>2.9849829913603638E-3</v>
      </c>
      <c r="I1439" s="36">
        <f t="shared" si="161"/>
        <v>4.9862944917683286E-10</v>
      </c>
    </row>
    <row r="1440" spans="2:9" x14ac:dyDescent="0.35">
      <c r="B1440" s="16">
        <f t="shared" si="162"/>
        <v>119.24999999999758</v>
      </c>
      <c r="C1440" s="17">
        <f t="shared" si="160"/>
        <v>119.24999999999758</v>
      </c>
      <c r="D1440" s="1" cm="1">
        <f t="array" ref="D1440">_xlfn.XLOOKUP(_xlfn.FLOOR.MATH(C1440),'Mortality Tables'!$B$4:$B$124,_xlfn.XLOOKUP(mortality_table,'Mortality Tables'!$B$3:$G$3,'Mortality Tables'!$B$4:$G$124,0,0),0,0)</f>
        <v>0.81722499999999998</v>
      </c>
      <c r="E1440" s="1">
        <f t="shared" si="156"/>
        <v>6.8102083333333327E-2</v>
      </c>
      <c r="F1440" s="1">
        <f t="shared" si="157"/>
        <v>0.93189791666666666</v>
      </c>
      <c r="G1440" s="1">
        <f t="shared" si="158"/>
        <v>1.5566981326911028E-7</v>
      </c>
      <c r="H1440" s="34">
        <f t="shared" si="159"/>
        <v>2.972871146317431E-3</v>
      </c>
      <c r="I1440" s="36">
        <f t="shared" si="161"/>
        <v>4.6278629622036034E-10</v>
      </c>
    </row>
    <row r="1441" spans="2:9" x14ac:dyDescent="0.35">
      <c r="B1441" s="16">
        <f t="shared" si="162"/>
        <v>119.33333333333091</v>
      </c>
      <c r="C1441" s="17">
        <f t="shared" si="160"/>
        <v>119.33333333333091</v>
      </c>
      <c r="D1441" s="1" cm="1">
        <f t="array" ref="D1441">_xlfn.XLOOKUP(_xlfn.FLOOR.MATH(C1441),'Mortality Tables'!$B$4:$B$124,_xlfn.XLOOKUP(mortality_table,'Mortality Tables'!$B$3:$G$3,'Mortality Tables'!$B$4:$G$124,0,0),0,0)</f>
        <v>0.81722499999999998</v>
      </c>
      <c r="E1441" s="1">
        <f t="shared" si="156"/>
        <v>6.8102083333333327E-2</v>
      </c>
      <c r="F1441" s="1">
        <f t="shared" si="157"/>
        <v>0.93189791666666666</v>
      </c>
      <c r="G1441" s="1">
        <f t="shared" si="158"/>
        <v>1.450683746733729E-7</v>
      </c>
      <c r="H1441" s="34">
        <f t="shared" si="159"/>
        <v>2.9608084462079093E-3</v>
      </c>
      <c r="I1441" s="36">
        <f t="shared" si="161"/>
        <v>4.2951966901057604E-10</v>
      </c>
    </row>
    <row r="1442" spans="2:9" x14ac:dyDescent="0.35">
      <c r="B1442" s="16">
        <f t="shared" si="162"/>
        <v>119.41666666666424</v>
      </c>
      <c r="C1442" s="17">
        <f t="shared" si="160"/>
        <v>119.41666666666424</v>
      </c>
      <c r="D1442" s="1" cm="1">
        <f t="array" ref="D1442">_xlfn.XLOOKUP(_xlfn.FLOOR.MATH(C1442),'Mortality Tables'!$B$4:$B$124,_xlfn.XLOOKUP(mortality_table,'Mortality Tables'!$B$3:$G$3,'Mortality Tables'!$B$4:$G$124,0,0),0,0)</f>
        <v>0.81722499999999998</v>
      </c>
      <c r="E1442" s="1">
        <f t="shared" si="156"/>
        <v>6.8102083333333327E-2</v>
      </c>
      <c r="F1442" s="1">
        <f t="shared" si="157"/>
        <v>0.93189791666666666</v>
      </c>
      <c r="G1442" s="1">
        <f t="shared" si="158"/>
        <v>1.3518891613233563E-7</v>
      </c>
      <c r="H1442" s="34">
        <f t="shared" si="159"/>
        <v>2.948794691621676E-3</v>
      </c>
      <c r="I1442" s="36">
        <f t="shared" si="161"/>
        <v>3.9864435825711925E-10</v>
      </c>
    </row>
    <row r="1443" spans="2:9" x14ac:dyDescent="0.35">
      <c r="B1443" s="16">
        <f t="shared" si="162"/>
        <v>119.49999999999757</v>
      </c>
      <c r="C1443" s="17">
        <f t="shared" si="160"/>
        <v>119.49999999999757</v>
      </c>
      <c r="D1443" s="1" cm="1">
        <f t="array" ref="D1443">_xlfn.XLOOKUP(_xlfn.FLOOR.MATH(C1443),'Mortality Tables'!$B$4:$B$124,_xlfn.XLOOKUP(mortality_table,'Mortality Tables'!$B$3:$G$3,'Mortality Tables'!$B$4:$G$124,0,0),0,0)</f>
        <v>0.81722499999999998</v>
      </c>
      <c r="E1443" s="1">
        <f t="shared" si="156"/>
        <v>6.8102083333333327E-2</v>
      </c>
      <c r="F1443" s="1">
        <f t="shared" si="157"/>
        <v>0.93189791666666666</v>
      </c>
      <c r="G1443" s="1">
        <f t="shared" si="158"/>
        <v>1.2598226930014829E-7</v>
      </c>
      <c r="H1443" s="34">
        <f t="shared" si="159"/>
        <v>2.9368296839577404E-3</v>
      </c>
      <c r="I1443" s="36">
        <f t="shared" si="161"/>
        <v>3.6998846813303344E-10</v>
      </c>
    </row>
    <row r="1444" spans="2:9" x14ac:dyDescent="0.35">
      <c r="B1444" s="16">
        <f t="shared" si="162"/>
        <v>119.5833333333309</v>
      </c>
      <c r="C1444" s="17">
        <f t="shared" si="160"/>
        <v>119.5833333333309</v>
      </c>
      <c r="D1444" s="1" cm="1">
        <f t="array" ref="D1444">_xlfn.XLOOKUP(_xlfn.FLOOR.MATH(C1444),'Mortality Tables'!$B$4:$B$124,_xlfn.XLOOKUP(mortality_table,'Mortality Tables'!$B$3:$G$3,'Mortality Tables'!$B$4:$G$124,0,0),0,0)</f>
        <v>0.81722499999999998</v>
      </c>
      <c r="E1444" s="1">
        <f t="shared" si="156"/>
        <v>6.8102083333333327E-2</v>
      </c>
      <c r="F1444" s="1">
        <f t="shared" si="157"/>
        <v>0.93189791666666666</v>
      </c>
      <c r="G1444" s="1">
        <f t="shared" si="158"/>
        <v>1.1740261429774714E-7</v>
      </c>
      <c r="H1444" s="34">
        <f t="shared" si="159"/>
        <v>2.9249132254209457E-3</v>
      </c>
      <c r="I1444" s="36">
        <f t="shared" si="161"/>
        <v>3.4339245925847481E-10</v>
      </c>
    </row>
    <row r="1445" spans="2:9" x14ac:dyDescent="0.35">
      <c r="B1445" s="16">
        <f t="shared" si="162"/>
        <v>119.66666666666423</v>
      </c>
      <c r="C1445" s="17">
        <f t="shared" si="160"/>
        <v>119.66666666666423</v>
      </c>
      <c r="D1445" s="1" cm="1">
        <f t="array" ref="D1445">_xlfn.XLOOKUP(_xlfn.FLOOR.MATH(C1445),'Mortality Tables'!$B$4:$B$124,_xlfn.XLOOKUP(mortality_table,'Mortality Tables'!$B$3:$G$3,'Mortality Tables'!$B$4:$G$124,0,0),0,0)</f>
        <v>0.81722499999999998</v>
      </c>
      <c r="E1445" s="1">
        <f t="shared" si="156"/>
        <v>6.8102083333333327E-2</v>
      </c>
      <c r="F1445" s="1">
        <f t="shared" si="157"/>
        <v>0.93189791666666666</v>
      </c>
      <c r="G1445" s="1">
        <f t="shared" si="158"/>
        <v>1.0940725167529078E-7</v>
      </c>
      <c r="H1445" s="34">
        <f t="shared" si="159"/>
        <v>2.9130451190187119E-3</v>
      </c>
      <c r="I1445" s="36">
        <f t="shared" si="161"/>
        <v>3.1870826047795761E-10</v>
      </c>
    </row>
    <row r="1446" spans="2:9" x14ac:dyDescent="0.35">
      <c r="B1446" s="16">
        <f t="shared" si="162"/>
        <v>119.74999999999756</v>
      </c>
      <c r="C1446" s="17">
        <f t="shared" si="160"/>
        <v>119.74999999999756</v>
      </c>
      <c r="D1446" s="1" cm="1">
        <f t="array" ref="D1446">_xlfn.XLOOKUP(_xlfn.FLOOR.MATH(C1446),'Mortality Tables'!$B$4:$B$124,_xlfn.XLOOKUP(mortality_table,'Mortality Tables'!$B$3:$G$3,'Mortality Tables'!$B$4:$G$124,0,0),0,0)</f>
        <v>0.81722499999999998</v>
      </c>
      <c r="E1446" s="1">
        <f t="shared" si="156"/>
        <v>6.8102083333333327E-2</v>
      </c>
      <c r="F1446" s="1">
        <f t="shared" si="157"/>
        <v>0.93189791666666666</v>
      </c>
      <c r="G1446" s="1">
        <f t="shared" si="158"/>
        <v>1.0195638990442916E-7</v>
      </c>
      <c r="H1446" s="34">
        <f t="shared" si="159"/>
        <v>2.9012251685577727E-3</v>
      </c>
      <c r="I1446" s="36">
        <f t="shared" si="161"/>
        <v>2.9579844448601949E-10</v>
      </c>
    </row>
    <row r="1447" spans="2:9" x14ac:dyDescent="0.35">
      <c r="B1447" s="16">
        <f t="shared" si="162"/>
        <v>119.83333333333088</v>
      </c>
      <c r="C1447" s="17">
        <f t="shared" si="160"/>
        <v>119.83333333333088</v>
      </c>
      <c r="D1447" s="1" cm="1">
        <f t="array" ref="D1447">_xlfn.XLOOKUP(_xlfn.FLOOR.MATH(C1447),'Mortality Tables'!$B$4:$B$124,_xlfn.XLOOKUP(mortality_table,'Mortality Tables'!$B$3:$G$3,'Mortality Tables'!$B$4:$G$124,0,0),0,0)</f>
        <v>0.81722499999999998</v>
      </c>
      <c r="E1447" s="1">
        <f t="shared" si="156"/>
        <v>6.8102083333333327E-2</v>
      </c>
      <c r="F1447" s="1">
        <f t="shared" si="157"/>
        <v>0.93189791666666666</v>
      </c>
      <c r="G1447" s="1">
        <f t="shared" si="158"/>
        <v>9.5012947342791889E-8</v>
      </c>
      <c r="H1447" s="34">
        <f t="shared" si="159"/>
        <v>2.8894531786409342E-3</v>
      </c>
      <c r="I1447" s="36">
        <f t="shared" si="161"/>
        <v>2.7453546271167373E-10</v>
      </c>
    </row>
    <row r="1448" spans="2:9" x14ac:dyDescent="0.35">
      <c r="B1448" s="16">
        <f t="shared" si="162"/>
        <v>119.91666666666421</v>
      </c>
      <c r="C1448" s="17">
        <f t="shared" si="160"/>
        <v>119.91666666666421</v>
      </c>
      <c r="D1448" s="1" cm="1">
        <f t="array" ref="D1448">_xlfn.XLOOKUP(_xlfn.FLOOR.MATH(C1448),'Mortality Tables'!$B$4:$B$124,_xlfn.XLOOKUP(mortality_table,'Mortality Tables'!$B$3:$G$3,'Mortality Tables'!$B$4:$G$124,0,0),0,0)</f>
        <v>0.81722499999999998</v>
      </c>
      <c r="E1448" s="1">
        <f t="shared" si="156"/>
        <v>6.8102083333333327E-2</v>
      </c>
      <c r="F1448" s="1">
        <f t="shared" si="157"/>
        <v>0.93189791666666666</v>
      </c>
      <c r="G1448" s="1">
        <f t="shared" si="158"/>
        <v>8.8542367685107466E-8</v>
      </c>
      <c r="H1448" s="34">
        <f t="shared" si="159"/>
        <v>2.8777289546638462E-3</v>
      </c>
      <c r="I1448" s="36">
        <f t="shared" si="161"/>
        <v>2.5480093520192623E-10</v>
      </c>
    </row>
    <row r="1449" spans="2:9" ht="15" thickBot="1" x14ac:dyDescent="0.4">
      <c r="B1449" s="18">
        <f t="shared" si="162"/>
        <v>119.99999999999754</v>
      </c>
      <c r="C1449" s="17">
        <f t="shared" si="160"/>
        <v>119.99999999999754</v>
      </c>
      <c r="D1449" s="1" cm="1">
        <f t="array" ref="D1449">_xlfn.XLOOKUP(_xlfn.FLOOR.MATH(C1449),'Mortality Tables'!$B$4:$B$124,_xlfn.XLOOKUP(mortality_table,'Mortality Tables'!$B$3:$G$3,'Mortality Tables'!$B$4:$G$124,0,0),0,0)</f>
        <v>0.81722499999999998</v>
      </c>
      <c r="E1449" s="12">
        <f t="shared" si="156"/>
        <v>6.8102083333333327E-2</v>
      </c>
      <c r="F1449" s="12">
        <f t="shared" si="157"/>
        <v>0.93189791666666666</v>
      </c>
      <c r="G1449" s="12">
        <f t="shared" si="158"/>
        <v>8.2512447982485637E-8</v>
      </c>
      <c r="H1449" s="19">
        <f t="shared" si="159"/>
        <v>2.8660523028117809E-3</v>
      </c>
      <c r="I1449" s="36">
        <f t="shared" si="161"/>
        <v>2.3648499155084024E-10</v>
      </c>
    </row>
  </sheetData>
  <sheetProtection sheet="1" objects="1" scenarios="1"/>
  <mergeCells count="2">
    <mergeCell ref="B3:F3"/>
    <mergeCell ref="H3:I3"/>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CAD4-1BE9-4231-A30F-ADC6451E45F9}">
  <dimension ref="B2:I5"/>
  <sheetViews>
    <sheetView workbookViewId="0">
      <selection activeCell="I5" sqref="I5"/>
    </sheetView>
  </sheetViews>
  <sheetFormatPr defaultRowHeight="14.5" x14ac:dyDescent="0.35"/>
  <cols>
    <col min="2" max="2" width="10.1796875" customWidth="1"/>
    <col min="5" max="5" width="13.6328125" customWidth="1"/>
    <col min="8" max="8" width="11.1796875" customWidth="1"/>
    <col min="9" max="9" width="10.90625" bestFit="1" customWidth="1"/>
  </cols>
  <sheetData>
    <row r="2" spans="2:9" ht="15" thickBot="1" x14ac:dyDescent="0.4">
      <c r="B2" s="13" t="s">
        <v>73</v>
      </c>
    </row>
    <row r="3" spans="2:9" ht="15" thickBot="1" x14ac:dyDescent="0.4">
      <c r="B3" s="64" t="s">
        <v>67</v>
      </c>
      <c r="C3" s="65"/>
      <c r="D3" s="65"/>
      <c r="E3" s="65"/>
      <c r="F3" s="66"/>
      <c r="H3" s="64" t="s">
        <v>32</v>
      </c>
      <c r="I3" s="66"/>
    </row>
    <row r="4" spans="2:9" ht="43.5" x14ac:dyDescent="0.35">
      <c r="B4" s="14" t="s">
        <v>87</v>
      </c>
      <c r="C4" s="2">
        <f>sum_assured</f>
        <v>100000</v>
      </c>
      <c r="E4" s="14" t="s">
        <v>69</v>
      </c>
      <c r="F4" s="27">
        <f>interest_rate</f>
        <v>0.05</v>
      </c>
      <c r="H4" s="14" t="s">
        <v>71</v>
      </c>
      <c r="I4" s="2" t="e">
        <f>(1+$F$4)^(1/$C$5)-1</f>
        <v>#DIV/0!</v>
      </c>
    </row>
    <row r="5" spans="2:9" ht="43.5" x14ac:dyDescent="0.35">
      <c r="B5" s="14" t="s">
        <v>68</v>
      </c>
      <c r="C5" s="2">
        <f>_xlfn.XLOOKUP(benefit_frequency,Frequencies[frequency],Frequencies[periods per year],,0)</f>
        <v>0</v>
      </c>
      <c r="E5" s="14" t="s">
        <v>70</v>
      </c>
      <c r="F5" s="2">
        <f>benefit_payment_duration</f>
        <v>5</v>
      </c>
      <c r="H5" s="14" t="s">
        <v>72</v>
      </c>
      <c r="I5" s="2" t="e">
        <f>(1-(1+$I$4)^-($F$5*$C$5))/($I$4/(1+$I$4))</f>
        <v>#DIV/0!</v>
      </c>
    </row>
  </sheetData>
  <sheetProtection sheet="1" objects="1" scenarios="1"/>
  <mergeCells count="2">
    <mergeCell ref="B3:F3"/>
    <mergeCell ref="H3:I3"/>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User Input</vt:lpstr>
      <vt:lpstr>Mortality Tables</vt:lpstr>
      <vt:lpstr>Relationships</vt:lpstr>
      <vt:lpstr>Lists</vt:lpstr>
      <vt:lpstr>EPV Benefits Calculation</vt:lpstr>
      <vt:lpstr>Premium Annuity Calculation</vt:lpstr>
      <vt:lpstr>Benefit Annuity Calculation</vt:lpstr>
      <vt:lpstr>benefit_frequency</vt:lpstr>
      <vt:lpstr>benefit_payment_duration</vt:lpstr>
      <vt:lpstr>current_age</vt:lpstr>
      <vt:lpstr>gender_mortality</vt:lpstr>
      <vt:lpstr>interest_rate</vt:lpstr>
      <vt:lpstr>mortality_table</vt:lpstr>
      <vt:lpstr>net_single_premium</vt:lpstr>
      <vt:lpstr>policy_type</vt:lpstr>
      <vt:lpstr>premium_frequency</vt:lpstr>
      <vt:lpstr>premium_payment_period</vt:lpstr>
      <vt:lpstr>premium_payment_term</vt:lpstr>
      <vt:lpstr>region_mortality</vt:lpstr>
      <vt:lpstr>sum_assured</vt:lpstr>
      <vt:lpstr>term_of_coverage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Wiryawan</dc:creator>
  <cp:lastModifiedBy>Ruben Wiryawan</cp:lastModifiedBy>
  <cp:lastPrinted>2026-09-11T13:51:46Z</cp:lastPrinted>
  <dcterms:created xsi:type="dcterms:W3CDTF">2026-09-02T08:03:38Z</dcterms:created>
  <dcterms:modified xsi:type="dcterms:W3CDTF">2026-09-11T13:57:29Z</dcterms:modified>
</cp:coreProperties>
</file>